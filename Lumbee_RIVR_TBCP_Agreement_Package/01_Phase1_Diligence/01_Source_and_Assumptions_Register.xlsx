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ource Register" sheetId="2" state="visible" r:id="rId2"/>
    <sheet xmlns:r="http://schemas.openxmlformats.org/officeDocument/2006/relationships" name="Assumptions" sheetId="3" state="visible" r:id="rId3"/>
  </sheets>
  <definedNames>
    <definedName name="_xlnm._FilterDatabase" localSheetId="1" hidden="1">'Source Register'!$A$5:$F$5</definedName>
    <definedName name="_xlnm._FilterDatabase" localSheetId="2" hidden="1">'Assumptions'!$A$5:$F$5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i val="1"/>
      <color rgb="00C00000"/>
      <sz val="9"/>
    </font>
    <font>
      <b val="1"/>
      <color rgb="001F3864"/>
      <sz val="11"/>
    </font>
    <font>
      <sz val="10"/>
    </font>
    <font>
      <b val="1"/>
      <sz val="9"/>
    </font>
    <font>
      <sz val="9"/>
    </font>
    <font>
      <i val="1"/>
      <color rgb="00595959"/>
      <sz val="9"/>
    </font>
    <font>
      <b val="1"/>
      <color rgb="00FFFFFF"/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pivotButton="0" quotePrefix="0" xfId="0"/>
    <xf numFmtId="0" fontId="6" fillId="3" borderId="1" pivotButton="0" quotePrefix="0" xfId="0"/>
    <xf numFmtId="0" fontId="6" fillId="4" borderId="1" pivotButton="0" quotePrefix="0" xfId="0"/>
    <xf numFmtId="0" fontId="7" fillId="0" borderId="0" pivotButton="0" quotePrefix="0" xfId="0"/>
    <xf numFmtId="0" fontId="8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general" vertical="center" wrapText="1"/>
    </xf>
    <xf numFmtId="0" fontId="4" fillId="2" borderId="1" applyAlignment="1" pivotButton="0" quotePrefix="0" xfId="0">
      <alignment horizontal="general" vertical="center" wrapText="1"/>
    </xf>
    <xf numFmtId="0" fontId="9" fillId="4" borderId="1" applyAlignment="1" pivotButton="0" quotePrefix="0" xfId="0">
      <alignment horizontal="center" vertical="center"/>
    </xf>
    <xf numFmtId="0" fontId="9" fillId="0" borderId="1" pivotButton="0" quotePrefix="0" xfId="0"/>
    <xf numFmtId="0" fontId="9" fillId="3" borderId="1" pivotButton="0" quotePrefix="0" xfId="0"/>
    <xf numFmtId="0" fontId="4" fillId="0" borderId="1" pivotButton="0" quotePrefix="0" xfId="0"/>
    <xf numFmtId="0" fontId="9" fillId="0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general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A1" s="1" t="inlineStr">
        <is>
          <t>Instructions</t>
        </is>
      </c>
    </row>
    <row r="2">
      <c r="A2" s="2" t="inlineStr">
        <is>
          <t>PRELIMINARY DRAFT – NO CONTROLLING TBCP AWARD OR SOURCE DOCUMENTS SUPPLIED – PROVISIONAL BASELINE: MARCH 2024 AMENDED ROUND 2 NOFO – SUBJECT TO LEGAL, GRANT AND FINANCIAL REVIEW</t>
        </is>
      </c>
    </row>
    <row r="3">
      <c r="B3" s="9" t="inlineStr">
        <is>
          <t>Parties: Lumbee Tribe of North Carolina (the “Lumbee Tribe”); LREMC Technologies, LLC d/b/a RIVR Tech (“RIVR Tech”); Lumbee River Electric Membership Corporation d/b/a Lumbee River EMC (“LREMC”), separate asset owner.</t>
        </is>
      </c>
    </row>
    <row r="4"/>
    <row r="5">
      <c r="B5" s="3" t="inlineStr">
        <is>
          <t>Source and Assumptions Register — Phase 1 Diligence</t>
        </is>
      </c>
    </row>
    <row r="6">
      <c r="B6" s="4" t="inlineStr">
        <is>
          <t>Document 01 of the Phase 1 Diligence set.</t>
        </is>
      </c>
    </row>
    <row r="7">
      <c r="B7" s="4" t="inlineStr">
        <is>
          <t>No executed TBCP award, CD-450 Financial Assistance Award, Notice of Funding Opportunity PDF, Specific Award Conditions, Tribal resolution, title/easement record, or existing RIVR Tech / LREMC contract was supplied for this work product. All conclusions are provisional and keyed to the assumptions register in Document 01.</t>
        </is>
      </c>
    </row>
    <row r="8">
      <c r="B8" s="4" t="inlineStr"/>
    </row>
    <row r="9">
      <c r="B9" s="3" t="inlineStr">
        <is>
          <t>How to use this workbook</t>
        </is>
      </c>
    </row>
    <row r="10">
      <c r="B10" s="4" t="inlineStr">
        <is>
          <t>• Sheet 'Source Register' lists every document that WOULD be reviewed to draft and finalize the transaction. Because no source documents were supplied, nearly every item is MISSING or CONFIRM.</t>
        </is>
      </c>
    </row>
    <row r="11">
      <c r="B11" s="4" t="inlineStr">
        <is>
          <t>• Sheet 'Assumptions' lists every working assumption used in the Phase 1 drafts. Each is tagged ASSUMPTION - NOT FACT and must be confirmed against the controlling award before finalizing.</t>
        </is>
      </c>
    </row>
    <row r="12">
      <c r="B12" s="4" t="inlineStr">
        <is>
          <t>• Status legend: CONTROLLING = governs and must be obtained; INFORMATIVE = useful context; MISSING = not supplied and required; CONFIRM = referenced but version/applicability unverified.</t>
        </is>
      </c>
    </row>
    <row r="13">
      <c r="B13" s="4" t="inlineStr">
        <is>
          <t>• Placeholders shown as [# ...] mark data that was not supplied and must not be invented.</t>
        </is>
      </c>
    </row>
    <row r="14">
      <c r="B14" s="4" t="inlineStr"/>
    </row>
    <row r="15">
      <c r="B15" s="3" t="inlineStr">
        <is>
          <t>Precedence reminder</t>
        </is>
      </c>
    </row>
    <row r="16">
      <c r="B16" s="4" t="inlineStr">
        <is>
          <t>No commercial agreement, schedule, or form authorizes any act prohibited by, or inconsistent with, the Award or applicable federal law; in any conflict the higher-ranked instrument controls, and a lawful construction and service provision is not invalidated by a rejected IRU, exclusivity, payment, or commercial-use term (severability and reformation apply).</t>
        </is>
      </c>
    </row>
    <row r="17"/>
    <row r="18">
      <c r="A18" s="5" t="inlineStr">
        <is>
          <t>Legend:</t>
        </is>
      </c>
      <c r="B18" s="6" t="inlineStr">
        <is>
          <t>INPUT (edit these)</t>
        </is>
      </c>
      <c r="C18" s="7" t="inlineStr">
        <is>
          <t>FORMULA (do not edit)</t>
        </is>
      </c>
      <c r="D18" s="8" t="inlineStr">
        <is>
          <t>OUTPUT / RESULT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min="1" max="1"/>
    <col width="26" customWidth="1" min="2" max="2"/>
    <col width="20" customWidth="1" min="3" max="3"/>
    <col width="16" customWidth="1" min="4" max="4"/>
    <col width="34" customWidth="1" min="5" max="5"/>
    <col width="60" customWidth="1" min="6" max="6"/>
  </cols>
  <sheetData>
    <row r="1">
      <c r="A1" s="1" t="inlineStr">
        <is>
          <t>Source Document Register — Documents That Would Be Reviewed</t>
        </is>
      </c>
    </row>
    <row r="2">
      <c r="A2" s="2" t="inlineStr">
        <is>
          <t>PRELIMINARY DRAFT – NO CONTROLLING TBCP AWARD OR SOURCE DOCUMENTS SUPPLIED – PROVISIONAL BASELINE: MARCH 2024 AMENDED ROUND 2 NOFO – SUBJECT TO LEGAL, GRANT AND FINANCIAL REVIEW</t>
        </is>
      </c>
    </row>
    <row r="3">
      <c r="A3" s="9" t="inlineStr">
        <is>
          <t>Status is MISSING/CONFIRM for nearly all items because no source documents were supplied.</t>
        </is>
      </c>
    </row>
    <row r="5">
      <c r="A5" s="10" t="inlineStr">
        <is>
          <t>Item</t>
        </is>
      </c>
      <c r="B5" s="10" t="inlineStr">
        <is>
          <t>Type</t>
        </is>
      </c>
      <c r="C5" s="10" t="inlineStr">
        <is>
          <t>Date/Version</t>
        </is>
      </c>
      <c r="D5" s="10" t="inlineStr">
        <is>
          <t>Status</t>
        </is>
      </c>
      <c r="E5" s="10" t="inlineStr">
        <is>
          <t>Where Used</t>
        </is>
      </c>
      <c r="F5" s="10" t="inlineStr">
        <is>
          <t>Notes</t>
        </is>
      </c>
    </row>
    <row r="6">
      <c r="A6" s="11" t="inlineStr">
        <is>
          <t>Executed Federal Award / Form CD-450 (Financial Assistance Award)</t>
        </is>
      </c>
      <c r="B6" s="11" t="inlineStr">
        <is>
          <t>Grant / award</t>
        </is>
      </c>
      <c r="C6" s="12" t="inlineStr">
        <is>
          <t>[■ award date - not supplied]</t>
        </is>
      </c>
      <c r="D6" s="13" t="inlineStr">
        <is>
          <t>MISSING</t>
        </is>
      </c>
      <c r="E6" s="11" t="inlineStr">
        <is>
          <t>All documents; order of precedence</t>
        </is>
      </c>
      <c r="F6" s="11" t="inlineStr">
        <is>
          <t>Controlling instrument. Award number, amount, period NOT supplied - do not invent. NTIA Standard Terms and Conditions, DOC Financial Assistance Standard Terms and Conditions, and the award's Specific Award Conditions (NOT supplied)</t>
        </is>
      </c>
    </row>
    <row r="7">
      <c r="A7" s="11" t="inlineStr">
        <is>
          <t>Specific Award Conditions (SAC)</t>
        </is>
      </c>
      <c r="B7" s="11" t="inlineStr">
        <is>
          <t>Grant / award terms</t>
        </is>
      </c>
      <c r="C7" s="12" t="inlineStr">
        <is>
          <t>[■ SAC version]</t>
        </is>
      </c>
      <c r="D7" s="13" t="inlineStr">
        <is>
          <t>MISSING</t>
        </is>
      </c>
      <c r="E7" s="11" t="inlineStr">
        <is>
          <t>Docs 03, 04, 05, 07, 08, 09</t>
        </is>
      </c>
      <c r="F7" s="11" t="inlineStr">
        <is>
          <t>May restrict IRU, disposition, program income, and operator role. NTIA Standard Terms and Conditions, DOC Financial Assistance Standard Terms and Conditions, and the award's Specific Award Conditions (NOT supplied)</t>
        </is>
      </c>
    </row>
    <row r="8">
      <c r="A8" s="11" t="inlineStr">
        <is>
          <t>NTIA Standard Terms and Conditions</t>
        </is>
      </c>
      <c r="B8" s="11" t="inlineStr">
        <is>
          <t>Grant / award terms</t>
        </is>
      </c>
      <c r="C8" s="12" t="inlineStr">
        <is>
          <t>[■ effective version]</t>
        </is>
      </c>
      <c r="D8" s="13" t="inlineStr">
        <is>
          <t>CONFIRM</t>
        </is>
      </c>
      <c r="E8" s="11" t="inlineStr">
        <is>
          <t>Docs 03, 04, 05, 09</t>
        </is>
      </c>
      <c r="F8" s="11" t="inlineStr">
        <is>
          <t>NTIA Standard Terms and Conditions, DOC Financial Assistance Standard Terms and Conditions, and the award's Specific Award Conditions (NOT supplied)</t>
        </is>
      </c>
    </row>
    <row r="9">
      <c r="A9" s="11" t="inlineStr">
        <is>
          <t>DOC Financial Assistance Standard Terms and Conditions</t>
        </is>
      </c>
      <c r="B9" s="11" t="inlineStr">
        <is>
          <t>Grant / award terms</t>
        </is>
      </c>
      <c r="C9" s="12" t="inlineStr">
        <is>
          <t>[■ effective version]</t>
        </is>
      </c>
      <c r="D9" s="13" t="inlineStr">
        <is>
          <t>CONFIRM</t>
        </is>
      </c>
      <c r="E9" s="11" t="inlineStr">
        <is>
          <t>Docs 03, 04, 05</t>
        </is>
      </c>
      <c r="F9" s="11" t="inlineStr">
        <is>
          <t>NTIA Standard Terms and Conditions, DOC Financial Assistance Standard Terms and Conditions, and the award's Specific Award Conditions (NOT supplied)</t>
        </is>
      </c>
    </row>
    <row r="10">
      <c r="A10" s="11" t="inlineStr">
        <is>
          <t>Controlling Notice of Funding Opportunity (NOFO)</t>
        </is>
      </c>
      <c r="B10" s="11" t="inlineStr">
        <is>
          <t>Program rules</t>
        </is>
      </c>
      <c r="C10" s="12" t="inlineStr">
        <is>
          <t>Round 2 amended Mar 2024 (PROVISIONAL); Round 3 live Sept 2026</t>
        </is>
      </c>
      <c r="D10" s="13" t="inlineStr">
        <is>
          <t>CONFIRM</t>
        </is>
      </c>
      <c r="E10" s="11" t="inlineStr">
        <is>
          <t>All documents</t>
        </is>
      </c>
      <c r="F10" s="11" t="inlineStr">
        <is>
          <t>Round 3 is the live TBCP round as of the version date; the controlling round and executed award must be confirmed before any definitive clause is finalized. TBCP Round 2 Notice of Funding Opportunity, as amended March 2024 (PROVISIONAL BASELINE — controlling round/award NOT supplied; confirm before finalizing)</t>
        </is>
      </c>
    </row>
    <row r="11">
      <c r="A11" s="11" t="inlineStr">
        <is>
          <t>NOFO amendments / addenda</t>
        </is>
      </c>
      <c r="B11" s="11" t="inlineStr">
        <is>
          <t>Program rules</t>
        </is>
      </c>
      <c r="C11" s="12" t="inlineStr">
        <is>
          <t>[■ amendment list]</t>
        </is>
      </c>
      <c r="D11" s="13" t="inlineStr">
        <is>
          <t>MISSING</t>
        </is>
      </c>
      <c r="E11" s="11" t="inlineStr">
        <is>
          <t>Docs 03, 05, 08</t>
        </is>
      </c>
      <c r="F11" s="11" t="inlineStr">
        <is>
          <t>Confirm all amendments to the controlling round.</t>
        </is>
      </c>
    </row>
    <row r="12">
      <c r="A12" s="11" t="inlineStr">
        <is>
          <t>TBCP Infrastructure Deployment Application Guidance</t>
        </is>
      </c>
      <c r="B12" s="11" t="inlineStr">
        <is>
          <t>Program guidance</t>
        </is>
      </c>
      <c r="C12" s="12" t="inlineStr">
        <is>
          <t>[■ version matching award]</t>
        </is>
      </c>
      <c r="D12" s="13" t="inlineStr">
        <is>
          <t>CONFIRM</t>
        </is>
      </c>
      <c r="E12" s="11" t="inlineStr">
        <is>
          <t>Docs 02, 05, 06, 07</t>
        </is>
      </c>
      <c r="F12" s="11" t="inlineStr">
        <is>
          <t>TBCP Infrastructure Deployment Application Guidance (NTIA) — confirm the version matching the controlling award</t>
        </is>
      </c>
    </row>
    <row r="13">
      <c r="A13" s="11" t="inlineStr">
        <is>
          <t>Approved application (technical &amp; programmatic narrative)</t>
        </is>
      </c>
      <c r="B13" s="11" t="inlineStr">
        <is>
          <t>Application record</t>
        </is>
      </c>
      <c r="C13" s="12" t="inlineStr">
        <is>
          <t>[■ as approved]</t>
        </is>
      </c>
      <c r="D13" s="13" t="inlineStr">
        <is>
          <t>MISSING</t>
        </is>
      </c>
      <c r="E13" s="11" t="inlineStr">
        <is>
          <t>Docs 02, 06, 07, 08</t>
        </is>
      </c>
      <c r="F13" s="11" t="inlineStr">
        <is>
          <t>Defines approved scope; NOT supplied.</t>
        </is>
      </c>
    </row>
    <row r="14">
      <c r="A14" s="11" t="inlineStr">
        <is>
          <t>Approved budget and budget narrative</t>
        </is>
      </c>
      <c r="B14" s="11" t="inlineStr">
        <is>
          <t>Application record</t>
        </is>
      </c>
      <c r="C14" s="12" t="inlineStr">
        <is>
          <t>[■ as approved]</t>
        </is>
      </c>
      <c r="D14" s="13" t="inlineStr">
        <is>
          <t>MISSING</t>
        </is>
      </c>
      <c r="E14" s="11" t="inlineStr">
        <is>
          <t>Docs 03, 05, 07</t>
        </is>
      </c>
      <c r="F14" s="11" t="inlineStr">
        <is>
          <t>Basis for reimbursement and cost allocation. 2 CFR Part 200, Subpart E (Cost Principles — allowability, allocability, reasonableness)</t>
        </is>
      </c>
    </row>
    <row r="15">
      <c r="A15" s="11" t="inlineStr">
        <is>
          <t>Approved network design, routes, and GIS/KMZ</t>
        </is>
      </c>
      <c r="B15" s="11" t="inlineStr">
        <is>
          <t>Engineering record</t>
        </is>
      </c>
      <c r="C15" s="12" t="inlineStr">
        <is>
          <t>[■ as approved]</t>
        </is>
      </c>
      <c r="D15" s="13" t="inlineStr">
        <is>
          <t>MISSING</t>
        </is>
      </c>
      <c r="E15" s="11" t="inlineStr">
        <is>
          <t>Docs 02, 06, 07</t>
        </is>
      </c>
      <c r="F15" s="11" t="inlineStr">
        <is>
          <t>Routes/prices/useful life NOT supplied - do not invent.</t>
        </is>
      </c>
    </row>
    <row r="16">
      <c r="A16" s="11" t="inlineStr">
        <is>
          <t>Approved eligible-locations / homes-passed list</t>
        </is>
      </c>
      <c r="B16" s="11" t="inlineStr">
        <is>
          <t>Application record</t>
        </is>
      </c>
      <c r="C16" s="12" t="inlineStr">
        <is>
          <t>[■ as approved]</t>
        </is>
      </c>
      <c r="D16" s="13" t="inlineStr">
        <is>
          <t>MISSING</t>
        </is>
      </c>
      <c r="E16" s="11" t="inlineStr">
        <is>
          <t>Docs 02, 06, 07, 08</t>
        </is>
      </c>
      <c r="F16" s="11" t="inlineStr">
        <is>
          <t>Approved Project Area definition. [X] (locations — per approved application; NOT SUPPLIED)</t>
        </is>
      </c>
    </row>
    <row r="17">
      <c r="A17" s="11" t="inlineStr">
        <is>
          <t>Approved service commitments (speed, affordability)</t>
        </is>
      </c>
      <c r="B17" s="11" t="inlineStr">
        <is>
          <t>Application record</t>
        </is>
      </c>
      <c r="C17" s="12" t="inlineStr">
        <is>
          <t>[■ as approved]</t>
        </is>
      </c>
      <c r="D17" s="13" t="inlineStr">
        <is>
          <t>MISSING</t>
        </is>
      </c>
      <c r="E17" s="11" t="inlineStr">
        <is>
          <t>Docs 02, 08</t>
        </is>
      </c>
      <c r="F17" s="11" t="inlineStr">
        <is>
          <t>Service floor assumed 100/20 Mbps; confirm against award.</t>
        </is>
      </c>
    </row>
    <row r="18">
      <c r="A18" s="11" t="inlineStr">
        <is>
          <t>Tribal Council authorizing resolution(s)</t>
        </is>
      </c>
      <c r="B18" s="11" t="inlineStr">
        <is>
          <t>Governance / authority</t>
        </is>
      </c>
      <c r="C18" s="12" t="inlineStr">
        <is>
          <t>[■ resolution no./date]</t>
        </is>
      </c>
      <c r="D18" s="13" t="inlineStr">
        <is>
          <t>MISSING</t>
        </is>
      </c>
      <c r="E18" s="11" t="inlineStr">
        <is>
          <t>Docs 02, 06, 08; Schedule S1</t>
        </is>
      </c>
      <c r="F18" s="11" t="inlineStr">
        <is>
          <t>Authority of Tribal signatory NOT supplied.</t>
        </is>
      </c>
    </row>
    <row r="19">
      <c r="A19" s="11" t="inlineStr">
        <is>
          <t>Tribal designation of entity/instrumentality (if any)</t>
        </is>
      </c>
      <c r="B19" s="11" t="inlineStr">
        <is>
          <t>Governance / authority</t>
        </is>
      </c>
      <c r="C19" s="12" t="inlineStr">
        <is>
          <t>[■ if applicable]</t>
        </is>
      </c>
      <c r="D19" s="13" t="inlineStr">
        <is>
          <t>MISSING</t>
        </is>
      </c>
      <c r="E19" s="11" t="inlineStr">
        <is>
          <t>Docs 06, 08</t>
        </is>
      </c>
      <c r="F19" s="11" t="inlineStr">
        <is>
          <t>a wholly owned Tribal entity or Tribally chartered instrumentality designated by the Lumbee Tribe</t>
        </is>
      </c>
    </row>
    <row r="20">
      <c r="A20" s="11" t="inlineStr">
        <is>
          <t>RIVR Tech (LREMC Technologies, LLC) formation &amp; governance docs</t>
        </is>
      </c>
      <c r="B20" s="11" t="inlineStr">
        <is>
          <t>Corporate</t>
        </is>
      </c>
      <c r="C20" s="12" t="inlineStr">
        <is>
          <t>[■ charter/operating agreement]</t>
        </is>
      </c>
      <c r="D20" s="13" t="inlineStr">
        <is>
          <t>MISSING</t>
        </is>
      </c>
      <c r="E20" s="11" t="inlineStr">
        <is>
          <t>Docs 04, 05, 06</t>
        </is>
      </c>
      <c r="F20" s="11" t="inlineStr">
        <is>
          <t>Confirm authority, ownership, affiliation with LREMC.</t>
        </is>
      </c>
    </row>
    <row r="21">
      <c r="A21" s="11" t="inlineStr">
        <is>
          <t>LREMC corporate authority / board consent</t>
        </is>
      </c>
      <c r="B21" s="11" t="inlineStr">
        <is>
          <t>Corporate / affiliate</t>
        </is>
      </c>
      <c r="C21" s="12" t="inlineStr">
        <is>
          <t>[■ board consent]</t>
        </is>
      </c>
      <c r="D21" s="13" t="inlineStr">
        <is>
          <t>MISSING</t>
        </is>
      </c>
      <c r="E21" s="11" t="inlineStr">
        <is>
          <t>Docs 06, 07; Schedule S9</t>
        </is>
      </c>
      <c r="F21" s="11" t="inlineStr">
        <is>
          <t>Separate owner of poles/fiber/easements/huts/power/land.</t>
        </is>
      </c>
    </row>
    <row r="22">
      <c r="A22" s="11" t="inlineStr">
        <is>
          <t>Procurement record for RIVR Tech selection</t>
        </is>
      </c>
      <c r="B22" s="11" t="inlineStr">
        <is>
          <t>Procurement</t>
        </is>
      </c>
      <c r="C22" s="12" t="inlineStr">
        <is>
          <t>[■ solicitation/award file]</t>
        </is>
      </c>
      <c r="D22" s="13" t="inlineStr">
        <is>
          <t>MISSING</t>
        </is>
      </c>
      <c r="E22" s="11" t="inlineStr">
        <is>
          <t>Docs 04, 05</t>
        </is>
      </c>
      <c r="F22" s="11" t="inlineStr">
        <is>
          <t>2 CFR 200.317–200.327 (Procurement standards)</t>
        </is>
      </c>
    </row>
    <row r="23">
      <c r="A23" s="11" t="inlineStr">
        <is>
          <t>Existing RIVR Tech network as-builts, inventory &amp; valuation</t>
        </is>
      </c>
      <c r="B23" s="11" t="inlineStr">
        <is>
          <t>Asset / valuation</t>
        </is>
      </c>
      <c r="C23" s="12" t="inlineStr">
        <is>
          <t>[■ inventory &amp; valuation]</t>
        </is>
      </c>
      <c r="D23" s="13" t="inlineStr">
        <is>
          <t>MISSING</t>
        </is>
      </c>
      <c r="E23" s="11" t="inlineStr">
        <is>
          <t>Docs 05, 07</t>
        </is>
      </c>
      <c r="F23" s="11" t="inlineStr">
        <is>
          <t>Pre-existing assets stay RIVR Tech's; value/cost-allocate - never free. 2 CFR Part 200, Subpart E (Cost Principles — allowability, allocability, reasonableness)</t>
        </is>
      </c>
    </row>
    <row r="24">
      <c r="A24" s="11" t="inlineStr">
        <is>
          <t>Existing RIVR Tech customer &amp; service contracts</t>
        </is>
      </c>
      <c r="B24" s="11" t="inlineStr">
        <is>
          <t>Contracts</t>
        </is>
      </c>
      <c r="C24" s="12" t="inlineStr">
        <is>
          <t>[■ contract list]</t>
        </is>
      </c>
      <c r="D24" s="13" t="inlineStr">
        <is>
          <t>MISSING</t>
        </is>
      </c>
      <c r="E24" s="11" t="inlineStr">
        <is>
          <t>Docs 06, 07, 08</t>
        </is>
      </c>
      <c r="F24" s="11" t="inlineStr">
        <is>
          <t>Provider-of-record and non-project use analysis.</t>
        </is>
      </c>
    </row>
    <row r="25">
      <c r="A25" s="11" t="inlineStr">
        <is>
          <t>LREMC pole attachment agreement(s)</t>
        </is>
      </c>
      <c r="B25" s="11" t="inlineStr">
        <is>
          <t>Land / access</t>
        </is>
      </c>
      <c r="C25" s="12" t="inlineStr">
        <is>
          <t>[■ agreement date]</t>
        </is>
      </c>
      <c r="D25" s="13" t="inlineStr">
        <is>
          <t>MISSING</t>
        </is>
      </c>
      <c r="E25" s="11" t="inlineStr">
        <is>
          <t>Docs 06, 07; Schedule S9</t>
        </is>
      </c>
      <c r="F25" s="11" t="inlineStr">
        <is>
          <t>N.C. Gen. Stat. § 62-350 (broadband attachment to utility poles)</t>
        </is>
      </c>
    </row>
    <row r="26">
      <c r="A26" s="11" t="inlineStr">
        <is>
          <t>LREMC easement / right-of-way records</t>
        </is>
      </c>
      <c r="B26" s="11" t="inlineStr">
        <is>
          <t>Land / access</t>
        </is>
      </c>
      <c r="C26" s="12" t="inlineStr">
        <is>
          <t>[■ record set]</t>
        </is>
      </c>
      <c r="D26" s="13" t="inlineStr">
        <is>
          <t>MISSING</t>
        </is>
      </c>
      <c r="E26" s="11" t="inlineStr">
        <is>
          <t>Docs 07; Schedule S9</t>
        </is>
      </c>
      <c r="F26" s="11" t="inlineStr">
        <is>
          <t>25 CFR Part 169 (rights-of-way over Indian land) — where trust/restricted land is crossed (if Indian land).</t>
        </is>
      </c>
    </row>
    <row r="27">
      <c r="A27" s="11" t="inlineStr">
        <is>
          <t>LREMC land / hut / site leases</t>
        </is>
      </c>
      <c r="B27" s="11" t="inlineStr">
        <is>
          <t>Land / access</t>
        </is>
      </c>
      <c r="C27" s="12" t="inlineStr">
        <is>
          <t>[■ lease set]</t>
        </is>
      </c>
      <c r="D27" s="13" t="inlineStr">
        <is>
          <t>MISSING</t>
        </is>
      </c>
      <c r="E27" s="11" t="inlineStr">
        <is>
          <t>Docs 07; Schedule S9</t>
        </is>
      </c>
      <c r="F27" s="11" t="inlineStr">
        <is>
          <t>25 CFR Part 162 (leases of Indian land) — where trust/restricted land is used (if trust/restricted land).</t>
        </is>
      </c>
    </row>
    <row r="28">
      <c r="A28" s="11" t="inlineStr">
        <is>
          <t>Title / real-property records</t>
        </is>
      </c>
      <c r="B28" s="11" t="inlineStr">
        <is>
          <t>Land / title</t>
        </is>
      </c>
      <c r="C28" s="12" t="inlineStr">
        <is>
          <t>[■ title set]</t>
        </is>
      </c>
      <c r="D28" s="13" t="inlineStr">
        <is>
          <t>MISSING</t>
        </is>
      </c>
      <c r="E28" s="11" t="inlineStr">
        <is>
          <t>Docs 07; Schedule S9</t>
        </is>
      </c>
      <c r="F28" s="11" t="inlineStr">
        <is>
          <t>2 CFR 200.311 (Real property — use, encumbrance, and disposition)</t>
        </is>
      </c>
    </row>
    <row r="29">
      <c r="A29" s="11" t="inlineStr">
        <is>
          <t>Power / electrical service agreements (huts/cabinets)</t>
        </is>
      </c>
      <c r="B29" s="11" t="inlineStr">
        <is>
          <t>Utility</t>
        </is>
      </c>
      <c r="C29" s="12" t="inlineStr">
        <is>
          <t>[■ service agreements]</t>
        </is>
      </c>
      <c r="D29" s="13" t="inlineStr">
        <is>
          <t>MISSING</t>
        </is>
      </c>
      <c r="E29" s="11" t="inlineStr">
        <is>
          <t>Docs 06, 07; Schedule S9</t>
        </is>
      </c>
      <c r="F29" s="11" t="inlineStr">
        <is>
          <t>LREMC/utility-owned; confirm consideration.</t>
        </is>
      </c>
    </row>
    <row r="30">
      <c r="A30" s="11" t="inlineStr">
        <is>
          <t>NEPA / environmental review records</t>
        </is>
      </c>
      <c r="B30" s="11" t="inlineStr">
        <is>
          <t>Environmental</t>
        </is>
      </c>
      <c r="C30" s="12" t="inlineStr">
        <is>
          <t>[■ EA/CATEX record]</t>
        </is>
      </c>
      <c r="D30" s="13" t="inlineStr">
        <is>
          <t>MISSING</t>
        </is>
      </c>
      <c r="E30" s="11" t="inlineStr">
        <is>
          <t>Docs 03, 06</t>
        </is>
      </c>
      <c r="F30" s="11" t="inlineStr">
        <is>
          <t>National Environmental Policy Act (NEPA), 42 U.S.C. § 4321 et seq., and DOC/NTIA implementing procedures</t>
        </is>
      </c>
    </row>
    <row r="31">
      <c r="A31" s="11" t="inlineStr">
        <is>
          <t>NHPA Section 106 consultation records</t>
        </is>
      </c>
      <c r="B31" s="11" t="inlineStr">
        <is>
          <t>Historic preservation</t>
        </is>
      </c>
      <c r="C31" s="12" t="inlineStr">
        <is>
          <t>[■ Sec.106 record]</t>
        </is>
      </c>
      <c r="D31" s="13" t="inlineStr">
        <is>
          <t>MISSING</t>
        </is>
      </c>
      <c r="E31" s="11" t="inlineStr">
        <is>
          <t>Docs 03, 06</t>
        </is>
      </c>
      <c r="F31" s="11" t="inlineStr">
        <is>
          <t>National Historic Preservation Act § 106, 54 U.S.C. § 306108 (36 CFR Part 800)</t>
        </is>
      </c>
    </row>
    <row r="32">
      <c r="A32" s="11" t="inlineStr">
        <is>
          <t>Insurance policies / certificates (both parties)</t>
        </is>
      </c>
      <c r="B32" s="11" t="inlineStr">
        <is>
          <t>Insurance</t>
        </is>
      </c>
      <c r="C32" s="12" t="inlineStr">
        <is>
          <t>[■ policies/COIs]</t>
        </is>
      </c>
      <c r="D32" s="13" t="inlineStr">
        <is>
          <t>MISSING</t>
        </is>
      </c>
      <c r="E32" s="11" t="inlineStr">
        <is>
          <t>Docs 02, 03; Schedule S12</t>
        </is>
      </c>
      <c r="F32" s="11" t="inlineStr">
        <is>
          <t>2 CFR 200.310 (Insurance coverage)</t>
        </is>
      </c>
    </row>
    <row r="33">
      <c r="A33" s="11" t="inlineStr">
        <is>
          <t>BABA compliance documentation / waivers</t>
        </is>
      </c>
      <c r="B33" s="11" t="inlineStr">
        <is>
          <t>Supply chain</t>
        </is>
      </c>
      <c r="C33" s="12" t="inlineStr">
        <is>
          <t>[■ BABA record]</t>
        </is>
      </c>
      <c r="D33" s="13" t="inlineStr">
        <is>
          <t>MISSING</t>
        </is>
      </c>
      <c r="E33" s="11" t="inlineStr">
        <is>
          <t>Docs 03, 05</t>
        </is>
      </c>
      <c r="F33" s="11" t="inlineStr">
        <is>
          <t>Build America, Buy America Act, IIJA §§ 70911–70917 (Pub. L. 117-58); 2 CFR Part 184; and NTIA BABA award terms</t>
        </is>
      </c>
    </row>
    <row r="34">
      <c r="A34" s="11" t="inlineStr">
        <is>
          <t>Section 889 covered-equipment attestations</t>
        </is>
      </c>
      <c r="B34" s="11" t="inlineStr">
        <is>
          <t>Supply chain</t>
        </is>
      </c>
      <c r="C34" s="12" t="inlineStr">
        <is>
          <t>[■ attestations]</t>
        </is>
      </c>
      <c r="D34" s="13" t="inlineStr">
        <is>
          <t>MISSING</t>
        </is>
      </c>
      <c r="E34" s="11" t="inlineStr">
        <is>
          <t>Docs 03, 05</t>
        </is>
      </c>
      <c r="F34" s="11" t="inlineStr">
        <is>
          <t>2 CFR 200.216 (Prohibition on certain telecommunications and video surveillance — §889 covered equipment)</t>
        </is>
      </c>
    </row>
    <row r="35">
      <c r="A35" s="11" t="inlineStr">
        <is>
          <t>SAM.gov registration / UEI / active registration</t>
        </is>
      </c>
      <c r="B35" s="11" t="inlineStr">
        <is>
          <t>Eligibility</t>
        </is>
      </c>
      <c r="C35" s="12" t="inlineStr">
        <is>
          <t>[■ UEI / status]</t>
        </is>
      </c>
      <c r="D35" s="13" t="inlineStr">
        <is>
          <t>CONFIRM</t>
        </is>
      </c>
      <c r="E35" s="11" t="inlineStr">
        <is>
          <t>Docs 03, 04</t>
        </is>
      </c>
      <c r="F35" s="11" t="inlineStr">
        <is>
          <t>Confirm active registration and exclusions check.</t>
        </is>
      </c>
    </row>
    <row r="36">
      <c r="A36" s="11" t="inlineStr">
        <is>
          <t>Debarment / suspension (SAM exclusions) checks</t>
        </is>
      </c>
      <c r="B36" s="11" t="inlineStr">
        <is>
          <t>Eligibility</t>
        </is>
      </c>
      <c r="C36" s="12" t="inlineStr">
        <is>
          <t>[■ check date]</t>
        </is>
      </c>
      <c r="D36" s="13" t="inlineStr">
        <is>
          <t>MISSING</t>
        </is>
      </c>
      <c r="E36" s="11" t="inlineStr">
        <is>
          <t>Docs 04, 05</t>
        </is>
      </c>
      <c r="F36" s="11" t="inlineStr">
        <is>
          <t>2 CFR Part 180 and 2 CFR Part 1327 (Governmentwide debarment and suspension — DOC/NTIA adoption)</t>
        </is>
      </c>
    </row>
    <row r="37">
      <c r="A37" s="11" t="inlineStr">
        <is>
          <t>Interconnection / transport / transit agreements</t>
        </is>
      </c>
      <c r="B37" s="11" t="inlineStr">
        <is>
          <t>Network</t>
        </is>
      </c>
      <c r="C37" s="12" t="inlineStr">
        <is>
          <t>[■ agreement set]</t>
        </is>
      </c>
      <c r="D37" s="13" t="inlineStr">
        <is>
          <t>MISSING</t>
        </is>
      </c>
      <c r="E37" s="11" t="inlineStr">
        <is>
          <t>Docs 06, 07</t>
        </is>
      </c>
      <c r="F37" s="11" t="inlineStr">
        <is>
          <t>Middle-mile / IP transit; RIVR Tech Existing Network.</t>
        </is>
      </c>
    </row>
    <row r="38">
      <c r="A38" s="11" t="inlineStr">
        <is>
          <t>Billing / OSS / BSS software licenses</t>
        </is>
      </c>
      <c r="B38" s="11" t="inlineStr">
        <is>
          <t>Systems</t>
        </is>
      </c>
      <c r="C38" s="12" t="inlineStr">
        <is>
          <t>[■ license set]</t>
        </is>
      </c>
      <c r="D38" s="13" t="inlineStr">
        <is>
          <t>MISSING</t>
        </is>
      </c>
      <c r="E38" s="11" t="inlineStr">
        <is>
          <t>Docs 06, 07</t>
        </is>
      </c>
      <c r="F38" s="11" t="inlineStr">
        <is>
          <t>Confirm license scope, data ownership, portability.</t>
        </is>
      </c>
    </row>
    <row r="39">
      <c r="A39" s="11" t="inlineStr">
        <is>
          <t>Customer data &amp; privacy policies (CPNI)</t>
        </is>
      </c>
      <c r="B39" s="11" t="inlineStr">
        <is>
          <t>Privacy</t>
        </is>
      </c>
      <c r="C39" s="12" t="inlineStr">
        <is>
          <t>[■ policies]</t>
        </is>
      </c>
      <c r="D39" s="13" t="inlineStr">
        <is>
          <t>MISSING</t>
        </is>
      </c>
      <c r="E39" s="11" t="inlineStr">
        <is>
          <t>Docs 06, 08</t>
        </is>
      </c>
      <c r="F39" s="11" t="inlineStr">
        <is>
          <t>47 U.S.C. § 222 and 47 CFR §§ 64.2001–64.2011 (Customer Proprietary Network Information)</t>
        </is>
      </c>
    </row>
    <row r="40">
      <c r="A40" s="11" t="inlineStr">
        <is>
          <t>Cybersecurity program / System Security Plan</t>
        </is>
      </c>
      <c r="B40" s="11" t="inlineStr">
        <is>
          <t>Cybersecurity</t>
        </is>
      </c>
      <c r="C40" s="12" t="inlineStr">
        <is>
          <t>[■ SSP]</t>
        </is>
      </c>
      <c r="D40" s="13" t="inlineStr">
        <is>
          <t>MISSING</t>
        </is>
      </c>
      <c r="E40" s="11" t="inlineStr">
        <is>
          <t>Docs 02, 06</t>
        </is>
      </c>
      <c r="F40" s="11" t="inlineStr">
        <is>
          <t>Supply-chain risk and incident response.</t>
        </is>
      </c>
    </row>
    <row r="41">
      <c r="A41" s="11" t="inlineStr">
        <is>
          <t>Lumbee federal-recognition status documentation</t>
        </is>
      </c>
      <c r="B41" s="11" t="inlineStr">
        <is>
          <t>Eligibility (threshold)</t>
        </is>
      </c>
      <c r="C41" s="12" t="inlineStr">
        <is>
          <t>[■ status confirmation]</t>
        </is>
      </c>
      <c r="D41" s="13" t="inlineStr">
        <is>
          <t>CONFIRM</t>
        </is>
      </c>
      <c r="E41" s="11" t="inlineStr">
        <is>
          <t>Docs 02, 03, 09</t>
        </is>
      </c>
      <c r="F41" s="11" t="inlineStr">
        <is>
          <t>Lumbee Act of 1956, Pub. L. 84-570, 70 Stat. 254 (federal-recognition status affecting TBCP eligibility) - threshold TBCP eligibility issue.</t>
        </is>
      </c>
    </row>
    <row r="42">
      <c r="A42" s="11" t="inlineStr">
        <is>
          <t>TERO ordinance / Tribal preference requirements</t>
        </is>
      </c>
      <c r="B42" s="11" t="inlineStr">
        <is>
          <t>Tribal / labor</t>
        </is>
      </c>
      <c r="C42" s="12" t="inlineStr">
        <is>
          <t>[■ ordinance]</t>
        </is>
      </c>
      <c r="D42" s="13" t="inlineStr">
        <is>
          <t>CONFIRM</t>
        </is>
      </c>
      <c r="E42" s="11" t="inlineStr">
        <is>
          <t>Docs 02, 05</t>
        </is>
      </c>
      <c r="F42" s="11" t="inlineStr">
        <is>
          <t>Applicable Tribal Employment Rights Ordinance (TERO) and Tribal preference requirements [COUNSEL TO CONFIRM applicability to the Lumbee Tribe]</t>
        </is>
      </c>
    </row>
    <row r="43">
      <c r="A43" s="11" t="inlineStr">
        <is>
          <t>NC state regulatory (pole attach / NCDOT encroachment)</t>
        </is>
      </c>
      <c r="B43" s="11" t="inlineStr">
        <is>
          <t>State regulatory</t>
        </is>
      </c>
      <c r="C43" s="12" t="inlineStr">
        <is>
          <t>[■ filings/permits]</t>
        </is>
      </c>
      <c r="D43" s="13" t="inlineStr">
        <is>
          <t>CONFIRM</t>
        </is>
      </c>
      <c r="E43" s="11" t="inlineStr">
        <is>
          <t>Docs 06, 07</t>
        </is>
      </c>
      <c r="F43" s="11" t="inlineStr">
        <is>
          <t>N.C. Gen. Stat. § 62-350 (broadband attachment to utility poles); N.C. Gen. Stat. § 136-18 and NCDOT utility accommodation policy (encroachment/ROW in NCDOT corridors); N.C. Gen. Stat. Ch. 87, Art. 8A (Underground Utility Safety and Damage Prevention Act / 811 locates)</t>
        </is>
      </c>
    </row>
    <row r="44">
      <c r="A44" s="11" t="inlineStr">
        <is>
          <t>Prior / related federal awards (program-income history)</t>
        </is>
      </c>
      <c r="B44" s="11" t="inlineStr">
        <is>
          <t>Grant history</t>
        </is>
      </c>
      <c r="C44" s="12" t="inlineStr">
        <is>
          <t>[■ award history]</t>
        </is>
      </c>
      <c r="D44" s="13" t="inlineStr">
        <is>
          <t>CONFIRM</t>
        </is>
      </c>
      <c r="E44" s="11" t="inlineStr">
        <is>
          <t>Docs 03, 08</t>
        </is>
      </c>
      <c r="F44" s="11" t="inlineStr">
        <is>
          <t>2 CFR 200.307 (Program income)</t>
        </is>
      </c>
    </row>
    <row r="45">
      <c r="A45" s="11" t="inlineStr">
        <is>
          <t>Single-audit reports (recipient)</t>
        </is>
      </c>
      <c r="B45" s="11" t="inlineStr">
        <is>
          <t>Audit</t>
        </is>
      </c>
      <c r="C45" s="12" t="inlineStr">
        <is>
          <t>[■ most recent]</t>
        </is>
      </c>
      <c r="D45" s="13" t="inlineStr">
        <is>
          <t>CONFIRM</t>
        </is>
      </c>
      <c r="E45" s="11" t="inlineStr">
        <is>
          <t>Docs 03, 04</t>
        </is>
      </c>
      <c r="F45" s="11" t="inlineStr">
        <is>
          <t>2 CFR Part 200, Subpart F (Audit Requirements; single-audit threshold $1,000,000)</t>
        </is>
      </c>
    </row>
    <row r="47">
      <c r="A47" s="5" t="inlineStr">
        <is>
          <t>Legend:</t>
        </is>
      </c>
      <c r="B47" s="6" t="inlineStr">
        <is>
          <t>INPUT (edit these)</t>
        </is>
      </c>
      <c r="C47" s="7" t="inlineStr">
        <is>
          <t>FORMULA (do not edit)</t>
        </is>
      </c>
      <c r="D47" s="8" t="inlineStr">
        <is>
          <t>OUTPUT / RESULT</t>
        </is>
      </c>
    </row>
    <row r="49">
      <c r="A49" s="14" t="inlineStr">
        <is>
          <t>Counts (of listed items):</t>
        </is>
      </c>
      <c r="B49" s="15">
        <f>COUNTIF(D6:D45,"MISSING")</f>
        <v/>
      </c>
      <c r="C49" s="16" t="inlineStr">
        <is>
          <t>MISSING</t>
        </is>
      </c>
      <c r="D49" s="15">
        <f>COUNTIF(D6:D45,"CONFIRM")</f>
        <v/>
      </c>
      <c r="E49" s="16" t="inlineStr">
        <is>
          <t>CONFIRM</t>
        </is>
      </c>
    </row>
  </sheetData>
  <autoFilter ref="A5:F5"/>
  <mergeCells count="3">
    <mergeCell ref="A3:F3"/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40" customWidth="1" min="3" max="3"/>
    <col width="22" customWidth="1" min="4" max="4"/>
    <col width="30" customWidth="1" min="5" max="5"/>
    <col width="44" customWidth="1" min="6" max="6"/>
  </cols>
  <sheetData>
    <row r="1">
      <c r="A1" s="1" t="inlineStr">
        <is>
          <t>Working Assumptions Register — ASSUMPTION, NOT FACT</t>
        </is>
      </c>
    </row>
    <row r="2">
      <c r="A2" s="2" t="inlineStr">
        <is>
          <t>PRELIMINARY DRAFT – NO CONTROLLING TBCP AWARD OR SOURCE DOCUMENTS SUPPLIED – PROVISIONAL BASELINE: MARCH 2024 AMENDED ROUND 2 NOFO – SUBJECT TO LEGAL, GRANT AND FINANCIAL REVIEW</t>
        </is>
      </c>
    </row>
    <row r="3">
      <c r="A3" s="9" t="inlineStr">
        <is>
          <t>Every row is a working assumption used in the Phase 1 drafts; each must be confirmed against the controlling award.</t>
        </is>
      </c>
    </row>
    <row r="5">
      <c r="A5" s="10" t="inlineStr">
        <is>
          <t>ID</t>
        </is>
      </c>
      <c r="B5" s="10" t="inlineStr">
        <is>
          <t>Working Assumption</t>
        </is>
      </c>
      <c r="C5" s="10" t="inlineStr">
        <is>
          <t>Rationale / Basis</t>
        </is>
      </c>
      <c r="D5" s="10" t="inlineStr">
        <is>
          <t>Tag</t>
        </is>
      </c>
      <c r="E5" s="10" t="inlineStr">
        <is>
          <t>Confirm With</t>
        </is>
      </c>
      <c r="F5" s="10" t="inlineStr">
        <is>
          <t>Impact if Wrong</t>
        </is>
      </c>
    </row>
    <row r="6">
      <c r="A6" s="17" t="inlineStr">
        <is>
          <t>A1</t>
        </is>
      </c>
      <c r="B6" s="11" t="inlineStr">
        <is>
          <t>Parties are the Lumbee Tribe of North Carolina (recipient/steward) and LREMC Technologies, LLC d/b/a RIVR Tech.</t>
        </is>
      </c>
      <c r="C6" s="11" t="inlineStr">
        <is>
          <t>Deal brief; party constants in common.py.</t>
        </is>
      </c>
      <c r="D6" s="18" t="inlineStr">
        <is>
          <t>ASSUMPTION - NOT FACT</t>
        </is>
      </c>
      <c r="E6" s="12" t="inlineStr">
        <is>
          <t>Award; Tribal resolution</t>
        </is>
      </c>
      <c r="F6" s="11" t="inlineStr">
        <is>
          <t>Wrong party voids authority and precedence.</t>
        </is>
      </c>
    </row>
    <row r="7">
      <c r="A7" s="17" t="inlineStr">
        <is>
          <t>A2</t>
        </is>
      </c>
      <c r="B7" s="11" t="inlineStr">
        <is>
          <t>The Lumbee Tribe owns the Grant-Funded Assets unless the Award + written federal approval say otherwise.</t>
        </is>
      </c>
      <c r="C7" s="11" t="inlineStr">
        <is>
          <t>2 CFR 200.313 (Equipment — use, management, and disposition); 2 CFR 200.311 (Real property — use, encumbrance, and disposition)</t>
        </is>
      </c>
      <c r="D7" s="18" t="inlineStr">
        <is>
          <t>ASSUMPTION - NOT FACT</t>
        </is>
      </c>
      <c r="E7" s="12" t="inlineStr">
        <is>
          <t>Award; SAC; grants officer</t>
        </is>
      </c>
      <c r="F7" s="11" t="inlineStr">
        <is>
          <t>Alters IRU structure, disposition, federal interest.</t>
        </is>
      </c>
    </row>
    <row r="8">
      <c r="A8" s="17" t="inlineStr">
        <is>
          <t>A3</t>
        </is>
      </c>
      <c r="B8" s="11" t="inlineStr">
        <is>
          <t>RIVR Tech is a contractor/vendor, not a subrecipient (provisional).</t>
        </is>
      </c>
      <c r="C8" s="11" t="inlineStr">
        <is>
          <t>2 CFR 200.331 (Subrecipient and contractor determinations)</t>
        </is>
      </c>
      <c r="D8" s="18" t="inlineStr">
        <is>
          <t>ASSUMPTION - NOT FACT</t>
        </is>
      </c>
      <c r="E8" s="12" t="inlineStr">
        <is>
          <t>Grants officer written determination</t>
        </is>
      </c>
      <c r="F8" s="11" t="inlineStr">
        <is>
          <t>If subrecipient, triggers pass-through duties (200.332).</t>
        </is>
      </c>
    </row>
    <row r="9">
      <c r="A9" s="17" t="inlineStr">
        <is>
          <t>A4</t>
        </is>
      </c>
      <c r="B9" s="11" t="inlineStr">
        <is>
          <t>LREMC is a SEPARATE owner of poles/fiber/easements/huts/power/land (LREMC Facilities); separate consent/joinder required.</t>
        </is>
      </c>
      <c r="C9" s="11" t="inlineStr">
        <is>
          <t>Deal brief; N.C. Gen. Stat. § 62-350 (broadband attachment to utility poles)</t>
        </is>
      </c>
      <c r="D9" s="18" t="inlineStr">
        <is>
          <t>ASSUMPTION - NOT FACT</t>
        </is>
      </c>
      <c r="E9" s="12" t="inlineStr">
        <is>
          <t>LREMC board; title/easement records</t>
        </is>
      </c>
      <c r="F9" s="11" t="inlineStr">
        <is>
          <t>No consent = no lawful access; construction blocked.</t>
        </is>
      </c>
    </row>
    <row r="10">
      <c r="A10" s="17" t="inlineStr">
        <is>
          <t>A5</t>
        </is>
      </c>
      <c r="B10" s="11" t="inlineStr">
        <is>
          <t>Primary economics: RIVR Tech pays the Lumbee Tribe $[X] per Active Subscriber per month; characterization Option D (provisional).</t>
        </is>
      </c>
      <c r="C10" s="11" t="inlineStr">
        <is>
          <t>characterization is provisional; program-income treatment under 2 CFR 200.307 turns on the controlling Award and written NTIA determination, not the label</t>
        </is>
      </c>
      <c r="D10" s="18" t="inlineStr">
        <is>
          <t>ASSUMPTION - NOT FACT</t>
        </is>
      </c>
      <c r="E10" s="12" t="inlineStr">
        <is>
          <t>Grants officer; finance advisor</t>
        </is>
      </c>
      <c r="F10" s="11" t="inlineStr">
        <is>
          <t>Program-income treatment turns on the Award, not the label.</t>
        </is>
      </c>
    </row>
    <row r="11">
      <c r="A11" s="17" t="inlineStr">
        <is>
          <t>A6</t>
        </is>
      </c>
      <c r="B11" s="11" t="inlineStr">
        <is>
          <t>Term = 20 years from acceptance of each Network segment + two (2) optional renewal terms of five (5) years each.</t>
        </is>
      </c>
      <c r="C11" s="11" t="inlineStr">
        <is>
          <t>Deal brief; ceiling: the useful life of the Grant-Funded Assets, the duration of the underlying land/access rights, the Federal Interest period, and the controlling Award</t>
        </is>
      </c>
      <c r="D11" s="18" t="inlineStr">
        <is>
          <t>ASSUMPTION - NOT FACT</t>
        </is>
      </c>
      <c r="E11" s="12" t="inlineStr">
        <is>
          <t>Counsel; grants officer</t>
        </is>
      </c>
      <c r="F11" s="11" t="inlineStr">
        <is>
          <t>Term cannot exceed useful life / federal-interest period.</t>
        </is>
      </c>
    </row>
    <row r="12">
      <c r="A12" s="17" t="inlineStr">
        <is>
          <t>A7</t>
        </is>
      </c>
      <c r="B12" s="11" t="inlineStr">
        <is>
          <t>Provisional baseline = TBCP Round 2 Notice of Funding Opportunity, as amended March 2024 (PROVISIONAL BASELINE).</t>
        </is>
      </c>
      <c r="C12" s="11" t="inlineStr">
        <is>
          <t>Round 3 is the live TBCP round as of the version date; the controlling round and executed award must be confirmed before any definitive clause is finalized.</t>
        </is>
      </c>
      <c r="D12" s="18" t="inlineStr">
        <is>
          <t>ASSUMPTION - NOT FACT</t>
        </is>
      </c>
      <c r="E12" s="12" t="inlineStr">
        <is>
          <t>Grants officer; NOFO PDFs</t>
        </is>
      </c>
      <c r="F12" s="11" t="inlineStr">
        <is>
          <t>Wrong round changes eligibility, match, deadlines.</t>
        </is>
      </c>
    </row>
    <row r="13">
      <c r="A13" s="17" t="inlineStr">
        <is>
          <t>A8</t>
        </is>
      </c>
      <c r="B13" s="11" t="inlineStr">
        <is>
          <t>Pre-existing RIVR Tech Existing Network stays RIVR Tech's and must be valued / cost-allocated - never a free contribution.</t>
        </is>
      </c>
      <c r="C13" s="11" t="inlineStr">
        <is>
          <t>2 CFR Part 200, Subpart E (Cost Principles — allowability, allocability, reasonableness)</t>
        </is>
      </c>
      <c r="D13" s="18" t="inlineStr">
        <is>
          <t>ASSUMPTION - NOT FACT</t>
        </is>
      </c>
      <c r="E13" s="12" t="inlineStr">
        <is>
          <t>Valuation; finance advisor</t>
        </is>
      </c>
      <c r="F13" s="11" t="inlineStr">
        <is>
          <t>Free use of grant capacity or unpriced contribution risks disallowance.</t>
        </is>
      </c>
    </row>
    <row r="14">
      <c r="A14" s="17" t="inlineStr">
        <is>
          <t>A9</t>
        </is>
      </c>
      <c r="B14" s="11" t="inlineStr">
        <is>
          <t>Lumbee federal-recognition status is adequate for TBCP eligibility (THRESHOLD).</t>
        </is>
      </c>
      <c r="C14" s="11" t="inlineStr">
        <is>
          <t>Lumbee Act of 1956, Pub. L. 84-570, 70 Stat. 254 (federal-recognition status affecting TBCP eligibility)</t>
        </is>
      </c>
      <c r="D14" s="18" t="inlineStr">
        <is>
          <t>ASSUMPTION - NOT FACT</t>
        </is>
      </c>
      <c r="E14" s="12" t="inlineStr">
        <is>
          <t>Counsel; NTIA (threshold)</t>
        </is>
      </c>
      <c r="F14" s="11" t="inlineStr">
        <is>
          <t>Eligibility failure is dispositive - flag GRANT + ATTORNEY.</t>
        </is>
      </c>
    </row>
    <row r="15">
      <c r="A15" s="17" t="inlineStr">
        <is>
          <t>A10</t>
        </is>
      </c>
      <c r="B15" s="11" t="inlineStr">
        <is>
          <t>Approved service floor is 100/20 Mbps.</t>
        </is>
      </c>
      <c r="C15" s="11" t="inlineStr">
        <is>
          <t>TBCP guidance; confirm against approved commitments.</t>
        </is>
      </c>
      <c r="D15" s="18" t="inlineStr">
        <is>
          <t>ASSUMPTION - NOT FACT</t>
        </is>
      </c>
      <c r="E15" s="12" t="inlineStr">
        <is>
          <t>Award; application</t>
        </is>
      </c>
      <c r="F15" s="11" t="inlineStr">
        <is>
          <t>Affects design, SLA, and affordability commitments.</t>
        </is>
      </c>
    </row>
    <row r="16">
      <c r="A16" s="17" t="inlineStr">
        <is>
          <t>A11</t>
        </is>
      </c>
      <c r="B16" s="11" t="inlineStr">
        <is>
          <t>Grant-funded capacity is never free commercial capacity; commercial/non-project use requires valuation + approval.</t>
        </is>
      </c>
      <c r="C16" s="11" t="inlineStr">
        <is>
          <t>2 CFR 200.307 (Program income); 2 CFR 200.313 (Equipment — use, management, and disposition)</t>
        </is>
      </c>
      <c r="D16" s="18" t="inlineStr">
        <is>
          <t>ASSUMPTION - NOT FACT</t>
        </is>
      </c>
      <c r="E16" s="12" t="inlineStr">
        <is>
          <t>Grants officer</t>
        </is>
      </c>
      <c r="F16" s="11" t="inlineStr">
        <is>
          <t>Unapproved commercial use risks program income / disposition findings.</t>
        </is>
      </c>
    </row>
    <row r="17">
      <c r="A17" s="17" t="inlineStr">
        <is>
          <t>A12</t>
        </is>
      </c>
      <c r="B17" s="11" t="inlineStr">
        <is>
          <t>Sovereign-immunity approach, governing law, forum, and dispute resolution are UNRESOLVED (bracketed alternatives).</t>
        </is>
      </c>
      <c r="C17" s="11" t="inlineStr">
        <is>
          <t>Santa Clara Pueblo v. Martinez, 436 U.S. 49 (1978); C&amp;L Enterprises v. Citizen Band Potawatomi, 532 U.S. 411 (2001); Michigan v. Bay Mills, 572 U.S. 782 (2014) (tribal sovereign immunity; clear express waiver required)</t>
        </is>
      </c>
      <c r="D17" s="18" t="inlineStr">
        <is>
          <t>ASSUMPTION - NOT FACT</t>
        </is>
      </c>
      <c r="E17" s="12" t="inlineStr">
        <is>
          <t>Tribal counsel; Council</t>
        </is>
      </c>
      <c r="F17" s="11" t="inlineStr">
        <is>
          <t>Silent choice is impermissible; express waiver (if any) must be Council-approved.</t>
        </is>
      </c>
    </row>
    <row r="19">
      <c r="A19" s="5" t="inlineStr">
        <is>
          <t>Legend:</t>
        </is>
      </c>
      <c r="B19" s="6" t="inlineStr">
        <is>
          <t>INPUT (edit these)</t>
        </is>
      </c>
      <c r="C19" s="7" t="inlineStr">
        <is>
          <t>FORMULA (do not edit)</t>
        </is>
      </c>
      <c r="D19" s="8" t="inlineStr">
        <is>
          <t>OUTPUT / RESULT</t>
        </is>
      </c>
    </row>
  </sheetData>
  <autoFilter ref="A5:F5"/>
  <mergeCells count="3">
    <mergeCell ref="A3:F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2026-09-26T15:44:04Z</dcterms:created>
  <dcterms:modified xmlns:dcterms="http://purl.org/dc/terms/" xmlns:xsi="http://www.w3.org/2001/XMLSchema-instance" xsi:type="dcterms:W3CDTF">2026-09-26T15:49:12Z</dcterms:modified>
</cp:coreProperties>
</file>