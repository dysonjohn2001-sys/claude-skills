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bscriber Reconciliation" sheetId="2" state="visible" r:id="rId2"/>
  </sheets>
  <definedNames>
    <definedName name="_xlnm._FilterDatabase" localSheetId="1" hidden="1">'Subscriber Reconciliation'!$A$5:$H$5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&quot;$&quot;#,##0;(&quot;$&quot;#,##0)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9" fillId="6" borderId="1" pivotButton="0" quotePrefix="0" xfId="0"/>
    <xf numFmtId="3" fontId="9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0" borderId="1" pivotButton="0" quotePrefix="0" xfId="0"/>
    <xf numFmtId="3" fontId="4" fillId="4" borderId="1" pivotButton="0" quotePrefix="0" xfId="0"/>
    <xf numFmtId="164" fontId="4" fillId="2" borderId="1" pivotButton="0" quotePrefix="0" xfId="0"/>
    <xf numFmtId="165" fontId="4" fillId="3" borderId="1" pivotButton="0" quotePrefix="0" xfId="0"/>
    <xf numFmtId="165" fontId="4" fillId="2" borderId="1" pivotButton="0" quotePrefix="0" xfId="0"/>
    <xf numFmtId="0" fontId="9" fillId="4" borderId="1" pivotButton="0" quotePrefix="0" xfId="0"/>
    <xf numFmtId="165" fontId="9" fillId="4" borderId="1" pivotButton="0" quotePrefix="0" xfId="0"/>
    <xf numFmtId="0" fontId="10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B3" s="9" t="inlineStr">
        <is>
          <t>Parties: Lumbee Tribe of North Carolina (the “Lumbee Tribe”); LREMC Technologies, LLC d/b/a RIVR Tech (“RIVR Tech”), retail provider of record and payor; Lumbee River Electric Membership Corporation d/b/a Lumbee River EMC, separate asset owner.</t>
        </is>
      </c>
    </row>
    <row r="5">
      <c r="B5" s="3" t="inlineStr">
        <is>
          <t>Monthly Subscriber Reconciliation &amp; Payment Report</t>
        </is>
      </c>
    </row>
    <row r="6">
      <c r="B6" s="4" t="inlineStr">
        <is>
          <t>Purpose: reconcile Active Subscribers and compute the per-Active-Subscriber operating payment due to Lumbee Tribe of North Carolina.</t>
        </is>
      </c>
    </row>
    <row r="7">
      <c r="B7" s="4" t="inlineStr">
        <is>
          <t>• One row per served location / account. Amber INPUT cells are for you.</t>
        </is>
      </c>
    </row>
    <row r="8">
      <c r="B8" s="4" t="inlineStr">
        <is>
          <t>• 'Countable Active Subs' is computed: it counts a location only if it is NOT excluded and the Status is Active.</t>
        </is>
      </c>
    </row>
    <row r="9">
      <c r="B9" s="4" t="inlineStr">
        <is>
          <t>• Active Subscriber counting rules (Schedule S8 / Retail Agreement):</t>
        </is>
      </c>
    </row>
    <row r="10">
      <c r="B10" s="4" t="inlineStr">
        <is>
          <t xml:space="preserve">    – counted only for a location within the Approved Project Area receiving provisioned, billable retail broadband service</t>
        </is>
      </c>
    </row>
    <row r="11">
      <c r="B11" s="4" t="inlineStr">
        <is>
          <t xml:space="preserve">    – activation dated to first successful service provisioning; disconnect dated to service cease</t>
        </is>
      </c>
    </row>
    <row r="12">
      <c r="B12" s="4" t="inlineStr">
        <is>
          <t xml:space="preserve">    – partial months prorated on a daily basis [BUSINESS DECISION REQUIRED: prorate vs. full-month]</t>
        </is>
      </c>
    </row>
    <row r="13">
      <c r="B13" s="4" t="inlineStr">
        <is>
          <t xml:space="preserve">    – excludes accounts suspended for nonpayment beyond [30] days, and courtesy/free/subsidized accounts unless separately agreed and Award-permitted</t>
        </is>
      </c>
    </row>
    <row r="14">
      <c r="B14" s="4" t="inlineStr">
        <is>
          <t xml:space="preserve">    – one location with multiple services counts as a single Active Subscriber unless separately agreed</t>
        </is>
      </c>
    </row>
    <row r="15">
      <c r="B15" s="4" t="inlineStr">
        <is>
          <t xml:space="preserve">    – bulk / multi-dwelling accounts counted per billable unit per an agreed methodology</t>
        </is>
      </c>
    </row>
    <row r="16">
      <c r="B16" s="4" t="inlineStr">
        <is>
          <t xml:space="preserve">    – net of credits, refunds, and uncollectible amounts; exclusive of taxes and regulatory fees</t>
        </is>
      </c>
    </row>
    <row r="17">
      <c r="B17" s="4" t="inlineStr">
        <is>
          <t>• Payment = Countable Active Subs × the per-subscriber rate ($[X] per Active Subscriber per month).</t>
        </is>
      </c>
    </row>
    <row r="18">
      <c r="B18" s="4" t="inlineStr">
        <is>
          <t>• Net payable = payment less credits, refunds, and uncollectible adjustments.</t>
        </is>
      </c>
    </row>
    <row r="19">
      <c r="B19" s="4" t="inlineStr">
        <is>
          <t>• Checks: counted must be ≤ served; every excluded row must carry a valid reason.</t>
        </is>
      </c>
    </row>
    <row r="20">
      <c r="B20" s="4" t="inlineStr">
        <is>
          <t>• Cross-reference: Retail Customer Service, Billing, Collections, and Subscriber Revenue Agreement and Schedule S8 (Subscriber Payment, Revenue, Program Income, Taxes, Fees, Cash Controls, and Audit).</t>
        </is>
      </c>
    </row>
    <row r="21">
      <c r="B21" s="4" t="inlineStr">
        <is>
          <t>• PRELIMINARY DRAFT – SUBJECT TO LEGAL, GRANT AND FINANCIAL REVIEW</t>
        </is>
      </c>
    </row>
    <row r="23">
      <c r="A23" s="5" t="inlineStr">
        <is>
          <t>Legend:</t>
        </is>
      </c>
      <c r="B23" s="6" t="inlineStr">
        <is>
          <t>INPUT (edit these)</t>
        </is>
      </c>
      <c r="C23" s="7" t="inlineStr">
        <is>
          <t>FORMULA (do not edit)</t>
        </is>
      </c>
      <c r="D23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2" customWidth="1" min="5" max="5"/>
    <col width="30" customWidth="1" min="6" max="6"/>
    <col width="16" customWidth="1" min="7" max="7"/>
    <col width="30" customWidth="1" min="8" max="8"/>
  </cols>
  <sheetData>
    <row r="1">
      <c r="A1" s="1" t="inlineStr">
        <is>
          <t>Monthly Subscriber Reconciliation &amp; Payment Report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Service month: [■ month / year]</t>
        </is>
      </c>
    </row>
    <row r="5">
      <c r="A5" s="10" t="inlineStr">
        <is>
          <t>Location / Account</t>
        </is>
      </c>
      <c r="B5" s="10" t="inlineStr">
        <is>
          <t>Activation Date</t>
        </is>
      </c>
      <c r="C5" s="10" t="inlineStr">
        <is>
          <t>Disconnect Date</t>
        </is>
      </c>
      <c r="D5" s="10" t="inlineStr">
        <is>
          <t>Status</t>
        </is>
      </c>
      <c r="E5" s="10" t="inlineStr">
        <is>
          <t>Billable Units</t>
        </is>
      </c>
      <c r="F5" s="10" t="inlineStr">
        <is>
          <t>Excluded? (reason)</t>
        </is>
      </c>
      <c r="G5" s="10" t="inlineStr">
        <is>
          <t>Countable Active Subs</t>
        </is>
      </c>
      <c r="H5" s="10" t="inlineStr">
        <is>
          <t>Notes</t>
        </is>
      </c>
    </row>
    <row r="6">
      <c r="A6" s="11" t="inlineStr">
        <is>
          <t>[■ location / account ID]</t>
        </is>
      </c>
      <c r="B6" s="12" t="inlineStr">
        <is>
          <t>[■ activation date]</t>
        </is>
      </c>
      <c r="C6" s="12" t="inlineStr">
        <is>
          <t>[■ disconnect date / blank]</t>
        </is>
      </c>
      <c r="D6" s="12" t="inlineStr">
        <is>
          <t>[■ status]</t>
        </is>
      </c>
      <c r="E6" s="13" t="inlineStr">
        <is>
          <t>[■ units]</t>
        </is>
      </c>
      <c r="F6" s="11" t="inlineStr">
        <is>
          <t>[■ blank if counted; else reason]</t>
        </is>
      </c>
      <c r="G6" s="14">
        <f>IFERROR(IF(AND(TRIM(F6)="",D6="Active"),E6,0),0)</f>
        <v/>
      </c>
      <c r="H6" s="11" t="inlineStr">
        <is>
          <t>[■ notes]</t>
        </is>
      </c>
    </row>
    <row r="7">
      <c r="A7" s="11" t="inlineStr">
        <is>
          <t>[■ location / account ID]</t>
        </is>
      </c>
      <c r="B7" s="12" t="inlineStr">
        <is>
          <t>[■ activation date]</t>
        </is>
      </c>
      <c r="C7" s="12" t="inlineStr">
        <is>
          <t>[■ disconnect date / blank]</t>
        </is>
      </c>
      <c r="D7" s="12" t="inlineStr">
        <is>
          <t>[■ status]</t>
        </is>
      </c>
      <c r="E7" s="13" t="inlineStr">
        <is>
          <t>[■ units]</t>
        </is>
      </c>
      <c r="F7" s="11" t="inlineStr">
        <is>
          <t>[■ blank if counted; else reason]</t>
        </is>
      </c>
      <c r="G7" s="14">
        <f>IFERROR(IF(AND(TRIM(F7)="",D7="Active"),E7,0),0)</f>
        <v/>
      </c>
      <c r="H7" s="11" t="inlineStr">
        <is>
          <t>[■ notes]</t>
        </is>
      </c>
    </row>
    <row r="8">
      <c r="A8" s="11" t="inlineStr">
        <is>
          <t>[■ location / account ID]</t>
        </is>
      </c>
      <c r="B8" s="12" t="inlineStr">
        <is>
          <t>[■ activation date]</t>
        </is>
      </c>
      <c r="C8" s="12" t="inlineStr">
        <is>
          <t>[■ disconnect date / blank]</t>
        </is>
      </c>
      <c r="D8" s="12" t="inlineStr">
        <is>
          <t>[■ status]</t>
        </is>
      </c>
      <c r="E8" s="13" t="inlineStr">
        <is>
          <t>[■ units]</t>
        </is>
      </c>
      <c r="F8" s="11" t="inlineStr">
        <is>
          <t>[■ blank if counted; else reason]</t>
        </is>
      </c>
      <c r="G8" s="14">
        <f>IFERROR(IF(AND(TRIM(F8)="",D8="Active"),E8,0),0)</f>
        <v/>
      </c>
      <c r="H8" s="11" t="inlineStr">
        <is>
          <t>[■ notes]</t>
        </is>
      </c>
    </row>
    <row r="9">
      <c r="A9" s="11" t="inlineStr">
        <is>
          <t>[■ location / account ID]</t>
        </is>
      </c>
      <c r="B9" s="12" t="inlineStr">
        <is>
          <t>[■ activation date]</t>
        </is>
      </c>
      <c r="C9" s="12" t="inlineStr">
        <is>
          <t>[■ disconnect date / blank]</t>
        </is>
      </c>
      <c r="D9" s="12" t="inlineStr">
        <is>
          <t>[■ status]</t>
        </is>
      </c>
      <c r="E9" s="13" t="inlineStr">
        <is>
          <t>[■ units]</t>
        </is>
      </c>
      <c r="F9" s="11" t="inlineStr">
        <is>
          <t>[■ blank if counted; else reason]</t>
        </is>
      </c>
      <c r="G9" s="14">
        <f>IFERROR(IF(AND(TRIM(F9)="",D9="Active"),E9,0),0)</f>
        <v/>
      </c>
      <c r="H9" s="11" t="inlineStr">
        <is>
          <t>[■ notes]</t>
        </is>
      </c>
    </row>
    <row r="10">
      <c r="A10" s="11" t="inlineStr">
        <is>
          <t>[■ location / account ID]</t>
        </is>
      </c>
      <c r="B10" s="12" t="inlineStr">
        <is>
          <t>[■ activation date]</t>
        </is>
      </c>
      <c r="C10" s="12" t="inlineStr">
        <is>
          <t>[■ disconnect date / blank]</t>
        </is>
      </c>
      <c r="D10" s="12" t="inlineStr">
        <is>
          <t>[■ status]</t>
        </is>
      </c>
      <c r="E10" s="13" t="inlineStr">
        <is>
          <t>[■ units]</t>
        </is>
      </c>
      <c r="F10" s="11" t="inlineStr">
        <is>
          <t>[■ blank if counted; else reason]</t>
        </is>
      </c>
      <c r="G10" s="14">
        <f>IFERROR(IF(AND(TRIM(F10)="",D10="Active"),E10,0),0)</f>
        <v/>
      </c>
      <c r="H10" s="11" t="inlineStr">
        <is>
          <t>[■ notes]</t>
        </is>
      </c>
    </row>
    <row r="11">
      <c r="A11" s="11" t="inlineStr">
        <is>
          <t>[■ location / account ID]</t>
        </is>
      </c>
      <c r="B11" s="12" t="inlineStr">
        <is>
          <t>[■ activation date]</t>
        </is>
      </c>
      <c r="C11" s="12" t="inlineStr">
        <is>
          <t>[■ disconnect date / blank]</t>
        </is>
      </c>
      <c r="D11" s="12" t="inlineStr">
        <is>
          <t>[■ status]</t>
        </is>
      </c>
      <c r="E11" s="13" t="inlineStr">
        <is>
          <t>[■ units]</t>
        </is>
      </c>
      <c r="F11" s="11" t="inlineStr">
        <is>
          <t>[■ blank if counted; else reason]</t>
        </is>
      </c>
      <c r="G11" s="14">
        <f>IFERROR(IF(AND(TRIM(F11)="",D11="Active"),E11,0),0)</f>
        <v/>
      </c>
      <c r="H11" s="11" t="inlineStr">
        <is>
          <t>[■ notes]</t>
        </is>
      </c>
    </row>
    <row r="12">
      <c r="A12" s="15" t="inlineStr">
        <is>
          <t>TOTALS</t>
        </is>
      </c>
      <c r="B12" s="15" t="inlineStr"/>
      <c r="C12" s="15" t="inlineStr"/>
      <c r="D12" s="15" t="inlineStr"/>
      <c r="E12" s="16">
        <f>SUM(E6:E11)</f>
        <v/>
      </c>
      <c r="F12" s="15" t="inlineStr"/>
      <c r="G12" s="16">
        <f>SUM(G6:G11)</f>
        <v/>
      </c>
      <c r="H12" s="15" t="inlineStr"/>
    </row>
    <row r="14">
      <c r="A14" s="15" t="inlineStr">
        <is>
          <t>PAYMENT COMPUTATION</t>
        </is>
      </c>
      <c r="B14" s="17" t="n"/>
      <c r="C14" s="17" t="n"/>
      <c r="D14" s="17" t="n"/>
      <c r="E14" s="17" t="n"/>
      <c r="F14" s="17" t="n"/>
      <c r="G14" s="17" t="n"/>
      <c r="H14" s="18" t="n"/>
    </row>
    <row r="15">
      <c r="A15" s="19" t="inlineStr">
        <is>
          <t>Served locations (total billable units):</t>
        </is>
      </c>
      <c r="B15" s="20">
        <f>E12</f>
        <v/>
      </c>
    </row>
    <row r="16">
      <c r="A16" s="19" t="inlineStr">
        <is>
          <t>Countable Active Subscribers:</t>
        </is>
      </c>
      <c r="B16" s="20">
        <f>G12</f>
        <v/>
      </c>
    </row>
    <row r="17">
      <c r="A17" s="19" t="inlineStr">
        <is>
          <t>Per-Active-Subscriber rate ($/sub/month):</t>
        </is>
      </c>
      <c r="B17" s="21" t="inlineStr">
        <is>
          <t>[■ $[X] rate — per Schedule S8]</t>
        </is>
      </c>
    </row>
    <row r="18">
      <c r="A18" s="19" t="inlineStr">
        <is>
          <t>Gross payment (countable × rate):</t>
        </is>
      </c>
      <c r="B18" s="22">
        <f>IFERROR(G12*B17,0)</f>
        <v/>
      </c>
    </row>
    <row r="19">
      <c r="A19" s="19" t="inlineStr">
        <is>
          <t>Less: credits:</t>
        </is>
      </c>
      <c r="B19" s="23" t="inlineStr">
        <is>
          <t>[■ $ credits]</t>
        </is>
      </c>
    </row>
    <row r="20">
      <c r="A20" s="19" t="inlineStr">
        <is>
          <t>Less: refunds:</t>
        </is>
      </c>
      <c r="B20" s="23" t="inlineStr">
        <is>
          <t>[■ $ refunds]</t>
        </is>
      </c>
    </row>
    <row r="21">
      <c r="A21" s="19" t="inlineStr">
        <is>
          <t>Less: uncollectible adjustments:</t>
        </is>
      </c>
      <c r="B21" s="23" t="inlineStr">
        <is>
          <t>[■ $ uncollectible]</t>
        </is>
      </c>
    </row>
    <row r="22">
      <c r="A22" s="24" t="inlineStr">
        <is>
          <t>NET PAYABLE to Lumbee Tribe:</t>
        </is>
      </c>
      <c r="B22" s="25">
        <f>IFERROR(B18-B19-B20-B21,0)</f>
        <v/>
      </c>
    </row>
    <row r="24">
      <c r="A24" s="15" t="inlineStr">
        <is>
          <t>FORMULA CHECKS</t>
        </is>
      </c>
      <c r="B24" s="17" t="n"/>
      <c r="C24" s="17" t="n"/>
      <c r="D24" s="17" t="n"/>
      <c r="E24" s="17" t="n"/>
      <c r="F24" s="17" t="n"/>
      <c r="G24" s="17" t="n"/>
      <c r="H24" s="18" t="n"/>
    </row>
    <row r="25">
      <c r="A25" s="26" t="inlineStr">
        <is>
          <t>Counted Active Subs ≤ served billable units:</t>
        </is>
      </c>
      <c r="B25" s="27">
        <f>IF(G12&lt;=E12,"PASS — counted ≤ served","FAIL — counted exceeds served")</f>
        <v/>
      </c>
    </row>
    <row r="26">
      <c r="A26" s="26" t="inlineStr">
        <is>
          <t>Excluded rows carry a reason and are not counted:</t>
        </is>
      </c>
      <c r="B26" s="27">
        <f>IF(SUMPRODUCT(--(TRIM(F6:F11)&lt;&gt;""),--(G6:G11&gt;0))=0,"PASS — excluded rows not counted","FAIL — an excluded row was counted")</f>
        <v/>
      </c>
    </row>
    <row r="27">
      <c r="A27" s="26" t="inlineStr">
        <is>
          <t>Net payable is not negative:</t>
        </is>
      </c>
      <c r="B27" s="27">
        <f>IF(B22&gt;=0,"PASS — net payable not negative","REVIEW — adjustments exceed gross payment")</f>
        <v/>
      </c>
    </row>
    <row r="29">
      <c r="A29" s="5" t="inlineStr">
        <is>
          <t>Legend:</t>
        </is>
      </c>
      <c r="B29" s="6" t="inlineStr">
        <is>
          <t>INPUT (edit these)</t>
        </is>
      </c>
      <c r="C29" s="7" t="inlineStr">
        <is>
          <t>FORMULA (do not edit)</t>
        </is>
      </c>
      <c r="D29" s="8" t="inlineStr">
        <is>
          <t>OUTPUT / RESULT</t>
        </is>
      </c>
    </row>
  </sheetData>
  <autoFilter ref="A5:H5"/>
  <mergeCells count="12">
    <mergeCell ref="A3:H3"/>
    <mergeCell ref="A17"/>
    <mergeCell ref="A18"/>
    <mergeCell ref="A21"/>
    <mergeCell ref="A24:H24"/>
    <mergeCell ref="A2:H2"/>
    <mergeCell ref="A15"/>
    <mergeCell ref="A20"/>
    <mergeCell ref="A16"/>
    <mergeCell ref="A14:H14"/>
    <mergeCell ref="A1:H1"/>
    <mergeCell ref="A19"/>
  </mergeCells>
  <dataValidations count="1">
    <dataValidation sqref="D6:D11" showDropDown="0" showInputMessage="0" showErrorMessage="0" allowBlank="1" type="list">
      <formula1>"Active,Suspended,Disconnected,Pending"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2026-09-26T15:47:36Z</dcterms:created>
  <dcterms:modified xmlns:dcterms="http://purl.org/dc/terms/" xmlns:xsi="http://www.w3.org/2001/XMLSchema-instance" xsi:type="dcterms:W3CDTF">2026-09-26T15:49:31Z</dcterms:modified>
</cp:coreProperties>
</file>