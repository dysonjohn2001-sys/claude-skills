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perating Budget" sheetId="2" state="visible" r:id="rId2"/>
    <sheet xmlns:r="http://schemas.openxmlformats.org/officeDocument/2006/relationships" name="Capital Refresh" sheetId="3" state="visible" r:id="rId3"/>
    <sheet xmlns:r="http://schemas.openxmlformats.org/officeDocument/2006/relationships" name="Reserve Schedule" sheetId="4" state="visible" r:id="rId4"/>
    <sheet xmlns:r="http://schemas.openxmlformats.org/officeDocument/2006/relationships" name="Capacity Forecast" sheetId="5" state="visible" r:id="rId5"/>
    <sheet xmlns:r="http://schemas.openxmlformats.org/officeDocument/2006/relationships" name="Sustainability" sheetId="6" state="visible" r:id="rId6"/>
  </sheets>
  <definedNames>
    <definedName name="_xlnm._FilterDatabase" localSheetId="1" hidden="1">'Operating Budget'!$A$5:$D$5</definedName>
    <definedName name="_xlnm._FilterDatabase" localSheetId="2" hidden="1">'Capital Refresh'!$A$5:$F$5</definedName>
    <definedName name="_xlnm._FilterDatabase" localSheetId="3" hidden="1">'Reserve Schedule'!$A$4:$C$4</definedName>
    <definedName name="_xlnm._FilterDatabase" localSheetId="4" hidden="1">'Capacity Forecast'!$A$5:$E$5</definedName>
    <definedName name="_xlnm._FilterDatabase" localSheetId="5" hidden="1">'Sustainability'!$A$5:$C$5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(&quot;$&quot;#,##0)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4" fillId="0" borderId="1" pivotButton="0" quotePrefix="0" xfId="0"/>
    <xf numFmtId="164" fontId="4" fillId="2" borderId="1" pivotButton="0" quotePrefix="0" xfId="0"/>
    <xf numFmtId="165" fontId="4" fillId="3" borderId="1" pivotButton="0" quotePrefix="0" xfId="0"/>
    <xf numFmtId="0" fontId="4" fillId="2" borderId="1" applyAlignment="1" pivotButton="0" quotePrefix="0" xfId="0">
      <alignment horizontal="general" vertical="center" wrapText="1"/>
    </xf>
    <xf numFmtId="0" fontId="9" fillId="4" borderId="1" pivotButton="0" quotePrefix="0" xfId="0"/>
    <xf numFmtId="164" fontId="9" fillId="4" borderId="1" pivotButton="0" quotePrefix="0" xfId="0"/>
    <xf numFmtId="165" fontId="4" fillId="4" borderId="1" pivotButton="0" quotePrefix="0" xfId="0"/>
    <xf numFmtId="0" fontId="9" fillId="0" borderId="1" pivotButton="0" quotePrefix="0" xfId="0"/>
    <xf numFmtId="164" fontId="4" fillId="3" borderId="1" pivotButton="0" quotePrefix="0" xfId="0"/>
    <xf numFmtId="0" fontId="10" fillId="0" borderId="0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 wrapText="1"/>
    </xf>
    <xf numFmtId="0" fontId="9" fillId="2" borderId="1" pivotButton="0" quotePrefix="0" xfId="0"/>
    <xf numFmtId="3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Annual Budget, Capital-Refresh, Replacement-Reserve &amp; Sustainability</t>
        </is>
      </c>
    </row>
    <row r="6">
      <c r="B6" s="4" t="inlineStr">
        <is>
          <t>Purpose: plan the annual operating budget, capital-refresh, and replacement-reserve funding, and test long-run sustainability of the Tribal Network.</t>
        </is>
      </c>
    </row>
    <row r="7">
      <c r="B7" s="4" t="inlineStr">
        <is>
          <t>• Amber INPUT cells are yours; blue FORMULA and green OUTPUT cells compute.</t>
        </is>
      </c>
    </row>
    <row r="8">
      <c r="B8" s="4" t="inlineStr">
        <is>
          <t>• Checks flag if the replacement reserve is underfunded or if revenue does not cover operating expense.</t>
        </is>
      </c>
    </row>
    <row r="9">
      <c r="B9" s="4" t="inlineStr">
        <is>
          <t>• Cross-reference: Network Operations, Maintenance, and Lifecycle Agreement and Schedule S6 (Operations, Service Levels, Lifecycle, Spares, Refresh, and Reserves).</t>
        </is>
      </c>
    </row>
    <row r="10">
      <c r="B10" s="4" t="inlineStr">
        <is>
          <t>• PRELIMINARY DRAFT – SUBJECT TO LEGAL, GRANT AND FINANCIAL REVIEW</t>
        </is>
      </c>
    </row>
    <row r="11"/>
    <row r="12">
      <c r="A12" s="5" t="inlineStr">
        <is>
          <t>Legend:</t>
        </is>
      </c>
      <c r="B12" s="6" t="inlineStr">
        <is>
          <t>INPUT (edit these)</t>
        </is>
      </c>
      <c r="C12" s="7" t="inlineStr">
        <is>
          <t>FORMULA (do not edit)</t>
        </is>
      </c>
      <c r="D12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Annual Operating Budget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Budget year: [■ year]</t>
        </is>
      </c>
    </row>
    <row r="5">
      <c r="A5" s="10" t="inlineStr">
        <is>
          <t>Line Item</t>
        </is>
      </c>
      <c r="B5" s="10" t="inlineStr">
        <is>
          <t>Amount</t>
        </is>
      </c>
      <c r="C5" s="10" t="inlineStr">
        <is>
          <t>% of Revenue</t>
        </is>
      </c>
      <c r="D5" s="10" t="inlineStr">
        <is>
          <t>Notes</t>
        </is>
      </c>
    </row>
    <row r="6">
      <c r="A6" s="11" t="inlineStr">
        <is>
          <t>REVENUE</t>
        </is>
      </c>
      <c r="B6" s="11" t="inlineStr"/>
      <c r="C6" s="11" t="inlineStr"/>
      <c r="D6" s="11" t="inlineStr"/>
    </row>
    <row r="7">
      <c r="A7" s="12" t="inlineStr">
        <is>
          <t>Per-Active-Subscriber operating revenue</t>
        </is>
      </c>
      <c r="B7" s="13" t="inlineStr">
        <is>
          <t>[■ $ amount]</t>
        </is>
      </c>
      <c r="C7" s="14">
        <f>IFERROR(B7/$B$11,0)</f>
        <v/>
      </c>
      <c r="D7" s="15" t="inlineStr">
        <is>
          <t>[■ notes]</t>
        </is>
      </c>
    </row>
    <row r="8">
      <c r="A8" s="12" t="inlineStr">
        <is>
          <t>Other retail revenue</t>
        </is>
      </c>
      <c r="B8" s="13" t="inlineStr">
        <is>
          <t>[■ $ amount]</t>
        </is>
      </c>
      <c r="C8" s="14">
        <f>IFERROR(B8/$B$11,0)</f>
        <v/>
      </c>
      <c r="D8" s="15" t="inlineStr">
        <is>
          <t>[■ notes]</t>
        </is>
      </c>
    </row>
    <row r="9">
      <c r="A9" s="12" t="inlineStr">
        <is>
          <t>Approved commercial / non-project use revenue</t>
        </is>
      </c>
      <c r="B9" s="13" t="inlineStr">
        <is>
          <t>[■ $ amount]</t>
        </is>
      </c>
      <c r="C9" s="14">
        <f>IFERROR(B9/$B$11,0)</f>
        <v/>
      </c>
      <c r="D9" s="15" t="inlineStr">
        <is>
          <t>[■ notes]</t>
        </is>
      </c>
    </row>
    <row r="10">
      <c r="A10" s="12" t="inlineStr">
        <is>
          <t>Other income</t>
        </is>
      </c>
      <c r="B10" s="13" t="inlineStr">
        <is>
          <t>[■ $ amount]</t>
        </is>
      </c>
      <c r="C10" s="14">
        <f>IFERROR(B10/$B$11,0)</f>
        <v/>
      </c>
      <c r="D10" s="15" t="inlineStr">
        <is>
          <t>[■ notes]</t>
        </is>
      </c>
    </row>
    <row r="11">
      <c r="A11" s="16" t="inlineStr">
        <is>
          <t>Total Revenue</t>
        </is>
      </c>
      <c r="B11" s="17">
        <f>SUM(B7:B10)</f>
        <v/>
      </c>
      <c r="C11" s="18">
        <f>IFERROR(B11/B11,0)</f>
        <v/>
      </c>
    </row>
    <row r="13">
      <c r="A13" s="11" t="inlineStr">
        <is>
          <t>OPERATING EXPENSE</t>
        </is>
      </c>
      <c r="B13" s="11" t="inlineStr"/>
      <c r="C13" s="11" t="inlineStr"/>
      <c r="D13" s="11" t="inlineStr"/>
    </row>
    <row r="14">
      <c r="A14" s="12" t="inlineStr">
        <is>
          <t>Network operations &amp; maintenance (O&amp;M)</t>
        </is>
      </c>
      <c r="B14" s="13" t="inlineStr">
        <is>
          <t>[■ $ amount]</t>
        </is>
      </c>
      <c r="C14" s="14">
        <f>IFERROR(B14/$B$11,0)</f>
        <v/>
      </c>
      <c r="D14" s="15" t="inlineStr">
        <is>
          <t>[■ notes]</t>
        </is>
      </c>
    </row>
    <row r="15">
      <c r="A15" s="12" t="inlineStr">
        <is>
          <t>NOC / monitoring (24x7x365)</t>
        </is>
      </c>
      <c r="B15" s="13" t="inlineStr">
        <is>
          <t>[■ $ amount]</t>
        </is>
      </c>
      <c r="C15" s="14">
        <f>IFERROR(B15/$B$11,0)</f>
        <v/>
      </c>
      <c r="D15" s="15" t="inlineStr">
        <is>
          <t>[■ notes]</t>
        </is>
      </c>
    </row>
    <row r="16">
      <c r="A16" s="12" t="inlineStr">
        <is>
          <t>Field labor &amp; vehicles</t>
        </is>
      </c>
      <c r="B16" s="13" t="inlineStr">
        <is>
          <t>[■ $ amount]</t>
        </is>
      </c>
      <c r="C16" s="14">
        <f>IFERROR(B16/$B$11,0)</f>
        <v/>
      </c>
      <c r="D16" s="15" t="inlineStr">
        <is>
          <t>[■ notes]</t>
        </is>
      </c>
    </row>
    <row r="17">
      <c r="A17" s="12" t="inlineStr">
        <is>
          <t>Power &amp; site costs</t>
        </is>
      </c>
      <c r="B17" s="13" t="inlineStr">
        <is>
          <t>[■ $ amount]</t>
        </is>
      </c>
      <c r="C17" s="14">
        <f>IFERROR(B17/$B$11,0)</f>
        <v/>
      </c>
      <c r="D17" s="15" t="inlineStr">
        <is>
          <t>[■ notes]</t>
        </is>
      </c>
    </row>
    <row r="18">
      <c r="A18" s="12" t="inlineStr">
        <is>
          <t>Pole / easement / ROW / LREMC facility fees</t>
        </is>
      </c>
      <c r="B18" s="13" t="inlineStr">
        <is>
          <t>[■ $ amount]</t>
        </is>
      </c>
      <c r="C18" s="14">
        <f>IFERROR(B18/$B$11,0)</f>
        <v/>
      </c>
      <c r="D18" s="15" t="inlineStr">
        <is>
          <t>[■ notes]</t>
        </is>
      </c>
    </row>
    <row r="19">
      <c r="A19" s="12" t="inlineStr">
        <is>
          <t>Transport &amp; IP transit</t>
        </is>
      </c>
      <c r="B19" s="13" t="inlineStr">
        <is>
          <t>[■ $ amount]</t>
        </is>
      </c>
      <c r="C19" s="14">
        <f>IFERROR(B19/$B$11,0)</f>
        <v/>
      </c>
      <c r="D19" s="15" t="inlineStr">
        <is>
          <t>[■ notes]</t>
        </is>
      </c>
    </row>
    <row r="20">
      <c r="A20" s="12" t="inlineStr">
        <is>
          <t>Billing, customer care &amp; collections</t>
        </is>
      </c>
      <c r="B20" s="13" t="inlineStr">
        <is>
          <t>[■ $ amount]</t>
        </is>
      </c>
      <c r="C20" s="14">
        <f>IFERROR(B20/$B$11,0)</f>
        <v/>
      </c>
      <c r="D20" s="15" t="inlineStr">
        <is>
          <t>[■ notes]</t>
        </is>
      </c>
    </row>
    <row r="21">
      <c r="A21" s="12" t="inlineStr">
        <is>
          <t>Insurance</t>
        </is>
      </c>
      <c r="B21" s="13" t="inlineStr">
        <is>
          <t>[■ $ amount]</t>
        </is>
      </c>
      <c r="C21" s="14">
        <f>IFERROR(B21/$B$11,0)</f>
        <v/>
      </c>
      <c r="D21" s="15" t="inlineStr">
        <is>
          <t>[■ notes]</t>
        </is>
      </c>
    </row>
    <row r="22">
      <c r="A22" s="12" t="inlineStr">
        <is>
          <t>Software &amp; licenses</t>
        </is>
      </c>
      <c r="B22" s="13" t="inlineStr">
        <is>
          <t>[■ $ amount]</t>
        </is>
      </c>
      <c r="C22" s="14">
        <f>IFERROR(B22/$B$11,0)</f>
        <v/>
      </c>
      <c r="D22" s="15" t="inlineStr">
        <is>
          <t>[■ notes]</t>
        </is>
      </c>
    </row>
    <row r="23">
      <c r="A23" s="12" t="inlineStr">
        <is>
          <t>Administrative &amp; compliance</t>
        </is>
      </c>
      <c r="B23" s="13" t="inlineStr">
        <is>
          <t>[■ $ amount]</t>
        </is>
      </c>
      <c r="C23" s="14">
        <f>IFERROR(B23/$B$11,0)</f>
        <v/>
      </c>
      <c r="D23" s="15" t="inlineStr">
        <is>
          <t>[■ notes]</t>
        </is>
      </c>
    </row>
    <row r="24">
      <c r="A24" s="12" t="inlineStr">
        <is>
          <t>Taxes &amp; regulatory fees</t>
        </is>
      </c>
      <c r="B24" s="13" t="inlineStr">
        <is>
          <t>[■ $ amount]</t>
        </is>
      </c>
      <c r="C24" s="14">
        <f>IFERROR(B24/$B$11,0)</f>
        <v/>
      </c>
      <c r="D24" s="15" t="inlineStr">
        <is>
          <t>[■ notes]</t>
        </is>
      </c>
    </row>
    <row r="25">
      <c r="A25" s="16" t="inlineStr">
        <is>
          <t>Total Operating Expense</t>
        </is>
      </c>
      <c r="B25" s="17">
        <f>SUM(B14:B24)</f>
        <v/>
      </c>
      <c r="C25" s="18">
        <f>IFERROR(B25/$B$11,0)</f>
        <v/>
      </c>
    </row>
    <row r="27">
      <c r="A27" s="16" t="inlineStr">
        <is>
          <t>Net Operating Income (Revenue − Opex)</t>
        </is>
      </c>
      <c r="B27" s="17">
        <f>B11-B25</f>
        <v/>
      </c>
    </row>
    <row r="28">
      <c r="A28" s="19" t="inlineStr">
        <is>
          <t>Reserve contribution (from Reserve Schedule):</t>
        </is>
      </c>
      <c r="B28" s="20">
        <f>'Reserve Schedule'!B6</f>
        <v/>
      </c>
    </row>
    <row r="29">
      <c r="A29" s="16" t="inlineStr">
        <is>
          <t>Net after reserve contribution</t>
        </is>
      </c>
      <c r="B29" s="17">
        <f>B27-B28</f>
        <v/>
      </c>
    </row>
    <row r="31">
      <c r="A31" s="11" t="inlineStr">
        <is>
          <t>FORMULA CHECKS</t>
        </is>
      </c>
      <c r="B31" s="11" t="inlineStr"/>
      <c r="C31" s="11" t="inlineStr"/>
      <c r="D31" s="11" t="inlineStr"/>
    </row>
    <row r="32">
      <c r="A32" s="21" t="inlineStr">
        <is>
          <t>Revenue ≥ Operating Expense:</t>
        </is>
      </c>
      <c r="B32" s="22">
        <f>IF(B11&gt;=B25,"PASS — revenue covers opex","FLAG — revenue below opex; sustainability risk")</f>
        <v/>
      </c>
    </row>
    <row r="34">
      <c r="A34" s="5" t="inlineStr">
        <is>
          <t>Legend:</t>
        </is>
      </c>
      <c r="B34" s="6" t="inlineStr">
        <is>
          <t>INPUT (edit these)</t>
        </is>
      </c>
      <c r="C34" s="7" t="inlineStr">
        <is>
          <t>FORMULA (do not edit)</t>
        </is>
      </c>
      <c r="D34" s="8" t="inlineStr">
        <is>
          <t>OUTPUT / RESULT</t>
        </is>
      </c>
    </row>
  </sheetData>
  <autoFilter ref="A5:D5"/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8" customWidth="1" min="5" max="5"/>
    <col width="26" customWidth="1" min="6" max="6"/>
  </cols>
  <sheetData>
    <row r="1">
      <c r="A1" s="1" t="inlineStr">
        <is>
          <t>Capital-Refresh Plan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A5" s="10" t="inlineStr">
        <is>
          <t>Asset Class</t>
        </is>
      </c>
      <c r="B5" s="10" t="inlineStr">
        <is>
          <t>In-Service Year</t>
        </is>
      </c>
      <c r="C5" s="10" t="inlineStr">
        <is>
          <t>Expected Useful Life (yrs)</t>
        </is>
      </c>
      <c r="D5" s="10" t="inlineStr">
        <is>
          <t>Next Refresh Year</t>
        </is>
      </c>
      <c r="E5" s="10" t="inlineStr">
        <is>
          <t>Estimated Refresh Cost</t>
        </is>
      </c>
      <c r="F5" s="10" t="inlineStr">
        <is>
          <t>Notes</t>
        </is>
      </c>
    </row>
    <row r="6">
      <c r="A6" s="12" t="inlineStr">
        <is>
          <t>Outside-plant fiber / cable</t>
        </is>
      </c>
      <c r="B6" s="23" t="inlineStr">
        <is>
          <t>[■ year]</t>
        </is>
      </c>
      <c r="C6" s="23" t="inlineStr">
        <is>
          <t>[■ life]</t>
        </is>
      </c>
      <c r="D6" s="24">
        <f>IFERROR(B6+C6,"")</f>
        <v/>
      </c>
      <c r="E6" s="13" t="inlineStr">
        <is>
          <t>[■ $ cost]</t>
        </is>
      </c>
      <c r="F6" s="15" t="inlineStr">
        <is>
          <t>[■ notes]</t>
        </is>
      </c>
    </row>
    <row r="7">
      <c r="A7" s="12" t="inlineStr">
        <is>
          <t>Splice enclosures / hardware</t>
        </is>
      </c>
      <c r="B7" s="23" t="inlineStr">
        <is>
          <t>[■ year]</t>
        </is>
      </c>
      <c r="C7" s="23" t="inlineStr">
        <is>
          <t>[■ life]</t>
        </is>
      </c>
      <c r="D7" s="24">
        <f>IFERROR(B7+C7,"")</f>
        <v/>
      </c>
      <c r="E7" s="13" t="inlineStr">
        <is>
          <t>[■ $ cost]</t>
        </is>
      </c>
      <c r="F7" s="15" t="inlineStr">
        <is>
          <t>[■ notes]</t>
        </is>
      </c>
    </row>
    <row r="8">
      <c r="A8" s="12" t="inlineStr">
        <is>
          <t>OLT / access electronics</t>
        </is>
      </c>
      <c r="B8" s="23" t="inlineStr">
        <is>
          <t>[■ year]</t>
        </is>
      </c>
      <c r="C8" s="23" t="inlineStr">
        <is>
          <t>[■ life]</t>
        </is>
      </c>
      <c r="D8" s="24">
        <f>IFERROR(B8+C8,"")</f>
        <v/>
      </c>
      <c r="E8" s="13" t="inlineStr">
        <is>
          <t>[■ $ cost]</t>
        </is>
      </c>
      <c r="F8" s="15" t="inlineStr">
        <is>
          <t>[■ notes]</t>
        </is>
      </c>
    </row>
    <row r="9">
      <c r="A9" s="12" t="inlineStr">
        <is>
          <t>Core / aggregation electronics</t>
        </is>
      </c>
      <c r="B9" s="23" t="inlineStr">
        <is>
          <t>[■ year]</t>
        </is>
      </c>
      <c r="C9" s="23" t="inlineStr">
        <is>
          <t>[■ life]</t>
        </is>
      </c>
      <c r="D9" s="24">
        <f>IFERROR(B9+C9,"")</f>
        <v/>
      </c>
      <c r="E9" s="13" t="inlineStr">
        <is>
          <t>[■ $ cost]</t>
        </is>
      </c>
      <c r="F9" s="15" t="inlineStr">
        <is>
          <t>[■ notes]</t>
        </is>
      </c>
    </row>
    <row r="10">
      <c r="A10" s="12" t="inlineStr">
        <is>
          <t>Optical network terminals (ONTs / CPE)</t>
        </is>
      </c>
      <c r="B10" s="23" t="inlineStr">
        <is>
          <t>[■ year]</t>
        </is>
      </c>
      <c r="C10" s="23" t="inlineStr">
        <is>
          <t>[■ life]</t>
        </is>
      </c>
      <c r="D10" s="24">
        <f>IFERROR(B10+C10,"")</f>
        <v/>
      </c>
      <c r="E10" s="13" t="inlineStr">
        <is>
          <t>[■ $ cost]</t>
        </is>
      </c>
      <c r="F10" s="15" t="inlineStr">
        <is>
          <t>[■ notes]</t>
        </is>
      </c>
    </row>
    <row r="11">
      <c r="A11" s="12" t="inlineStr">
        <is>
          <t>Power / backup / batteries</t>
        </is>
      </c>
      <c r="B11" s="23" t="inlineStr">
        <is>
          <t>[■ year]</t>
        </is>
      </c>
      <c r="C11" s="23" t="inlineStr">
        <is>
          <t>[■ life]</t>
        </is>
      </c>
      <c r="D11" s="24">
        <f>IFERROR(B11+C11,"")</f>
        <v/>
      </c>
      <c r="E11" s="13" t="inlineStr">
        <is>
          <t>[■ $ cost]</t>
        </is>
      </c>
      <c r="F11" s="15" t="inlineStr">
        <is>
          <t>[■ notes]</t>
        </is>
      </c>
    </row>
    <row r="12">
      <c r="A12" s="12" t="inlineStr">
        <is>
          <t>Huts / cabinets / enclosures</t>
        </is>
      </c>
      <c r="B12" s="23" t="inlineStr">
        <is>
          <t>[■ year]</t>
        </is>
      </c>
      <c r="C12" s="23" t="inlineStr">
        <is>
          <t>[■ life]</t>
        </is>
      </c>
      <c r="D12" s="24">
        <f>IFERROR(B12+C12,"")</f>
        <v/>
      </c>
      <c r="E12" s="13" t="inlineStr">
        <is>
          <t>[■ $ cost]</t>
        </is>
      </c>
      <c r="F12" s="15" t="inlineStr">
        <is>
          <t>[■ notes]</t>
        </is>
      </c>
    </row>
    <row r="13">
      <c r="A13" s="12" t="inlineStr">
        <is>
          <t>Network monitoring / software</t>
        </is>
      </c>
      <c r="B13" s="23" t="inlineStr">
        <is>
          <t>[■ year]</t>
        </is>
      </c>
      <c r="C13" s="23" t="inlineStr">
        <is>
          <t>[■ life]</t>
        </is>
      </c>
      <c r="D13" s="24">
        <f>IFERROR(B13+C13,"")</f>
        <v/>
      </c>
      <c r="E13" s="13" t="inlineStr">
        <is>
          <t>[■ $ cost]</t>
        </is>
      </c>
      <c r="F13" s="15" t="inlineStr">
        <is>
          <t>[■ notes]</t>
        </is>
      </c>
    </row>
    <row r="14">
      <c r="A14" s="16" t="inlineStr">
        <is>
          <t>Total planned refresh cost</t>
        </is>
      </c>
      <c r="E14" s="17">
        <f>SUM(E6:E13)</f>
        <v/>
      </c>
    </row>
    <row r="16">
      <c r="A16" s="5" t="inlineStr">
        <is>
          <t>Legend:</t>
        </is>
      </c>
      <c r="B16" s="6" t="inlineStr">
        <is>
          <t>INPUT (edit these)</t>
        </is>
      </c>
      <c r="C16" s="7" t="inlineStr">
        <is>
          <t>FORMULA (do not edit)</t>
        </is>
      </c>
      <c r="D16" s="8" t="inlineStr">
        <is>
          <t>OUTPUT / RESULT</t>
        </is>
      </c>
    </row>
  </sheetData>
  <autoFilter ref="A5:F5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30" customWidth="1" min="3" max="3"/>
  </cols>
  <sheetData>
    <row r="1">
      <c r="A1" s="1" t="inlineStr">
        <is>
          <t>Replacement-Reserve Schedule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4">
      <c r="A4" s="10" t="inlineStr">
        <is>
          <t>Reserve Line</t>
        </is>
      </c>
      <c r="B4" s="10" t="inlineStr">
        <is>
          <t>Amount</t>
        </is>
      </c>
      <c r="C4" s="10" t="inlineStr">
        <is>
          <t>Notes</t>
        </is>
      </c>
    </row>
    <row r="5">
      <c r="A5" s="19" t="inlineStr">
        <is>
          <t>Opening reserve balance</t>
        </is>
      </c>
      <c r="B5" s="13" t="inlineStr">
        <is>
          <t>[■ $ balance]</t>
        </is>
      </c>
      <c r="C5" s="25" t="inlineStr">
        <is>
          <t>[■ notes]</t>
        </is>
      </c>
    </row>
    <row r="6">
      <c r="A6" s="19" t="inlineStr">
        <is>
          <t>Annual reserve contribution</t>
        </is>
      </c>
      <c r="B6" s="13" t="inlineStr">
        <is>
          <t>[■ $ contribution]</t>
        </is>
      </c>
      <c r="C6" s="25" t="inlineStr">
        <is>
          <t>Feeds the Operating Budget</t>
        </is>
      </c>
    </row>
    <row r="7">
      <c r="A7" s="19" t="inlineStr">
        <is>
          <t>Reserve draws (refresh / replacement)</t>
        </is>
      </c>
      <c r="B7" s="13" t="inlineStr">
        <is>
          <t>[■ $ draws]</t>
        </is>
      </c>
      <c r="C7" s="25" t="inlineStr">
        <is>
          <t>[■ notes]</t>
        </is>
      </c>
    </row>
    <row r="8">
      <c r="A8" s="16" t="inlineStr">
        <is>
          <t>Closing reserve balance (opening + contribution − draws)</t>
        </is>
      </c>
      <c r="B8" s="17">
        <f>IFERROR(B5+B6-B7,0)</f>
        <v/>
      </c>
    </row>
    <row r="9">
      <c r="A9" s="26" t="inlineStr">
        <is>
          <t>Required reserve (target funding level)</t>
        </is>
      </c>
      <c r="B9" s="13" t="inlineStr">
        <is>
          <t>[■ $ required reserve target]</t>
        </is>
      </c>
    </row>
    <row r="11">
      <c r="A11" s="11" t="inlineStr">
        <is>
          <t>FORMULA CHECKS</t>
        </is>
      </c>
      <c r="B11" s="11" t="inlineStr"/>
      <c r="C11" s="11" t="inlineStr"/>
    </row>
    <row r="12">
      <c r="A12" s="21" t="inlineStr">
        <is>
          <t>Closing reserve ≥ required target:</t>
        </is>
      </c>
      <c r="B12" s="22">
        <f>IF(B8&gt;=B9,"PASS — reserve funded","FLAG — reserve underfunded")</f>
        <v/>
      </c>
    </row>
    <row r="14">
      <c r="A14" s="5" t="inlineStr">
        <is>
          <t>Legend:</t>
        </is>
      </c>
      <c r="B14" s="6" t="inlineStr">
        <is>
          <t>INPUT (edit these)</t>
        </is>
      </c>
      <c r="C14" s="7" t="inlineStr">
        <is>
          <t>FORMULA (do not edit)</t>
        </is>
      </c>
      <c r="D14" s="8" t="inlineStr">
        <is>
          <t>OUTPUT / RESULT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Capacity &amp; Subscriber Forecast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A5" s="10" t="inlineStr">
        <is>
          <t>Metric</t>
        </is>
      </c>
      <c r="B5" s="10" t="inlineStr">
        <is>
          <t>Year 1</t>
        </is>
      </c>
      <c r="C5" s="10" t="inlineStr">
        <is>
          <t>Year 2</t>
        </is>
      </c>
      <c r="D5" s="10" t="inlineStr">
        <is>
          <t>Year 3</t>
        </is>
      </c>
      <c r="E5" s="10" t="inlineStr">
        <is>
          <t>Year 5</t>
        </is>
      </c>
    </row>
    <row r="6">
      <c r="A6" s="12" t="inlineStr">
        <is>
          <t>Locations passed</t>
        </is>
      </c>
      <c r="B6" s="27" t="inlineStr">
        <is>
          <t>[■ value]</t>
        </is>
      </c>
      <c r="C6" s="27" t="inlineStr">
        <is>
          <t>[■ value]</t>
        </is>
      </c>
      <c r="D6" s="27" t="inlineStr">
        <is>
          <t>[■ value]</t>
        </is>
      </c>
      <c r="E6" s="27" t="inlineStr">
        <is>
          <t>[■ value]</t>
        </is>
      </c>
    </row>
    <row r="7">
      <c r="A7" s="12" t="inlineStr">
        <is>
          <t>Active Subscribers</t>
        </is>
      </c>
      <c r="B7" s="27" t="inlineStr">
        <is>
          <t>[■ value]</t>
        </is>
      </c>
      <c r="C7" s="27" t="inlineStr">
        <is>
          <t>[■ value]</t>
        </is>
      </c>
      <c r="D7" s="27" t="inlineStr">
        <is>
          <t>[■ value]</t>
        </is>
      </c>
      <c r="E7" s="27" t="inlineStr">
        <is>
          <t>[■ value]</t>
        </is>
      </c>
    </row>
    <row r="8">
      <c r="A8" s="12" t="inlineStr">
        <is>
          <t>Take rate</t>
        </is>
      </c>
      <c r="B8" s="28" t="inlineStr">
        <is>
          <t>[■ value]</t>
        </is>
      </c>
      <c r="C8" s="28" t="inlineStr">
        <is>
          <t>[■ value]</t>
        </is>
      </c>
      <c r="D8" s="28" t="inlineStr">
        <is>
          <t>[■ value]</t>
        </is>
      </c>
      <c r="E8" s="28" t="inlineStr">
        <is>
          <t>[■ value]</t>
        </is>
      </c>
    </row>
    <row r="9">
      <c r="A9" s="12" t="inlineStr">
        <is>
          <t>Peak utilization (%)</t>
        </is>
      </c>
      <c r="B9" s="28" t="inlineStr">
        <is>
          <t>[■ value]</t>
        </is>
      </c>
      <c r="C9" s="28" t="inlineStr">
        <is>
          <t>[■ value]</t>
        </is>
      </c>
      <c r="D9" s="28" t="inlineStr">
        <is>
          <t>[■ value]</t>
        </is>
      </c>
      <c r="E9" s="28" t="inlineStr">
        <is>
          <t>[■ value]</t>
        </is>
      </c>
    </row>
    <row r="10">
      <c r="A10" s="12" t="inlineStr">
        <is>
          <t>Headroom to capacity (%)</t>
        </is>
      </c>
      <c r="B10" s="28" t="inlineStr">
        <is>
          <t>[■ value]</t>
        </is>
      </c>
      <c r="C10" s="28" t="inlineStr">
        <is>
          <t>[■ value]</t>
        </is>
      </c>
      <c r="D10" s="28" t="inlineStr">
        <is>
          <t>[■ value]</t>
        </is>
      </c>
      <c r="E10" s="28" t="inlineStr">
        <is>
          <t>[■ value]</t>
        </is>
      </c>
    </row>
    <row r="12">
      <c r="A12" s="5" t="inlineStr">
        <is>
          <t>Legend:</t>
        </is>
      </c>
      <c r="B12" s="6" t="inlineStr">
        <is>
          <t>INPUT (edit these)</t>
        </is>
      </c>
      <c r="C12" s="7" t="inlineStr">
        <is>
          <t>FORMULA (do not edit)</t>
        </is>
      </c>
      <c r="D12" s="8" t="inlineStr">
        <is>
          <t>OUTPUT / RESULT</t>
        </is>
      </c>
    </row>
  </sheetData>
  <autoFilter ref="A5:E5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34" customWidth="1" min="3" max="3"/>
  </cols>
  <sheetData>
    <row r="1">
      <c r="A1" s="1" t="inlineStr">
        <is>
          <t>Annual Sustainability Review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A5" s="10" t="inlineStr">
        <is>
          <t>Indicator</t>
        </is>
      </c>
      <c r="B5" s="10" t="inlineStr">
        <is>
          <t>Value</t>
        </is>
      </c>
      <c r="C5" s="10" t="inlineStr">
        <is>
          <t>Assessment</t>
        </is>
      </c>
    </row>
    <row r="6">
      <c r="A6" s="12" t="inlineStr">
        <is>
          <t>Total revenue</t>
        </is>
      </c>
      <c r="B6" s="20">
        <f>'Operating Budget'!B11</f>
        <v/>
      </c>
      <c r="C6" s="15" t="inlineStr">
        <is>
          <t>[■ assessment]</t>
        </is>
      </c>
    </row>
    <row r="7">
      <c r="A7" s="12" t="inlineStr">
        <is>
          <t>Total operating expense</t>
        </is>
      </c>
      <c r="B7" s="20">
        <f>'Operating Budget'!B25</f>
        <v/>
      </c>
      <c r="C7" s="15" t="inlineStr">
        <is>
          <t>[■ assessment]</t>
        </is>
      </c>
    </row>
    <row r="8">
      <c r="A8" s="12" t="inlineStr">
        <is>
          <t>Net operating income</t>
        </is>
      </c>
      <c r="B8" s="20">
        <f>'Operating Budget'!B27</f>
        <v/>
      </c>
      <c r="C8" s="15" t="inlineStr">
        <is>
          <t>[■ assessment]</t>
        </is>
      </c>
    </row>
    <row r="9">
      <c r="A9" s="12" t="inlineStr">
        <is>
          <t>Operating margin</t>
        </is>
      </c>
      <c r="B9" s="14">
        <f>IFERROR('Operating Budget'!B27/'Operating Budget'!B11,0)</f>
        <v/>
      </c>
      <c r="C9" s="15" t="inlineStr">
        <is>
          <t>[■ assessment]</t>
        </is>
      </c>
    </row>
    <row r="10">
      <c r="A10" s="12" t="inlineStr">
        <is>
          <t>Reserve funding status</t>
        </is>
      </c>
      <c r="B10" s="29">
        <f>IF('Reserve Schedule'!B8&gt;='Reserve Schedule'!B9,"Funded","Underfunded")</f>
        <v/>
      </c>
      <c r="C10" s="15" t="inlineStr">
        <is>
          <t>[■ assessment]</t>
        </is>
      </c>
    </row>
    <row r="12">
      <c r="A12" s="11" t="inlineStr">
        <is>
          <t>FORMULA CHECKS</t>
        </is>
      </c>
      <c r="B12" s="11" t="inlineStr"/>
      <c r="C12" s="11" t="inlineStr"/>
    </row>
    <row r="13">
      <c r="A13" s="21" t="inlineStr">
        <is>
          <t>Revenue ≥ Opex (self-sustaining):</t>
        </is>
      </c>
      <c r="B13" s="22">
        <f>IF('Operating Budget'!B11&gt;='Operating Budget'!B25,"PASS — self-sustaining on opex","FLAG — subsidy required")</f>
        <v/>
      </c>
    </row>
    <row r="14">
      <c r="A14" s="21" t="inlineStr">
        <is>
          <t>Replacement reserve funded:</t>
        </is>
      </c>
      <c r="B14" s="22">
        <f>IF('Reserve Schedule'!B8&gt;='Reserve Schedule'!B9,"PASS — reserve funded","FLAG — reserve underfunded")</f>
        <v/>
      </c>
    </row>
    <row r="16">
      <c r="A16" s="5" t="inlineStr">
        <is>
          <t>Legend:</t>
        </is>
      </c>
      <c r="B16" s="6" t="inlineStr">
        <is>
          <t>INPUT (edit these)</t>
        </is>
      </c>
      <c r="C16" s="7" t="inlineStr">
        <is>
          <t>FORMULA (do not edit)</t>
        </is>
      </c>
      <c r="D16" s="8" t="inlineStr">
        <is>
          <t>OUTPUT / RESULT</t>
        </is>
      </c>
    </row>
  </sheetData>
  <autoFilter ref="A5:C5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2026-09-26T15:47:36Z</dcterms:created>
  <dcterms:modified xmlns:dcterms="http://purl.org/dc/terms/" xmlns:xsi="http://www.w3.org/2001/XMLSchema-instance" xsi:type="dcterms:W3CDTF">2026-09-26T15:49:12Z</dcterms:modified>
</cp:coreProperties>
</file>