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losing Checklist" sheetId="2" state="visible" r:id="rId2"/>
    <sheet xmlns:r="http://schemas.openxmlformats.org/officeDocument/2006/relationships" name="Construction-Release" sheetId="3" state="visible" r:id="rId3"/>
    <sheet xmlns:r="http://schemas.openxmlformats.org/officeDocument/2006/relationships" name="Service-Launch" sheetId="4" state="visible" r:id="rId4"/>
    <sheet xmlns:r="http://schemas.openxmlformats.org/officeDocument/2006/relationships" name="Annual-Compliance" sheetId="5" state="visible" r:id="rId5"/>
    <sheet xmlns:r="http://schemas.openxmlformats.org/officeDocument/2006/relationships" name="Termination-Transition" sheetId="6" state="visible" r:id="rId6"/>
  </sheets>
  <definedNames>
    <definedName name="_xlnm._FilterDatabase" localSheetId="1" hidden="1">'Closing Checklist'!$A$5:$E$5</definedName>
    <definedName name="_xlnm._FilterDatabase" localSheetId="2" hidden="1">'Construction-Release'!$A$5:$E$5</definedName>
    <definedName name="_xlnm._FilterDatabase" localSheetId="3" hidden="1">'Service-Launch'!$A$5:$E$5</definedName>
    <definedName name="_xlnm._FilterDatabase" localSheetId="4" hidden="1">'Annual-Compliance'!$A$5:$E$5</definedName>
    <definedName name="_xlnm._FilterDatabase" localSheetId="5" hidden="1">'Termination-Transition'!$A$5:$E$5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general" vertical="center" wrapText="1"/>
    </xf>
    <xf numFmtId="0" fontId="9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B3" s="9" t="inlineStr">
        <is>
          <t>Parties: Lumbee Tribe of North Carolina (the “Lumbee Tribe”); LREMC Technologies, LLC d/b/a RIVR Tech (“RIVR Tech”); Lumbee River Electric Membership Corporation d/b/a Lumbee River EMC (“LREMC”), separate asset owner.</t>
        </is>
      </c>
    </row>
    <row r="4"/>
    <row r="5">
      <c r="B5" s="3" t="inlineStr">
        <is>
          <t>Program Checklists</t>
        </is>
      </c>
    </row>
    <row r="6">
      <c r="B6" s="4" t="inlineStr">
        <is>
          <t>Five program checklists spanning the transaction lifecycle for the TBCP project.</t>
        </is>
      </c>
    </row>
    <row r="7">
      <c r="B7" s="4" t="inlineStr">
        <is>
          <t>• Each sheet has frozen, filterable headers and a Status dropdown (Not Started / In Progress / Complete / N/A).</t>
        </is>
      </c>
    </row>
    <row r="8">
      <c r="B8" s="4" t="inlineStr">
        <is>
          <t>• Amber INPUT columns (Status / Doc Ref / Notes) are yours to complete.</t>
        </is>
      </c>
    </row>
    <row r="9">
      <c r="B9" s="4" t="inlineStr">
        <is>
          <t>• Cross-references: the Definitive Agreements and Schedules S1–S14.</t>
        </is>
      </c>
    </row>
    <row r="10">
      <c r="B10" s="4" t="inlineStr">
        <is>
          <t>• PRELIMINARY DRAFT – SUBJECT TO LEGAL, GRANT AND FINANCIAL REVIEW</t>
        </is>
      </c>
    </row>
    <row r="11"/>
    <row r="12">
      <c r="A12" s="5" t="inlineStr">
        <is>
          <t>Legend:</t>
        </is>
      </c>
      <c r="B12" s="6" t="inlineStr">
        <is>
          <t>INPUT (edit these)</t>
        </is>
      </c>
      <c r="C12" s="7" t="inlineStr">
        <is>
          <t>FORMULA (do not edit)</t>
        </is>
      </c>
      <c r="D12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E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6" customWidth="1" min="3" max="3"/>
    <col width="22" customWidth="1" min="4" max="4"/>
    <col width="34" customWidth="1" min="5" max="5"/>
  </cols>
  <sheetData>
    <row r="1">
      <c r="A1" s="1" t="inlineStr">
        <is>
          <t>Closing Checklist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Conditions to closing the coordinated TBCP transaction</t>
        </is>
      </c>
    </row>
    <row r="5">
      <c r="A5" s="10" t="inlineStr">
        <is>
          <t>Item</t>
        </is>
      </c>
      <c r="B5" s="10" t="inlineStr">
        <is>
          <t>Responsible</t>
        </is>
      </c>
      <c r="C5" s="10" t="inlineStr">
        <is>
          <t>Status</t>
        </is>
      </c>
      <c r="D5" s="10" t="inlineStr">
        <is>
          <t>Doc Ref</t>
        </is>
      </c>
      <c r="E5" s="10" t="inlineStr">
        <is>
          <t>Notes</t>
        </is>
      </c>
    </row>
    <row r="6">
      <c r="A6" s="11" t="inlineStr">
        <is>
          <t>Executed federal Award confirmed (controlling round / FAIN)</t>
        </is>
      </c>
      <c r="B6" s="11" t="inlineStr">
        <is>
          <t>Grant Counsel</t>
        </is>
      </c>
      <c r="C6" s="12" t="inlineStr">
        <is>
          <t>[■ status]</t>
        </is>
      </c>
      <c r="D6" s="13" t="inlineStr">
        <is>
          <t>[■ doc ref]</t>
        </is>
      </c>
      <c r="E6" s="13" t="inlineStr">
        <is>
          <t>[■ notes]</t>
        </is>
      </c>
    </row>
    <row r="7">
      <c r="A7" s="11" t="inlineStr">
        <is>
          <t>Master TBCP Partnership and Implementation Agreement executed</t>
        </is>
      </c>
      <c r="B7" s="11" t="inlineStr">
        <is>
          <t>Both Parties</t>
        </is>
      </c>
      <c r="C7" s="12" t="inlineStr">
        <is>
          <t>[■ status]</t>
        </is>
      </c>
      <c r="D7" s="13" t="inlineStr">
        <is>
          <t>[■ doc ref]</t>
        </is>
      </c>
      <c r="E7" s="13" t="inlineStr">
        <is>
          <t>[■ notes]</t>
        </is>
      </c>
    </row>
    <row r="8">
      <c r="A8" s="11" t="inlineStr">
        <is>
          <t>All Definitive Agreements executed</t>
        </is>
      </c>
      <c r="B8" s="11" t="inlineStr">
        <is>
          <t>Both Parties</t>
        </is>
      </c>
      <c r="C8" s="12" t="inlineStr">
        <is>
          <t>[■ status]</t>
        </is>
      </c>
      <c r="D8" s="13" t="inlineStr">
        <is>
          <t>[■ doc ref]</t>
        </is>
      </c>
      <c r="E8" s="13" t="inlineStr">
        <is>
          <t>[■ notes]</t>
        </is>
      </c>
    </row>
    <row r="9">
      <c r="A9" s="11" t="inlineStr">
        <is>
          <t>Tribal Council resolutions / authorizations</t>
        </is>
      </c>
      <c r="B9" s="11" t="inlineStr">
        <is>
          <t>Lumbee Tribe</t>
        </is>
      </c>
      <c r="C9" s="12" t="inlineStr">
        <is>
          <t>[■ status]</t>
        </is>
      </c>
      <c r="D9" s="13" t="inlineStr">
        <is>
          <t>[■ doc ref]</t>
        </is>
      </c>
      <c r="E9" s="13" t="inlineStr">
        <is>
          <t>[■ notes]</t>
        </is>
      </c>
    </row>
    <row r="10">
      <c r="A10" s="11" t="inlineStr">
        <is>
          <t>Corporate authorizations (RIVR Tech / LREMC)</t>
        </is>
      </c>
      <c r="B10" s="11" t="inlineStr">
        <is>
          <t>RIVR Tech / LREMC</t>
        </is>
      </c>
      <c r="C10" s="12" t="inlineStr">
        <is>
          <t>[■ status]</t>
        </is>
      </c>
      <c r="D10" s="13" t="inlineStr">
        <is>
          <t>[■ doc ref]</t>
        </is>
      </c>
      <c r="E10" s="13" t="inlineStr">
        <is>
          <t>[■ notes]</t>
        </is>
      </c>
    </row>
    <row r="11">
      <c r="A11" s="11" t="inlineStr">
        <is>
          <t>Document-precedence schedule (S1) finalized</t>
        </is>
      </c>
      <c r="B11" s="11" t="inlineStr">
        <is>
          <t>Grant Counsel</t>
        </is>
      </c>
      <c r="C11" s="12" t="inlineStr">
        <is>
          <t>[■ status]</t>
        </is>
      </c>
      <c r="D11" s="13" t="inlineStr">
        <is>
          <t>[■ doc ref]</t>
        </is>
      </c>
      <c r="E11" s="13" t="inlineStr">
        <is>
          <t>[■ notes]</t>
        </is>
      </c>
    </row>
    <row r="12">
      <c r="A12" s="11" t="inlineStr">
        <is>
          <t>Land / easement / ROW instruments recorded (S9)</t>
        </is>
      </c>
      <c r="B12" s="11" t="inlineStr">
        <is>
          <t>Lumbee Tribe / LREMC</t>
        </is>
      </c>
      <c r="C12" s="12" t="inlineStr">
        <is>
          <t>[■ status]</t>
        </is>
      </c>
      <c r="D12" s="13" t="inlineStr">
        <is>
          <t>[■ doc ref]</t>
        </is>
      </c>
      <c r="E12" s="13" t="inlineStr">
        <is>
          <t>[■ notes]</t>
        </is>
      </c>
    </row>
    <row r="13">
      <c r="A13" s="11" t="inlineStr">
        <is>
          <t>BIA approvals for trust / restricted land (25 CFR 162/169)</t>
        </is>
      </c>
      <c r="B13" s="11" t="inlineStr">
        <is>
          <t>Grant Counsel</t>
        </is>
      </c>
      <c r="C13" s="12" t="inlineStr">
        <is>
          <t>[■ status]</t>
        </is>
      </c>
      <c r="D13" s="13" t="inlineStr">
        <is>
          <t>[■ doc ref]</t>
        </is>
      </c>
      <c r="E13" s="13" t="inlineStr">
        <is>
          <t>[■ notes]</t>
        </is>
      </c>
    </row>
    <row r="14">
      <c r="A14" s="11" t="inlineStr">
        <is>
          <t>Insurance certificates in force (Exhibit I limits)</t>
        </is>
      </c>
      <c r="B14" s="11" t="inlineStr">
        <is>
          <t>RIVR Tech</t>
        </is>
      </c>
      <c r="C14" s="12" t="inlineStr">
        <is>
          <t>[■ status]</t>
        </is>
      </c>
      <c r="D14" s="13" t="inlineStr">
        <is>
          <t>[■ doc ref]</t>
        </is>
      </c>
      <c r="E14" s="13" t="inlineStr">
        <is>
          <t>[■ notes]</t>
        </is>
      </c>
    </row>
    <row r="15">
      <c r="A15" s="11" t="inlineStr">
        <is>
          <t>Lender consents obtained (if financed assets)</t>
        </is>
      </c>
      <c r="B15" s="11" t="inlineStr">
        <is>
          <t>RIVR Tech / LREMC</t>
        </is>
      </c>
      <c r="C15" s="12" t="inlineStr">
        <is>
          <t>[■ status]</t>
        </is>
      </c>
      <c r="D15" s="13" t="inlineStr">
        <is>
          <t>[■ doc ref]</t>
        </is>
      </c>
      <c r="E15" s="13" t="inlineStr">
        <is>
          <t>[■ notes]</t>
        </is>
      </c>
    </row>
    <row r="16">
      <c r="A16" s="11" t="inlineStr">
        <is>
          <t>NTIA consent to IRU / operating arrangement</t>
        </is>
      </c>
      <c r="B16" s="11" t="inlineStr">
        <is>
          <t>Grant Counsel</t>
        </is>
      </c>
      <c r="C16" s="12" t="inlineStr">
        <is>
          <t>[■ status]</t>
        </is>
      </c>
      <c r="D16" s="13" t="inlineStr">
        <is>
          <t>[■ doc ref]</t>
        </is>
      </c>
      <c r="E16" s="13" t="inlineStr">
        <is>
          <t>[■ notes]</t>
        </is>
      </c>
    </row>
    <row r="17">
      <c r="A17" s="11" t="inlineStr">
        <is>
          <t>§889 / covered-telecom certifications (2 CFR 200.216 (Prohibition on certain telecommunications and video surveillance — §889 covered equipment))</t>
        </is>
      </c>
      <c r="B17" s="11" t="inlineStr">
        <is>
          <t>RIVR Tech</t>
        </is>
      </c>
      <c r="C17" s="12" t="inlineStr">
        <is>
          <t>[■ status]</t>
        </is>
      </c>
      <c r="D17" s="13" t="inlineStr">
        <is>
          <t>[■ doc ref]</t>
        </is>
      </c>
      <c r="E17" s="13" t="inlineStr">
        <is>
          <t>[■ notes]</t>
        </is>
      </c>
    </row>
    <row r="18">
      <c r="A18" s="11" t="inlineStr">
        <is>
          <t>SAM.gov registration active</t>
        </is>
      </c>
      <c r="B18" s="11" t="inlineStr">
        <is>
          <t>Grant Counsel</t>
        </is>
      </c>
      <c r="C18" s="12" t="inlineStr">
        <is>
          <t>[■ status]</t>
        </is>
      </c>
      <c r="D18" s="13" t="inlineStr">
        <is>
          <t>[■ doc ref]</t>
        </is>
      </c>
      <c r="E18" s="13" t="inlineStr">
        <is>
          <t>[■ notes]</t>
        </is>
      </c>
    </row>
    <row r="19">
      <c r="A19" s="11" t="inlineStr">
        <is>
          <t>Conflict-of-interest disclosures (2 CFR 200.318(c) and 2 CFR 200.112 (Conflict of interest))</t>
        </is>
      </c>
      <c r="B19" s="11" t="inlineStr">
        <is>
          <t>Both Parties</t>
        </is>
      </c>
      <c r="C19" s="12" t="inlineStr">
        <is>
          <t>[■ status]</t>
        </is>
      </c>
      <c r="D19" s="13" t="inlineStr">
        <is>
          <t>[■ doc ref]</t>
        </is>
      </c>
      <c r="E19" s="13" t="inlineStr">
        <is>
          <t>[■ notes]</t>
        </is>
      </c>
    </row>
    <row r="21">
      <c r="A21" s="14" t="inlineStr">
        <is>
          <t>All items Complete or N/A:</t>
        </is>
      </c>
      <c r="B21" s="15">
        <f>IF(COUNTIF(C6:C19,"Complete")+COUNTIF(C6:C19,"N/A")=14,"PASS — all items resolved","IN PROGRESS — open items remain")</f>
        <v/>
      </c>
    </row>
  </sheetData>
  <autoFilter ref="A5:E5"/>
  <mergeCells count="3">
    <mergeCell ref="A2:E2"/>
    <mergeCell ref="A1:E1"/>
    <mergeCell ref="A3:E3"/>
  </mergeCells>
  <dataValidations count="1">
    <dataValidation sqref="C6:C19" showDropDown="0" showInputMessage="0" showErrorMessage="0" allowBlank="1" error="Choose: Not Started / In Progress / Complete / N/A" prompt="Select a status" type="list">
      <formula1>"Not Started,In Progress,Complete,N/A"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E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6" customWidth="1" min="3" max="3"/>
    <col width="22" customWidth="1" min="4" max="4"/>
    <col width="34" customWidth="1" min="5" max="5"/>
  </cols>
  <sheetData>
    <row r="1">
      <c r="A1" s="1" t="inlineStr">
        <is>
          <t>Construction-Release Checklist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Conditions to releasing construction (per segment)</t>
        </is>
      </c>
    </row>
    <row r="5">
      <c r="A5" s="10" t="inlineStr">
        <is>
          <t>Item</t>
        </is>
      </c>
      <c r="B5" s="10" t="inlineStr">
        <is>
          <t>Responsible</t>
        </is>
      </c>
      <c r="C5" s="10" t="inlineStr">
        <is>
          <t>Status</t>
        </is>
      </c>
      <c r="D5" s="10" t="inlineStr">
        <is>
          <t>Doc Ref</t>
        </is>
      </c>
      <c r="E5" s="10" t="inlineStr">
        <is>
          <t>Notes</t>
        </is>
      </c>
    </row>
    <row r="6">
      <c r="A6" s="11" t="inlineStr">
        <is>
          <t>Notice to Proceed issued (Form 1.1)</t>
        </is>
      </c>
      <c r="B6" s="11" t="inlineStr">
        <is>
          <t>RIVR Tech PM</t>
        </is>
      </c>
      <c r="C6" s="12" t="inlineStr">
        <is>
          <t>[■ status]</t>
        </is>
      </c>
      <c r="D6" s="13" t="inlineStr">
        <is>
          <t>[■ doc ref]</t>
        </is>
      </c>
      <c r="E6" s="13" t="inlineStr">
        <is>
          <t>[■ notes]</t>
        </is>
      </c>
    </row>
    <row r="7">
      <c r="A7" s="11" t="inlineStr">
        <is>
          <t>NEPA environmental review complete (National Environmental Policy Act (NEPA), 42 U.S.C. § 4321 et seq., and DOC/NTIA implementing procedures)</t>
        </is>
      </c>
      <c r="B7" s="11" t="inlineStr">
        <is>
          <t>Grant Counsel</t>
        </is>
      </c>
      <c r="C7" s="12" t="inlineStr">
        <is>
          <t>[■ status]</t>
        </is>
      </c>
      <c r="D7" s="13" t="inlineStr">
        <is>
          <t>[■ doc ref]</t>
        </is>
      </c>
      <c r="E7" s="13" t="inlineStr">
        <is>
          <t>[■ notes]</t>
        </is>
      </c>
    </row>
    <row r="8">
      <c r="A8" s="11" t="inlineStr">
        <is>
          <t>NHPA §106 review complete (National Historic Preservation Act § 106, 54 U.S.C. § 306108 (36 CFR Part 800))</t>
        </is>
      </c>
      <c r="B8" s="11" t="inlineStr">
        <is>
          <t>Grant Counsel</t>
        </is>
      </c>
      <c r="C8" s="12" t="inlineStr">
        <is>
          <t>[■ status]</t>
        </is>
      </c>
      <c r="D8" s="13" t="inlineStr">
        <is>
          <t>[■ doc ref]</t>
        </is>
      </c>
      <c r="E8" s="13" t="inlineStr">
        <is>
          <t>[■ notes]</t>
        </is>
      </c>
    </row>
    <row r="9">
      <c r="A9" s="11" t="inlineStr">
        <is>
          <t>Permits obtained (NCDOT / encroachment — N.C. Gen. Stat. § 136-18 and NCDOT utility accommodation policy (encroachment/ROW in NCDOT corridors))</t>
        </is>
      </c>
      <c r="B9" s="11" t="inlineStr">
        <is>
          <t>RIVR Tech</t>
        </is>
      </c>
      <c r="C9" s="12" t="inlineStr">
        <is>
          <t>[■ status]</t>
        </is>
      </c>
      <c r="D9" s="13" t="inlineStr">
        <is>
          <t>[■ doc ref]</t>
        </is>
      </c>
      <c r="E9" s="13" t="inlineStr">
        <is>
          <t>[■ notes]</t>
        </is>
      </c>
    </row>
    <row r="10">
      <c r="A10" s="11" t="inlineStr">
        <is>
          <t>Pole attachment authorizations (N.C. Gen. Stat. § 62-350 (broadband attachment to utility poles))</t>
        </is>
      </c>
      <c r="B10" s="11" t="inlineStr">
        <is>
          <t>RIVR Tech / LREMC</t>
        </is>
      </c>
      <c r="C10" s="12" t="inlineStr">
        <is>
          <t>[■ status]</t>
        </is>
      </c>
      <c r="D10" s="13" t="inlineStr">
        <is>
          <t>[■ doc ref]</t>
        </is>
      </c>
      <c r="E10" s="13" t="inlineStr">
        <is>
          <t>[■ notes]</t>
        </is>
      </c>
    </row>
    <row r="11">
      <c r="A11" s="11" t="inlineStr">
        <is>
          <t>811 utility locates complete (N.C. Gen. Stat. Ch. 87, Art. 8A (Underground Utility Safety and Damage Prevention Act / 811 locates))</t>
        </is>
      </c>
      <c r="B11" s="11" t="inlineStr">
        <is>
          <t>RIVR Tech</t>
        </is>
      </c>
      <c r="C11" s="12" t="inlineStr">
        <is>
          <t>[■ status]</t>
        </is>
      </c>
      <c r="D11" s="13" t="inlineStr">
        <is>
          <t>[■ doc ref]</t>
        </is>
      </c>
      <c r="E11" s="13" t="inlineStr">
        <is>
          <t>[■ notes]</t>
        </is>
      </c>
    </row>
    <row r="12">
      <c r="A12" s="11" t="inlineStr">
        <is>
          <t>BABA compliance plan in place (Build America, Buy America Act, IIJA §§ 70911–70917 (Pub. L. 117-58); 2 CFR Part 184; and NTIA BABA award terms)</t>
        </is>
      </c>
      <c r="B12" s="11" t="inlineStr">
        <is>
          <t>Grant Counsel</t>
        </is>
      </c>
      <c r="C12" s="12" t="inlineStr">
        <is>
          <t>[■ status]</t>
        </is>
      </c>
      <c r="D12" s="13" t="inlineStr">
        <is>
          <t>[■ doc ref]</t>
        </is>
      </c>
      <c r="E12" s="13" t="inlineStr">
        <is>
          <t>[■ notes]</t>
        </is>
      </c>
    </row>
    <row r="13">
      <c r="A13" s="11" t="inlineStr">
        <is>
          <t>Procurement performed per 2 CFR 200.317–200.327 (Procurement standards)</t>
        </is>
      </c>
      <c r="B13" s="11" t="inlineStr">
        <is>
          <t>Grant Counsel</t>
        </is>
      </c>
      <c r="C13" s="12" t="inlineStr">
        <is>
          <t>[■ status]</t>
        </is>
      </c>
      <c r="D13" s="13" t="inlineStr">
        <is>
          <t>[■ doc ref]</t>
        </is>
      </c>
      <c r="E13" s="13" t="inlineStr">
        <is>
          <t>[■ notes]</t>
        </is>
      </c>
    </row>
    <row r="14">
      <c r="A14" s="11" t="inlineStr">
        <is>
          <t>Bill of materials / engineering approved (S4)</t>
        </is>
      </c>
      <c r="B14" s="11" t="inlineStr">
        <is>
          <t>Lumbee Tribe / RIVR Tech</t>
        </is>
      </c>
      <c r="C14" s="12" t="inlineStr">
        <is>
          <t>[■ status]</t>
        </is>
      </c>
      <c r="D14" s="13" t="inlineStr">
        <is>
          <t>[■ doc ref]</t>
        </is>
      </c>
      <c r="E14" s="13" t="inlineStr">
        <is>
          <t>[■ notes]</t>
        </is>
      </c>
    </row>
    <row r="15">
      <c r="A15" s="11" t="inlineStr">
        <is>
          <t>Construction pricing / milestones set (S5)</t>
        </is>
      </c>
      <c r="B15" s="11" t="inlineStr">
        <is>
          <t>Both Parties</t>
        </is>
      </c>
      <c r="C15" s="12" t="inlineStr">
        <is>
          <t>[■ status]</t>
        </is>
      </c>
      <c r="D15" s="13" t="inlineStr">
        <is>
          <t>[■ doc ref]</t>
        </is>
      </c>
      <c r="E15" s="13" t="inlineStr">
        <is>
          <t>[■ notes]</t>
        </is>
      </c>
    </row>
    <row r="16">
      <c r="A16" s="11" t="inlineStr">
        <is>
          <t>Builders-risk / construction insurance in force</t>
        </is>
      </c>
      <c r="B16" s="11" t="inlineStr">
        <is>
          <t>RIVR Tech</t>
        </is>
      </c>
      <c r="C16" s="12" t="inlineStr">
        <is>
          <t>[■ status]</t>
        </is>
      </c>
      <c r="D16" s="13" t="inlineStr">
        <is>
          <t>[■ doc ref]</t>
        </is>
      </c>
      <c r="E16" s="13" t="inlineStr">
        <is>
          <t>[■ notes]</t>
        </is>
      </c>
    </row>
    <row r="17">
      <c r="A17" s="11" t="inlineStr">
        <is>
          <t>Site safety plan in place</t>
        </is>
      </c>
      <c r="B17" s="11" t="inlineStr">
        <is>
          <t>RIVR Tech</t>
        </is>
      </c>
      <c r="C17" s="12" t="inlineStr">
        <is>
          <t>[■ status]</t>
        </is>
      </c>
      <c r="D17" s="13" t="inlineStr">
        <is>
          <t>[■ doc ref]</t>
        </is>
      </c>
      <c r="E17" s="13" t="inlineStr">
        <is>
          <t>[■ notes]</t>
        </is>
      </c>
    </row>
    <row r="19">
      <c r="A19" s="14" t="inlineStr">
        <is>
          <t>All items Complete or N/A:</t>
        </is>
      </c>
      <c r="B19" s="15">
        <f>IF(COUNTIF(C6:C17,"Complete")+COUNTIF(C6:C17,"N/A")=12,"PASS — all items resolved","IN PROGRESS — open items remain")</f>
        <v/>
      </c>
    </row>
  </sheetData>
  <autoFilter ref="A5:E5"/>
  <mergeCells count="3">
    <mergeCell ref="A2:E2"/>
    <mergeCell ref="A1:E1"/>
    <mergeCell ref="A3:E3"/>
  </mergeCells>
  <dataValidations count="1">
    <dataValidation sqref="C6:C17" showDropDown="0" showInputMessage="0" showErrorMessage="0" allowBlank="1" error="Choose: Not Started / In Progress / Complete / N/A" prompt="Select a status" type="list">
      <formula1>"Not Started,In Progress,Complete,N/A"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007F"/>
    <outlinePr summaryBelow="1" summaryRight="1"/>
    <pageSetUpPr/>
  </sheetPr>
  <dimension ref="A1:E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6" customWidth="1" min="3" max="3"/>
    <col width="22" customWidth="1" min="4" max="4"/>
    <col width="34" customWidth="1" min="5" max="5"/>
  </cols>
  <sheetData>
    <row r="1">
      <c r="A1" s="1" t="inlineStr">
        <is>
          <t>Service-Launch Checklist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Conditions to launching retail service on a segment</t>
        </is>
      </c>
    </row>
    <row r="5">
      <c r="A5" s="10" t="inlineStr">
        <is>
          <t>Item</t>
        </is>
      </c>
      <c r="B5" s="10" t="inlineStr">
        <is>
          <t>Responsible</t>
        </is>
      </c>
      <c r="C5" s="10" t="inlineStr">
        <is>
          <t>Status</t>
        </is>
      </c>
      <c r="D5" s="10" t="inlineStr">
        <is>
          <t>Doc Ref</t>
        </is>
      </c>
      <c r="E5" s="10" t="inlineStr">
        <is>
          <t>Notes</t>
        </is>
      </c>
    </row>
    <row r="6">
      <c r="A6" s="11" t="inlineStr">
        <is>
          <t>Segment Acceptance Form executed (Form 1.9)</t>
        </is>
      </c>
      <c r="B6" s="11" t="inlineStr">
        <is>
          <t>Lumbee Tribe / RIVR Tech</t>
        </is>
      </c>
      <c r="C6" s="12" t="inlineStr">
        <is>
          <t>[■ status]</t>
        </is>
      </c>
      <c r="D6" s="13" t="inlineStr">
        <is>
          <t>[■ doc ref]</t>
        </is>
      </c>
      <c r="E6" s="13" t="inlineStr">
        <is>
          <t>[■ notes]</t>
        </is>
      </c>
    </row>
    <row r="7">
      <c r="A7" s="11" t="inlineStr">
        <is>
          <t>OTDR / optical test results on file (bi-directional OTDR)</t>
        </is>
      </c>
      <c r="B7" s="11" t="inlineStr">
        <is>
          <t>RIVR Tech</t>
        </is>
      </c>
      <c r="C7" s="12" t="inlineStr">
        <is>
          <t>[■ status]</t>
        </is>
      </c>
      <c r="D7" s="13" t="inlineStr">
        <is>
          <t>[■ doc ref]</t>
        </is>
      </c>
      <c r="E7" s="13" t="inlineStr">
        <is>
          <t>[■ notes]</t>
        </is>
      </c>
    </row>
    <row r="8">
      <c r="A8" s="11" t="inlineStr">
        <is>
          <t>Segment IRU Activation Certificate executed (Form 02)</t>
        </is>
      </c>
      <c r="B8" s="11" t="inlineStr">
        <is>
          <t>Both Parties</t>
        </is>
      </c>
      <c r="C8" s="12" t="inlineStr">
        <is>
          <t>[■ status]</t>
        </is>
      </c>
      <c r="D8" s="13" t="inlineStr">
        <is>
          <t>[■ doc ref]</t>
        </is>
      </c>
      <c r="E8" s="13" t="inlineStr">
        <is>
          <t>[■ notes]</t>
        </is>
      </c>
    </row>
    <row r="9">
      <c r="A9" s="11" t="inlineStr">
        <is>
          <t>Retail provider-of-record readiness (S7)</t>
        </is>
      </c>
      <c r="B9" s="11" t="inlineStr">
        <is>
          <t>RIVR Tech</t>
        </is>
      </c>
      <c r="C9" s="12" t="inlineStr">
        <is>
          <t>[■ status]</t>
        </is>
      </c>
      <c r="D9" s="13" t="inlineStr">
        <is>
          <t>[■ doc ref]</t>
        </is>
      </c>
      <c r="E9" s="13" t="inlineStr">
        <is>
          <t>[■ notes]</t>
        </is>
      </c>
    </row>
    <row r="10">
      <c r="A10" s="11" t="inlineStr">
        <is>
          <t>Billing / collections system live</t>
        </is>
      </c>
      <c r="B10" s="11" t="inlineStr">
        <is>
          <t>RIVR Tech</t>
        </is>
      </c>
      <c r="C10" s="12" t="inlineStr">
        <is>
          <t>[■ status]</t>
        </is>
      </c>
      <c r="D10" s="13" t="inlineStr">
        <is>
          <t>[■ doc ref]</t>
        </is>
      </c>
      <c r="E10" s="13" t="inlineStr">
        <is>
          <t>[■ notes]</t>
        </is>
      </c>
    </row>
    <row r="11">
      <c r="A11" s="11" t="inlineStr">
        <is>
          <t>Affordability program enrollment (Lifeline/ETC — 47 CFR Part 54 (USAC/FCC universal service, Lifeline, and ETC requirements))</t>
        </is>
      </c>
      <c r="B11" s="11" t="inlineStr">
        <is>
          <t>RIVR Tech</t>
        </is>
      </c>
      <c r="C11" s="12" t="inlineStr">
        <is>
          <t>[■ status]</t>
        </is>
      </c>
      <c r="D11" s="13" t="inlineStr">
        <is>
          <t>[■ doc ref]</t>
        </is>
      </c>
      <c r="E11" s="13" t="inlineStr">
        <is>
          <t>[■ notes]</t>
        </is>
      </c>
    </row>
    <row r="12">
      <c r="A12" s="11" t="inlineStr">
        <is>
          <t>Subscriber onboarding process ready</t>
        </is>
      </c>
      <c r="B12" s="11" t="inlineStr">
        <is>
          <t>RIVR Tech</t>
        </is>
      </c>
      <c r="C12" s="12" t="inlineStr">
        <is>
          <t>[■ status]</t>
        </is>
      </c>
      <c r="D12" s="13" t="inlineStr">
        <is>
          <t>[■ doc ref]</t>
        </is>
      </c>
      <c r="E12" s="13" t="inlineStr">
        <is>
          <t>[■ notes]</t>
        </is>
      </c>
    </row>
    <row r="13">
      <c r="A13" s="11" t="inlineStr">
        <is>
          <t>NOC 24x7x365 monitoring live</t>
        </is>
      </c>
      <c r="B13" s="11" t="inlineStr">
        <is>
          <t>RIVR Tech</t>
        </is>
      </c>
      <c r="C13" s="12" t="inlineStr">
        <is>
          <t>[■ status]</t>
        </is>
      </c>
      <c r="D13" s="13" t="inlineStr">
        <is>
          <t>[■ doc ref]</t>
        </is>
      </c>
      <c r="E13" s="13" t="inlineStr">
        <is>
          <t>[■ notes]</t>
        </is>
      </c>
    </row>
    <row r="14">
      <c r="A14" s="11" t="inlineStr">
        <is>
          <t>SLA monitoring &amp; reporting configured (S6)</t>
        </is>
      </c>
      <c r="B14" s="11" t="inlineStr">
        <is>
          <t>RIVR Tech</t>
        </is>
      </c>
      <c r="C14" s="12" t="inlineStr">
        <is>
          <t>[■ status]</t>
        </is>
      </c>
      <c r="D14" s="13" t="inlineStr">
        <is>
          <t>[■ doc ref]</t>
        </is>
      </c>
      <c r="E14" s="13" t="inlineStr">
        <is>
          <t>[■ notes]</t>
        </is>
      </c>
    </row>
    <row r="15">
      <c r="A15" s="11" t="inlineStr">
        <is>
          <t>CPNI / privacy controls in place (47 U.S.C. § 222 and 47 CFR §§ 64.2001–64.2011 (Customer Proprietary Network Information))</t>
        </is>
      </c>
      <c r="B15" s="11" t="inlineStr">
        <is>
          <t>RIVR Tech</t>
        </is>
      </c>
      <c r="C15" s="12" t="inlineStr">
        <is>
          <t>[■ status]</t>
        </is>
      </c>
      <c r="D15" s="13" t="inlineStr">
        <is>
          <t>[■ doc ref]</t>
        </is>
      </c>
      <c r="E15" s="13" t="inlineStr">
        <is>
          <t>[■ notes]</t>
        </is>
      </c>
    </row>
    <row r="16">
      <c r="A16" s="11" t="inlineStr">
        <is>
          <t>Data privacy &amp; cybersecurity addendum in effect (S11)</t>
        </is>
      </c>
      <c r="B16" s="11" t="inlineStr">
        <is>
          <t>Both Parties</t>
        </is>
      </c>
      <c r="C16" s="12" t="inlineStr">
        <is>
          <t>[■ status]</t>
        </is>
      </c>
      <c r="D16" s="13" t="inlineStr">
        <is>
          <t>[■ doc ref]</t>
        </is>
      </c>
      <c r="E16" s="13" t="inlineStr">
        <is>
          <t>[■ notes]</t>
        </is>
      </c>
    </row>
    <row r="17">
      <c r="A17" s="11" t="inlineStr">
        <is>
          <t>Subscriber payment / reconciliation process ready (S8)</t>
        </is>
      </c>
      <c r="B17" s="11" t="inlineStr">
        <is>
          <t>RIVR Tech / Lumbee Tribe</t>
        </is>
      </c>
      <c r="C17" s="12" t="inlineStr">
        <is>
          <t>[■ status]</t>
        </is>
      </c>
      <c r="D17" s="13" t="inlineStr">
        <is>
          <t>[■ doc ref]</t>
        </is>
      </c>
      <c r="E17" s="13" t="inlineStr">
        <is>
          <t>[■ notes]</t>
        </is>
      </c>
    </row>
    <row r="19">
      <c r="A19" s="14" t="inlineStr">
        <is>
          <t>All items Complete or N/A:</t>
        </is>
      </c>
      <c r="B19" s="15">
        <f>IF(COUNTIF(C6:C17,"Complete")+COUNTIF(C6:C17,"N/A")=12,"PASS — all items resolved","IN PROGRESS — open items remain")</f>
        <v/>
      </c>
    </row>
  </sheetData>
  <autoFilter ref="A5:E5"/>
  <mergeCells count="3">
    <mergeCell ref="A2:E2"/>
    <mergeCell ref="A1:E1"/>
    <mergeCell ref="A3:E3"/>
  </mergeCells>
  <dataValidations count="1">
    <dataValidation sqref="C6:C17" showDropDown="0" showInputMessage="0" showErrorMessage="0" allowBlank="1" error="Choose: Not Started / In Progress / Complete / N/A" prompt="Select a status" type="list">
      <formula1>"Not Started,In Progress,Complete,N/A"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E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6" customWidth="1" min="3" max="3"/>
    <col width="22" customWidth="1" min="4" max="4"/>
    <col width="34" customWidth="1" min="5" max="5"/>
  </cols>
  <sheetData>
    <row r="1">
      <c r="A1" s="1" t="inlineStr">
        <is>
          <t>Annual-Compliance Checklist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Recurring annual compliance obligations</t>
        </is>
      </c>
    </row>
    <row r="5">
      <c r="A5" s="10" t="inlineStr">
        <is>
          <t>Item</t>
        </is>
      </c>
      <c r="B5" s="10" t="inlineStr">
        <is>
          <t>Responsible</t>
        </is>
      </c>
      <c r="C5" s="10" t="inlineStr">
        <is>
          <t>Status</t>
        </is>
      </c>
      <c r="D5" s="10" t="inlineStr">
        <is>
          <t>Doc Ref</t>
        </is>
      </c>
      <c r="E5" s="10" t="inlineStr">
        <is>
          <t>Notes</t>
        </is>
      </c>
    </row>
    <row r="6">
      <c r="A6" s="11" t="inlineStr">
        <is>
          <t>Single audit filed if expenditures ≥ $1,000,000 (2 CFR Part 200, Subpart F (Audit Requirements; single-audit threshold $1,000,000))</t>
        </is>
      </c>
      <c r="B6" s="11" t="inlineStr">
        <is>
          <t>Lumbee Tribe / Auditor</t>
        </is>
      </c>
      <c r="C6" s="12" t="inlineStr">
        <is>
          <t>[■ status]</t>
        </is>
      </c>
      <c r="D6" s="13" t="inlineStr">
        <is>
          <t>[■ doc ref]</t>
        </is>
      </c>
      <c r="E6" s="13" t="inlineStr">
        <is>
          <t>[■ notes]</t>
        </is>
      </c>
    </row>
    <row r="7">
      <c r="A7" s="11" t="inlineStr">
        <is>
          <t>Performance &amp; financial reports to NTIA</t>
        </is>
      </c>
      <c r="B7" s="11" t="inlineStr">
        <is>
          <t>Grant Counsel</t>
        </is>
      </c>
      <c r="C7" s="12" t="inlineStr">
        <is>
          <t>[■ status]</t>
        </is>
      </c>
      <c r="D7" s="13" t="inlineStr">
        <is>
          <t>[■ doc ref]</t>
        </is>
      </c>
      <c r="E7" s="13" t="inlineStr">
        <is>
          <t>[■ notes]</t>
        </is>
      </c>
    </row>
    <row r="8">
      <c r="A8" s="11" t="inlineStr">
        <is>
          <t>Program-income reporting (2 CFR 200.307 (Program income))</t>
        </is>
      </c>
      <c r="B8" s="11" t="inlineStr">
        <is>
          <t>Grant Counsel</t>
        </is>
      </c>
      <c r="C8" s="12" t="inlineStr">
        <is>
          <t>[■ status]</t>
        </is>
      </c>
      <c r="D8" s="13" t="inlineStr">
        <is>
          <t>[■ doc ref]</t>
        </is>
      </c>
      <c r="E8" s="13" t="inlineStr">
        <is>
          <t>[■ notes]</t>
        </is>
      </c>
    </row>
    <row r="9">
      <c r="A9" s="11" t="inlineStr">
        <is>
          <t>Asset / property register updated (2 CFR 200.313 (Equipment — use, management, and disposition))</t>
        </is>
      </c>
      <c r="B9" s="11" t="inlineStr">
        <is>
          <t>RIVR Tech</t>
        </is>
      </c>
      <c r="C9" s="12" t="inlineStr">
        <is>
          <t>[■ status]</t>
        </is>
      </c>
      <c r="D9" s="13" t="inlineStr">
        <is>
          <t>[■ doc ref]</t>
        </is>
      </c>
      <c r="E9" s="13" t="inlineStr">
        <is>
          <t>[■ notes]</t>
        </is>
      </c>
    </row>
    <row r="10">
      <c r="A10" s="11" t="inlineStr">
        <is>
          <t>Federal-Interest register reconciled (2 CFR 200.316 (Property trust relationship))</t>
        </is>
      </c>
      <c r="B10" s="11" t="inlineStr">
        <is>
          <t>Grant Counsel</t>
        </is>
      </c>
      <c r="C10" s="12" t="inlineStr">
        <is>
          <t>[■ status]</t>
        </is>
      </c>
      <c r="D10" s="13" t="inlineStr">
        <is>
          <t>[■ doc ref]</t>
        </is>
      </c>
      <c r="E10" s="13" t="inlineStr">
        <is>
          <t>[■ notes]</t>
        </is>
      </c>
    </row>
    <row r="11">
      <c r="A11" s="11" t="inlineStr">
        <is>
          <t>Reimbursement records retained (2 CFR 200.334–200.337 (Record retention and access; three-year retention))</t>
        </is>
      </c>
      <c r="B11" s="11" t="inlineStr">
        <is>
          <t>Grant Counsel</t>
        </is>
      </c>
      <c r="C11" s="12" t="inlineStr">
        <is>
          <t>[■ status]</t>
        </is>
      </c>
      <c r="D11" s="13" t="inlineStr">
        <is>
          <t>[■ doc ref]</t>
        </is>
      </c>
      <c r="E11" s="13" t="inlineStr">
        <is>
          <t>[■ notes]</t>
        </is>
      </c>
    </row>
    <row r="12">
      <c r="A12" s="11" t="inlineStr">
        <is>
          <t>BABA ongoing compliance confirmed</t>
        </is>
      </c>
      <c r="B12" s="11" t="inlineStr">
        <is>
          <t>Grant Counsel</t>
        </is>
      </c>
      <c r="C12" s="12" t="inlineStr">
        <is>
          <t>[■ status]</t>
        </is>
      </c>
      <c r="D12" s="13" t="inlineStr">
        <is>
          <t>[■ doc ref]</t>
        </is>
      </c>
      <c r="E12" s="13" t="inlineStr">
        <is>
          <t>[■ notes]</t>
        </is>
      </c>
    </row>
    <row r="13">
      <c r="A13" s="11" t="inlineStr">
        <is>
          <t>§889 re-certification (2 CFR 200.216 (Prohibition on certain telecommunications and video surveillance — §889 covered equipment))</t>
        </is>
      </c>
      <c r="B13" s="11" t="inlineStr">
        <is>
          <t>RIVR Tech</t>
        </is>
      </c>
      <c r="C13" s="12" t="inlineStr">
        <is>
          <t>[■ status]</t>
        </is>
      </c>
      <c r="D13" s="13" t="inlineStr">
        <is>
          <t>[■ doc ref]</t>
        </is>
      </c>
      <c r="E13" s="13" t="inlineStr">
        <is>
          <t>[■ notes]</t>
        </is>
      </c>
    </row>
    <row r="14">
      <c r="A14" s="11" t="inlineStr">
        <is>
          <t>Insurance renewals confirmed</t>
        </is>
      </c>
      <c r="B14" s="11" t="inlineStr">
        <is>
          <t>RIVR Tech</t>
        </is>
      </c>
      <c r="C14" s="12" t="inlineStr">
        <is>
          <t>[■ status]</t>
        </is>
      </c>
      <c r="D14" s="13" t="inlineStr">
        <is>
          <t>[■ doc ref]</t>
        </is>
      </c>
      <c r="E14" s="13" t="inlineStr">
        <is>
          <t>[■ notes]</t>
        </is>
      </c>
    </row>
    <row r="15">
      <c r="A15" s="11" t="inlineStr">
        <is>
          <t>SLA performance review (S6)</t>
        </is>
      </c>
      <c r="B15" s="11" t="inlineStr">
        <is>
          <t>Both Parties</t>
        </is>
      </c>
      <c r="C15" s="12" t="inlineStr">
        <is>
          <t>[■ status]</t>
        </is>
      </c>
      <c r="D15" s="13" t="inlineStr">
        <is>
          <t>[■ doc ref]</t>
        </is>
      </c>
      <c r="E15" s="13" t="inlineStr">
        <is>
          <t>[■ notes]</t>
        </is>
      </c>
    </row>
    <row r="16">
      <c r="A16" s="11" t="inlineStr">
        <is>
          <t>Replacement-reserve funding reviewed (S6)</t>
        </is>
      </c>
      <c r="B16" s="11" t="inlineStr">
        <is>
          <t>Both Parties</t>
        </is>
      </c>
      <c r="C16" s="12" t="inlineStr">
        <is>
          <t>[■ status]</t>
        </is>
      </c>
      <c r="D16" s="13" t="inlineStr">
        <is>
          <t>[■ doc ref]</t>
        </is>
      </c>
      <c r="E16" s="13" t="inlineStr">
        <is>
          <t>[■ notes]</t>
        </is>
      </c>
    </row>
    <row r="17">
      <c r="A17" s="11" t="inlineStr">
        <is>
          <t>Conflict-of-interest annual disclosures (2 CFR 200.318(c) and 2 CFR 200.112 (Conflict of interest))</t>
        </is>
      </c>
      <c r="B17" s="11" t="inlineStr">
        <is>
          <t>Both Parties</t>
        </is>
      </c>
      <c r="C17" s="12" t="inlineStr">
        <is>
          <t>[■ status]</t>
        </is>
      </c>
      <c r="D17" s="13" t="inlineStr">
        <is>
          <t>[■ doc ref]</t>
        </is>
      </c>
      <c r="E17" s="13" t="inlineStr">
        <is>
          <t>[■ notes]</t>
        </is>
      </c>
    </row>
    <row r="18">
      <c r="A18" s="11" t="inlineStr">
        <is>
          <t>Annual budget / sustainability review completed (Form 05)</t>
        </is>
      </c>
      <c r="B18" s="11" t="inlineStr">
        <is>
          <t>Both Parties</t>
        </is>
      </c>
      <c r="C18" s="12" t="inlineStr">
        <is>
          <t>[■ status]</t>
        </is>
      </c>
      <c r="D18" s="13" t="inlineStr">
        <is>
          <t>[■ doc ref]</t>
        </is>
      </c>
      <c r="E18" s="13" t="inlineStr">
        <is>
          <t>[■ notes]</t>
        </is>
      </c>
    </row>
    <row r="20">
      <c r="A20" s="14" t="inlineStr">
        <is>
          <t>All items Complete or N/A:</t>
        </is>
      </c>
      <c r="B20" s="15">
        <f>IF(COUNTIF(C6:C18,"Complete")+COUNTIF(C6:C18,"N/A")=13,"PASS — all items resolved","IN PROGRESS — open items remain")</f>
        <v/>
      </c>
    </row>
  </sheetData>
  <autoFilter ref="A5:E5"/>
  <mergeCells count="3">
    <mergeCell ref="A2:E2"/>
    <mergeCell ref="A1:E1"/>
    <mergeCell ref="A3:E3"/>
  </mergeCells>
  <dataValidations count="1">
    <dataValidation sqref="C6:C18" showDropDown="0" showInputMessage="0" showErrorMessage="0" allowBlank="1" error="Choose: Not Started / In Progress / Complete / N/A" prompt="Select a status" type="list">
      <formula1>"Not Started,In Progress,Complete,N/A"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E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6" customWidth="1" min="3" max="3"/>
    <col width="22" customWidth="1" min="4" max="4"/>
    <col width="34" customWidth="1" min="5" max="5"/>
  </cols>
  <sheetData>
    <row r="1">
      <c r="A1" s="1" t="inlineStr">
        <is>
          <t>Termination / Transition Checklist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Steps on default, termination, or transition of operations</t>
        </is>
      </c>
    </row>
    <row r="5">
      <c r="A5" s="10" t="inlineStr">
        <is>
          <t>Item</t>
        </is>
      </c>
      <c r="B5" s="10" t="inlineStr">
        <is>
          <t>Responsible</t>
        </is>
      </c>
      <c r="C5" s="10" t="inlineStr">
        <is>
          <t>Status</t>
        </is>
      </c>
      <c r="D5" s="10" t="inlineStr">
        <is>
          <t>Doc Ref</t>
        </is>
      </c>
      <c r="E5" s="10" t="inlineStr">
        <is>
          <t>Notes</t>
        </is>
      </c>
    </row>
    <row r="6">
      <c r="A6" s="11" t="inlineStr">
        <is>
          <t>Default / cure status determined (cure: 30d monetary / 60d non-monetary)</t>
        </is>
      </c>
      <c r="B6" s="11" t="inlineStr">
        <is>
          <t>Grant Counsel</t>
        </is>
      </c>
      <c r="C6" s="12" t="inlineStr">
        <is>
          <t>[■ status]</t>
        </is>
      </c>
      <c r="D6" s="13" t="inlineStr">
        <is>
          <t>[■ doc ref]</t>
        </is>
      </c>
      <c r="E6" s="13" t="inlineStr">
        <is>
          <t>[■ notes]</t>
        </is>
      </c>
    </row>
    <row r="7">
      <c r="A7" s="11" t="inlineStr">
        <is>
          <t>Step-in triggers assessed (immediate, upon notice, where continuity…)</t>
        </is>
      </c>
      <c r="B7" s="11" t="inlineStr">
        <is>
          <t>Both Parties</t>
        </is>
      </c>
      <c r="C7" s="12" t="inlineStr">
        <is>
          <t>[■ status]</t>
        </is>
      </c>
      <c r="D7" s="13" t="inlineStr">
        <is>
          <t>[■ doc ref]</t>
        </is>
      </c>
      <c r="E7" s="13" t="inlineStr">
        <is>
          <t>[■ notes]</t>
        </is>
      </c>
    </row>
    <row r="8">
      <c r="A8" s="11" t="inlineStr">
        <is>
          <t>Transition-assistance plan activated (12 months)</t>
        </is>
      </c>
      <c r="B8" s="11" t="inlineStr">
        <is>
          <t>RIVR Tech</t>
        </is>
      </c>
      <c r="C8" s="12" t="inlineStr">
        <is>
          <t>[■ status]</t>
        </is>
      </c>
      <c r="D8" s="13" t="inlineStr">
        <is>
          <t>[■ doc ref]</t>
        </is>
      </c>
      <c r="E8" s="13" t="inlineStr">
        <is>
          <t>[■ notes]</t>
        </is>
      </c>
    </row>
    <row r="9">
      <c r="A9" s="11" t="inlineStr">
        <is>
          <t>Records &amp; asset transfer to Lumbee Tribe</t>
        </is>
      </c>
      <c r="B9" s="11" t="inlineStr">
        <is>
          <t>RIVR Tech</t>
        </is>
      </c>
      <c r="C9" s="12" t="inlineStr">
        <is>
          <t>[■ status]</t>
        </is>
      </c>
      <c r="D9" s="13" t="inlineStr">
        <is>
          <t>[■ doc ref]</t>
        </is>
      </c>
      <c r="E9" s="13" t="inlineStr">
        <is>
          <t>[■ notes]</t>
        </is>
      </c>
    </row>
    <row r="10">
      <c r="A10" s="11" t="inlineStr">
        <is>
          <t>Software / license assignment (assignable licenses)</t>
        </is>
      </c>
      <c r="B10" s="11" t="inlineStr">
        <is>
          <t>RIVR Tech</t>
        </is>
      </c>
      <c r="C10" s="12" t="inlineStr">
        <is>
          <t>[■ status]</t>
        </is>
      </c>
      <c r="D10" s="13" t="inlineStr">
        <is>
          <t>[■ doc ref]</t>
        </is>
      </c>
      <c r="E10" s="13" t="inlineStr">
        <is>
          <t>[■ notes]</t>
        </is>
      </c>
    </row>
    <row r="11">
      <c r="A11" s="11" t="inlineStr">
        <is>
          <t>Subscriber notification &amp; continuity</t>
        </is>
      </c>
      <c r="B11" s="11" t="inlineStr">
        <is>
          <t>RIVR Tech</t>
        </is>
      </c>
      <c r="C11" s="12" t="inlineStr">
        <is>
          <t>[■ status]</t>
        </is>
      </c>
      <c r="D11" s="13" t="inlineStr">
        <is>
          <t>[■ doc ref]</t>
        </is>
      </c>
      <c r="E11" s="13" t="inlineStr">
        <is>
          <t>[■ notes]</t>
        </is>
      </c>
    </row>
    <row r="12">
      <c r="A12" s="11" t="inlineStr">
        <is>
          <t>NTIA notification of transition / termination</t>
        </is>
      </c>
      <c r="B12" s="11" t="inlineStr">
        <is>
          <t>Grant Counsel</t>
        </is>
      </c>
      <c r="C12" s="12" t="inlineStr">
        <is>
          <t>[■ status]</t>
        </is>
      </c>
      <c r="D12" s="13" t="inlineStr">
        <is>
          <t>[■ doc ref]</t>
        </is>
      </c>
      <c r="E12" s="13" t="inlineStr">
        <is>
          <t>[■ notes]</t>
        </is>
      </c>
    </row>
    <row r="13">
      <c r="A13" s="11" t="inlineStr">
        <is>
          <t>Federal-interest disposition (2 CFR 200.311 (Real property — use, encumbrance, and disposition); 2 CFR 200.316 (Property trust relationship))</t>
        </is>
      </c>
      <c r="B13" s="11" t="inlineStr">
        <is>
          <t>Grant Counsel</t>
        </is>
      </c>
      <c r="C13" s="12" t="inlineStr">
        <is>
          <t>[■ status]</t>
        </is>
      </c>
      <c r="D13" s="13" t="inlineStr">
        <is>
          <t>[■ doc ref]</t>
        </is>
      </c>
      <c r="E13" s="13" t="inlineStr">
        <is>
          <t>[■ notes]</t>
        </is>
      </c>
    </row>
    <row r="14">
      <c r="A14" s="11" t="inlineStr">
        <is>
          <t>Award closeout (2 CFR 200.344 (Closeout) and 2 CFR 200.345 (Post-closeout adjustments and continuing responsibilities))</t>
        </is>
      </c>
      <c r="B14" s="11" t="inlineStr">
        <is>
          <t>Grant Counsel</t>
        </is>
      </c>
      <c r="C14" s="12" t="inlineStr">
        <is>
          <t>[■ status]</t>
        </is>
      </c>
      <c r="D14" s="13" t="inlineStr">
        <is>
          <t>[■ doc ref]</t>
        </is>
      </c>
      <c r="E14" s="13" t="inlineStr">
        <is>
          <t>[■ notes]</t>
        </is>
      </c>
    </row>
    <row r="15">
      <c r="A15" s="11" t="inlineStr">
        <is>
          <t>Post-closeout obligations acknowledged (200.345)</t>
        </is>
      </c>
      <c r="B15" s="11" t="inlineStr">
        <is>
          <t>Grant Counsel</t>
        </is>
      </c>
      <c r="C15" s="12" t="inlineStr">
        <is>
          <t>[■ status]</t>
        </is>
      </c>
      <c r="D15" s="13" t="inlineStr">
        <is>
          <t>[■ doc ref]</t>
        </is>
      </c>
      <c r="E15" s="13" t="inlineStr">
        <is>
          <t>[■ notes]</t>
        </is>
      </c>
    </row>
    <row r="16">
      <c r="A16" s="11" t="inlineStr">
        <is>
          <t>Lien releases / lender payoff (if any)</t>
        </is>
      </c>
      <c r="B16" s="11" t="inlineStr">
        <is>
          <t>RIVR Tech / LREMC</t>
        </is>
      </c>
      <c r="C16" s="12" t="inlineStr">
        <is>
          <t>[■ status]</t>
        </is>
      </c>
      <c r="D16" s="13" t="inlineStr">
        <is>
          <t>[■ doc ref]</t>
        </is>
      </c>
      <c r="E16" s="13" t="inlineStr">
        <is>
          <t>[■ notes]</t>
        </is>
      </c>
    </row>
    <row r="17">
      <c r="A17" s="11" t="inlineStr">
        <is>
          <t>Final reconciliation &amp; payment (Form 04)</t>
        </is>
      </c>
      <c r="B17" s="11" t="inlineStr">
        <is>
          <t>Both Parties</t>
        </is>
      </c>
      <c r="C17" s="12" t="inlineStr">
        <is>
          <t>[■ status]</t>
        </is>
      </c>
      <c r="D17" s="13" t="inlineStr">
        <is>
          <t>[■ doc ref]</t>
        </is>
      </c>
      <c r="E17" s="13" t="inlineStr">
        <is>
          <t>[■ notes]</t>
        </is>
      </c>
    </row>
    <row r="19">
      <c r="A19" s="14" t="inlineStr">
        <is>
          <t>All items Complete or N/A:</t>
        </is>
      </c>
      <c r="B19" s="15">
        <f>IF(COUNTIF(C6:C17,"Complete")+COUNTIF(C6:C17,"N/A")=12,"PASS — all items resolved","IN PROGRESS — open items remain")</f>
        <v/>
      </c>
    </row>
  </sheetData>
  <autoFilter ref="A5:E5"/>
  <mergeCells count="3">
    <mergeCell ref="A2:E2"/>
    <mergeCell ref="A1:E1"/>
    <mergeCell ref="A3:E3"/>
  </mergeCells>
  <dataValidations count="1">
    <dataValidation sqref="C6:C17" showDropDown="0" showInputMessage="0" showErrorMessage="0" allowBlank="1" error="Choose: Not Started / In Progress / Complete / N/A" prompt="Select a status" type="list">
      <formula1>"Not Started,In Progress,Complete,N/A"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2026-09-26T15:47:36Z</dcterms:created>
  <dcterms:modified xmlns:dcterms="http://purl.org/dc/terms/" xmlns:xsi="http://www.w3.org/2001/XMLSchema-instance" xsi:type="dcterms:W3CDTF">2026-09-26T15:49:12Z</dcterms:modified>
</cp:coreProperties>
</file>