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struction Pricing" sheetId="2" state="visible" r:id="rId2"/>
  </sheets>
  <definedNames>
    <definedName name="_xlnm._FilterDatabase" localSheetId="1" hidden="1">'Construction Pricing'!$A$5:$F$5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(&quot;$&quot;#,##0)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0" fontId="9" fillId="6" borderId="1" pivotButton="0" quotePrefix="0" xfId="0"/>
    <xf numFmtId="164" fontId="9" fillId="4" borderId="1" applyAlignment="1" pivotButton="0" quotePrefix="0" xfId="0">
      <alignment horizontal="right" vertical="center"/>
    </xf>
    <xf numFmtId="0" fontId="10" fillId="0" borderId="0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B3" s="9" t="inlineStr">
        <is>
          <t>Parties: Lumbee Tribe of North Carolina (the “Lumbee Tribe”); LREMC Technologies, LLC d/b/a RIVR Tech (“RIVR Tech”); Lumbee River Electric Membership Corporation d/b/a Lumbee River EMC (“LREMC”), separate asset owner.</t>
        </is>
      </c>
    </row>
    <row r="4"/>
    <row r="5">
      <c r="B5" s="3" t="inlineStr">
        <is>
          <t>SCHEDULE S5 — Construction Pricing, Payment Milestones, Retainage, and Warranties</t>
        </is>
      </c>
    </row>
    <row r="6">
      <c r="B6" s="4" t="inlineStr">
        <is>
          <t>PRELIMINARY DRAFT – NO CONTROLLING TBCP AWARD OR SOURCE DOCUMENTS SUPPLIED – PROVISIONAL BASELINE: MARCH 2024 AMENDED ROUND 2 NOFO – SUBJECT TO LEGAL, GRANT AND FINANCIAL REVIEW</t>
        </is>
      </c>
    </row>
    <row r="7">
      <c r="B7" s="4" t="inlineStr"/>
    </row>
    <row r="8">
      <c r="B8" s="3" t="inlineStr">
        <is>
          <t>Provenance / caveat</t>
        </is>
      </c>
    </row>
    <row r="9">
      <c r="B9" s="4" t="inlineStr">
        <is>
          <t>• This register is NOT derived from a supplied TBCP award or source documents.</t>
        </is>
      </c>
    </row>
    <row r="10">
      <c r="B10" s="4" t="inlineStr">
        <is>
          <t>• Provisional baseline: TBCP Round 2 Notice of Funding Opportunity, as amended March 2024 (PROVISIONAL BASELINE).</t>
        </is>
      </c>
    </row>
    <row r="11">
      <c r="B11" s="4" t="inlineStr">
        <is>
          <t>• Round 3 is the live TBCP round as of the version date; the controlling round and executed award must be confirmed before any definitive clause is finalized.</t>
        </is>
      </c>
    </row>
    <row r="12">
      <c r="B12" s="4" t="inlineStr">
        <is>
          <t>• Capitalized terms used and not otherwise defined in a document have the meanings given in Article 2 (Definitions) of the Master TBCP Partnership and Implementation Agreement, which is the single shared definitions source for the package.</t>
        </is>
      </c>
    </row>
    <row r="13">
      <c r="B13" s="4" t="inlineStr">
        <is>
          <t>• Order-of-precedence rule: No commercial agreement, schedule, or form authorizes any act prohibited by, or inconsistent with, the Award or applicable federal law; in any conflict the higher-ranked instrument controls, and a lawful construction and service provision is not invalidated by a rejected IRU, exclusivity, payment, or commercial-use term (severability and reformation apply).</t>
        </is>
      </c>
    </row>
    <row r="14">
      <c r="B14" s="4" t="inlineStr"/>
    </row>
    <row r="15">
      <c r="B15" s="3" t="inlineStr">
        <is>
          <t>How to use this workbook</t>
        </is>
      </c>
    </row>
    <row r="16">
      <c r="B16" s="4" t="inlineStr">
        <is>
          <t>• Cells marked [■ ...] are placeholders — replace with confirmed data; do not invent values.</t>
        </is>
      </c>
    </row>
    <row r="17">
      <c r="B17" s="4" t="inlineStr">
        <is>
          <t>• Amber = INPUT (edit). Blue = FORMULA (do not edit). Green = OUTPUT/RESULT.</t>
        </is>
      </c>
    </row>
    <row r="18">
      <c r="B18" s="4" t="inlineStr">
        <is>
          <t>• All figures, counts, dates, prices, and descriptions are placeholders pending confirmation.</t>
        </is>
      </c>
    </row>
    <row r="19">
      <c r="B19" s="4" t="inlineStr"/>
    </row>
    <row r="20">
      <c r="B20" s="3" t="inlineStr">
        <is>
          <t>Cost / duplication rule</t>
        </is>
      </c>
    </row>
    <row r="21">
      <c r="B21" s="4" t="inlineStr">
        <is>
          <t>• Prices are eligible-cost based per 2 CFR Part 200 Subpart E (allowable/allocable/reasonable).</t>
        </is>
      </c>
    </row>
    <row r="22">
      <c r="B22" s="4" t="inlineStr">
        <is>
          <t>• No cost may be charged twice — construction cost recovered here is not also recovered via the</t>
        </is>
      </c>
    </row>
    <row r="23">
      <c r="B23" s="4" t="inlineStr">
        <is>
          <t xml:space="preserve">  per-Active-Subscriber operating payment or via RIVR Tech Existing Network charges.</t>
        </is>
      </c>
    </row>
    <row r="24">
      <c r="B24" s="4" t="inlineStr">
        <is>
          <t>• All prices, percentages, and warranty terms are placeholders pending competitive procurement.</t>
        </is>
      </c>
    </row>
    <row r="25"/>
    <row r="26">
      <c r="A26" s="5" t="inlineStr">
        <is>
          <t>Legend:</t>
        </is>
      </c>
      <c r="B26" s="6" t="inlineStr">
        <is>
          <t>INPUT (edit these)</t>
        </is>
      </c>
      <c r="C26" s="7" t="inlineStr">
        <is>
          <t>FORMULA (do not edit)</t>
        </is>
      </c>
      <c r="D26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  <col width="12" customWidth="1" min="4" max="4"/>
    <col width="16" customWidth="1" min="5" max="5"/>
    <col width="26" customWidth="1" min="6" max="6"/>
  </cols>
  <sheetData>
    <row r="1">
      <c r="A1" s="1" t="inlineStr">
        <is>
          <t>S5 — Construction Pricing, Milestones, Retainage &amp; Warranties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Eligible-cost based; placeholders pending procurement. Totals computed by formula.</t>
        </is>
      </c>
    </row>
    <row r="5">
      <c r="A5" s="10" t="inlineStr">
        <is>
          <t>Milestone</t>
        </is>
      </c>
      <c r="B5" s="10" t="inlineStr">
        <is>
          <t>Eligible-Cost Basis</t>
        </is>
      </c>
      <c r="C5" s="10" t="inlineStr">
        <is>
          <t>Price</t>
        </is>
      </c>
      <c r="D5" s="10" t="inlineStr">
        <is>
          <t>Retainage %</t>
        </is>
      </c>
      <c r="E5" s="10" t="inlineStr">
        <is>
          <t>Retainage Held</t>
        </is>
      </c>
      <c r="F5" s="10" t="inlineStr">
        <is>
          <t>Warranty</t>
        </is>
      </c>
    </row>
    <row r="6">
      <c r="A6" s="11" t="inlineStr">
        <is>
          <t>M1 — Design &amp; engineering</t>
        </is>
      </c>
      <c r="B6" s="11" t="inlineStr">
        <is>
          <t>Design labor, survey, permitting (allocable)</t>
        </is>
      </c>
      <c r="C6" s="12" t="inlineStr">
        <is>
          <t>[■ price]</t>
        </is>
      </c>
      <c r="D6" s="13" t="inlineStr">
        <is>
          <t>[■ %]</t>
        </is>
      </c>
      <c r="E6" s="14">
        <f>IF(AND(ISNUMBER(C6),ISNUMBER(D6)),C6*D6,"")</f>
        <v/>
      </c>
      <c r="F6" s="15" t="inlineStr">
        <is>
          <t>[■ warranty term]</t>
        </is>
      </c>
    </row>
    <row r="7">
      <c r="A7" s="11" t="inlineStr">
        <is>
          <t>M2 — Materials on site</t>
        </is>
      </c>
      <c r="B7" s="11" t="inlineStr">
        <is>
          <t>BABA-compliant materials at documented cost</t>
        </is>
      </c>
      <c r="C7" s="12" t="inlineStr">
        <is>
          <t>[■ price]</t>
        </is>
      </c>
      <c r="D7" s="13" t="inlineStr">
        <is>
          <t>[■ %]</t>
        </is>
      </c>
      <c r="E7" s="14">
        <f>IF(AND(ISNUMBER(C7),ISNUMBER(D7)),C7*D7,"")</f>
        <v/>
      </c>
      <c r="F7" s="15" t="inlineStr">
        <is>
          <t>[■ warranty term]</t>
        </is>
      </c>
    </row>
    <row r="8">
      <c r="A8" s="11" t="inlineStr">
        <is>
          <t>M3 — Construction 50%</t>
        </is>
      </c>
      <c r="B8" s="11" t="inlineStr">
        <is>
          <t>Installed plant, verified progress</t>
        </is>
      </c>
      <c r="C8" s="12" t="inlineStr">
        <is>
          <t>[■ price]</t>
        </is>
      </c>
      <c r="D8" s="13" t="inlineStr">
        <is>
          <t>[■ %]</t>
        </is>
      </c>
      <c r="E8" s="14">
        <f>IF(AND(ISNUMBER(C8),ISNUMBER(D8)),C8*D8,"")</f>
        <v/>
      </c>
      <c r="F8" s="15" t="inlineStr">
        <is>
          <t>[■ warranty term]</t>
        </is>
      </c>
    </row>
    <row r="9">
      <c r="A9" s="11" t="inlineStr">
        <is>
          <t>M4 — Substantial completion</t>
        </is>
      </c>
      <c r="B9" s="11" t="inlineStr">
        <is>
          <t>Segment ready for acceptance testing</t>
        </is>
      </c>
      <c r="C9" s="12" t="inlineStr">
        <is>
          <t>[■ price]</t>
        </is>
      </c>
      <c r="D9" s="13" t="inlineStr">
        <is>
          <t>[■ %]</t>
        </is>
      </c>
      <c r="E9" s="14">
        <f>IF(AND(ISNUMBER(C9),ISNUMBER(D9)),C9*D9,"")</f>
        <v/>
      </c>
      <c r="F9" s="15" t="inlineStr">
        <is>
          <t>[■ warranty term]</t>
        </is>
      </c>
    </row>
    <row r="10">
      <c r="A10" s="11" t="inlineStr">
        <is>
          <t>M5 — Final acceptance</t>
        </is>
      </c>
      <c r="B10" s="11" t="inlineStr">
        <is>
          <t>OTDR acceptance passed (Schedule S4)</t>
        </is>
      </c>
      <c r="C10" s="12" t="inlineStr">
        <is>
          <t>[■ price]</t>
        </is>
      </c>
      <c r="D10" s="13" t="inlineStr">
        <is>
          <t>[■ %]</t>
        </is>
      </c>
      <c r="E10" s="14">
        <f>IF(AND(ISNUMBER(C10),ISNUMBER(D10)),C10*D10,"")</f>
        <v/>
      </c>
      <c r="F10" s="15" t="inlineStr">
        <is>
          <t>[■ warranty term]</t>
        </is>
      </c>
    </row>
    <row r="11">
      <c r="A11" s="16" t="inlineStr">
        <is>
          <t>TOTAL</t>
        </is>
      </c>
      <c r="B11" s="17" t="inlineStr"/>
      <c r="C11" s="18">
        <f>IF(COUNT(C6:C10)&gt;0,SUM(C6:C10),"")</f>
        <v/>
      </c>
      <c r="D11" s="17" t="inlineStr"/>
      <c r="E11" s="18">
        <f>IF(COUNT(E6:E10)&gt;0,SUM(E6:E10),"")</f>
        <v/>
      </c>
      <c r="F11" s="17" t="inlineStr"/>
    </row>
    <row r="12">
      <c r="A12" s="16" t="inlineStr">
        <is>
          <t>NET PAYABLE (Total less Retainage held)</t>
        </is>
      </c>
      <c r="B12" s="17" t="inlineStr"/>
      <c r="C12" s="18">
        <f>IF(ISNUMBER(C11),C11-E11,"")</f>
        <v/>
      </c>
      <c r="D12" s="17" t="inlineStr"/>
      <c r="E12" s="17" t="inlineStr"/>
      <c r="F12" s="17" t="inlineStr"/>
    </row>
    <row r="14">
      <c r="A14" s="19" t="inlineStr">
        <is>
          <t>No-duplicate-charge check:</t>
        </is>
      </c>
      <c r="B14" s="20" t="inlineStr">
        <is>
          <t>MANUAL VERIFY: no cost recovered here is also recovered via the per-Active-Subscriber payment (S8) or RIVR Tech Existing Network charges (S3).</t>
        </is>
      </c>
      <c r="C14" s="21" t="n"/>
      <c r="D14" s="21" t="n"/>
      <c r="E14" s="21" t="n"/>
      <c r="F14" s="22" t="n"/>
    </row>
  </sheetData>
  <autoFilter ref="A5:F5"/>
  <mergeCells count="4">
    <mergeCell ref="A3:F3"/>
    <mergeCell ref="A2:F2"/>
    <mergeCell ref="A1:F1"/>
    <mergeCell ref="B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2026-09-26T15:46:10Z</dcterms:created>
  <dcterms:modified xmlns:dcterms="http://purl.org/dc/terms/" xmlns:xsi="http://www.w3.org/2001/XMLSchema-instance" xsi:type="dcterms:W3CDTF">2026-09-26T15:49:12Z</dcterms:modified>
</cp:coreProperties>
</file>