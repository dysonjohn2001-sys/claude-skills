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tive Subscriber Def" sheetId="2" state="visible" r:id="rId2"/>
    <sheet xmlns:r="http://schemas.openxmlformats.org/officeDocument/2006/relationships" name="Payment Mechanics" sheetId="3" state="visible" r:id="rId3"/>
    <sheet xmlns:r="http://schemas.openxmlformats.org/officeDocument/2006/relationships" name="Revenue &amp; Program Income" sheetId="4" state="visible" r:id="rId4"/>
    <sheet xmlns:r="http://schemas.openxmlformats.org/officeDocument/2006/relationships" name="Taxes Cash Audit" sheetId="5" state="visible" r:id="rId5"/>
    <sheet xmlns:r="http://schemas.openxmlformats.org/officeDocument/2006/relationships" name="Worked Example" sheetId="6" state="visible" r:id="rId6"/>
  </sheets>
  <definedNames>
    <definedName name="_xlnm._FilterDatabase" localSheetId="1" hidden="1">'Active Subscriber Def'!$A$5:$B$5</definedName>
    <definedName name="_xlnm._FilterDatabase" localSheetId="2" hidden="1">'Payment Mechanics'!$A$5:$C$5</definedName>
    <definedName name="_xlnm._FilterDatabase" localSheetId="3" hidden="1">'Revenue &amp; Program Income'!$A$5:$D$5</definedName>
    <definedName name="_xlnm._FilterDatabase" localSheetId="4" hidden="1">'Taxes Cash Audit'!$A$5:$C$5</definedName>
    <definedName name="_xlnm._FilterDatabase" localSheetId="5" hidden="1">'Worked Example'!$A$5:$C$5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(&quot;$&quot;#,##0)"/>
  </numFmts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B5" s="3" t="inlineStr">
        <is>
          <t>SCHEDULE S8 — Subscriber Payment, Revenue, Program Income, Taxes, Fees, Cash Controls, and Audit</t>
        </is>
      </c>
    </row>
    <row r="6">
      <c r="B6" s="4" t="inlineStr">
        <is>
          <t>PRELIMINARY DRAFT – NO CONTROLLING TBCP AWARD OR SOURCE DOCUMENTS SUPPLIED – PROVISIONAL BASELINE: MARCH 2024 AMENDED ROUND 2 NOFO – SUBJECT TO LEGAL, GRANT AND FINANCIAL REVIEW</t>
        </is>
      </c>
    </row>
    <row r="7">
      <c r="B7" s="4" t="inlineStr"/>
    </row>
    <row r="8">
      <c r="B8" s="3" t="inlineStr">
        <is>
          <t>Provenance / caveat</t>
        </is>
      </c>
    </row>
    <row r="9">
      <c r="B9" s="4" t="inlineStr">
        <is>
          <t>• This register is NOT derived from a supplied TBCP award or source documents.</t>
        </is>
      </c>
    </row>
    <row r="10">
      <c r="B10" s="4" t="inlineStr">
        <is>
          <t>• Provisional baseline: TBCP Round 2 Notice of Funding Opportunity, as amended March 2024 (PROVISIONAL BASELINE).</t>
        </is>
      </c>
    </row>
    <row r="11">
      <c r="B11" s="4" t="inlineStr">
        <is>
          <t>• Round 3 is the live TBCP round as of the version date; the controlling round and executed award must be confirmed before any definitive clause is finalized.</t>
        </is>
      </c>
    </row>
    <row r="12">
      <c r="B12" s="4" t="inlineStr">
        <is>
          <t>• Capitalized terms used and not otherwise defined in a document have the meanings given in Article 2 (Definitions) of the Master TBCP Partnership and Implementation Agreement, which is the single shared definitions source for the package.</t>
        </is>
      </c>
    </row>
    <row r="13">
      <c r="B13" s="4" t="inlineStr">
        <is>
          <t>• Order-of-precedence rule: No commercial agreement, schedule, or form authorizes any act prohibited by, or inconsistent with, the Award or applicable federal law; in any conflict the higher-ranked instrument controls, and a lawful construction and service provision is not invalidated by a rejected IRU, exclusivity, payment, or commercial-use term (severability and reformation apply).</t>
        </is>
      </c>
    </row>
    <row r="14">
      <c r="B14" s="4" t="inlineStr"/>
    </row>
    <row r="15">
      <c r="B15" s="3" t="inlineStr">
        <is>
          <t>How to use this workbook</t>
        </is>
      </c>
    </row>
    <row r="16">
      <c r="B16" s="4" t="inlineStr">
        <is>
          <t>• Cells marked [■ ...] are placeholders — replace with confirmed data; do not invent values.</t>
        </is>
      </c>
    </row>
    <row r="17">
      <c r="B17" s="4" t="inlineStr">
        <is>
          <t>• Amber = INPUT (edit). Blue = FORMULA (do not edit). Green = OUTPUT/RESULT.</t>
        </is>
      </c>
    </row>
    <row r="18">
      <c r="B18" s="4" t="inlineStr">
        <is>
          <t>• All figures, counts, dates, prices, and descriptions are placeholders pending confirmation.</t>
        </is>
      </c>
    </row>
    <row r="19">
      <c r="B19" s="4" t="inlineStr"/>
    </row>
    <row r="20">
      <c r="B20" s="3" t="inlineStr">
        <is>
          <t>Payment model</t>
        </is>
      </c>
    </row>
    <row r="21">
      <c r="B21" s="4" t="inlineStr">
        <is>
          <t>• Primary model: Option D — Per-Active-Subscriber Operating Payment (primary model in this package).</t>
        </is>
      </c>
    </row>
    <row r="22">
      <c r="B22" s="4" t="inlineStr">
        <is>
          <t>• Rate: $[X] per Active Subscriber per month (placeholder).</t>
        </is>
      </c>
    </row>
    <row r="23">
      <c r="B23" s="4" t="inlineStr">
        <is>
          <t>• Characterization alternatives A–E do NOT control program-income treatment.</t>
        </is>
      </c>
    </row>
    <row r="24">
      <c r="B24" s="4" t="inlineStr">
        <is>
          <t>• characterization is provisional; program-income treatment under 2 CFR 200.307 turns on the controlling Award and written NTIA determination, not the label (2 CFR 200.307 (Program income)).</t>
        </is>
      </c>
    </row>
    <row r="26">
      <c r="A26" s="5" t="inlineStr">
        <is>
          <t>Legend:</t>
        </is>
      </c>
      <c r="B26" s="6" t="inlineStr">
        <is>
          <t>INPUT (edit these)</t>
        </is>
      </c>
      <c r="C26" s="7" t="inlineStr">
        <is>
          <t>FORMULA (do not edit)</t>
        </is>
      </c>
      <c r="D26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S8.1 — Active Subscriber Definition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Elements are canonical from common.py; confirm against the Retail Agreement.</t>
        </is>
      </c>
    </row>
    <row r="5">
      <c r="A5" s="10" t="inlineStr">
        <is>
          <t>#</t>
        </is>
      </c>
      <c r="B5" s="10" t="inlineStr">
        <is>
          <t>Active Subscriber Element</t>
        </is>
      </c>
    </row>
    <row r="6">
      <c r="A6" s="11" t="n">
        <v>1</v>
      </c>
      <c r="B6" s="12" t="inlineStr">
        <is>
          <t>counted only for a location within the Approved Project Area receiving provisioned, billable retail broadband service</t>
        </is>
      </c>
    </row>
    <row r="7">
      <c r="A7" s="11" t="n">
        <v>2</v>
      </c>
      <c r="B7" s="12" t="inlineStr">
        <is>
          <t>activation dated to first successful service provisioning; disconnect dated to service cease</t>
        </is>
      </c>
    </row>
    <row r="8">
      <c r="A8" s="11" t="n">
        <v>3</v>
      </c>
      <c r="B8" s="12" t="inlineStr">
        <is>
          <t>partial months prorated on a daily basis [BUSINESS DECISION REQUIRED: prorate vs. full-month]</t>
        </is>
      </c>
    </row>
    <row r="9">
      <c r="A9" s="11" t="n">
        <v>4</v>
      </c>
      <c r="B9" s="12" t="inlineStr">
        <is>
          <t>excludes accounts suspended for nonpayment beyond [30] days, and courtesy/free/subsidized accounts unless separately agreed and Award-permitted</t>
        </is>
      </c>
    </row>
    <row r="10">
      <c r="A10" s="11" t="n">
        <v>5</v>
      </c>
      <c r="B10" s="12" t="inlineStr">
        <is>
          <t>one location with multiple services counts as a single Active Subscriber unless separately agreed</t>
        </is>
      </c>
    </row>
    <row r="11">
      <c r="A11" s="11" t="n">
        <v>6</v>
      </c>
      <c r="B11" s="12" t="inlineStr">
        <is>
          <t>bulk / multi-dwelling accounts counted per billable unit per an agreed methodology</t>
        </is>
      </c>
    </row>
    <row r="12">
      <c r="A12" s="11" t="n">
        <v>7</v>
      </c>
      <c r="B12" s="12" t="inlineStr">
        <is>
          <t>net of credits, refunds, and uncollectible amounts; exclusive of taxes and regulatory fees</t>
        </is>
      </c>
    </row>
  </sheetData>
  <autoFilter ref="A5:B5"/>
  <mergeCells count="3">
    <mergeCell ref="A3:B3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C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6" customWidth="1" min="3" max="3"/>
  </cols>
  <sheetData>
    <row r="1">
      <c r="A1" s="1" t="inlineStr">
        <is>
          <t>S8.2 — Payment Mechanics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Placeholders pending business decision.</t>
        </is>
      </c>
    </row>
    <row r="5">
      <c r="A5" s="10" t="inlineStr">
        <is>
          <t>Element</t>
        </is>
      </c>
      <c r="B5" s="10" t="inlineStr">
        <is>
          <t>Term</t>
        </is>
      </c>
      <c r="C5" s="10" t="inlineStr">
        <is>
          <t>Status</t>
        </is>
      </c>
    </row>
    <row r="6">
      <c r="A6" s="12" t="inlineStr">
        <is>
          <t>Payment basis</t>
        </is>
      </c>
      <c r="B6" s="12" t="inlineStr">
        <is>
          <t>Option D — Per-Active-Subscriber Operating Payment (primary model in this package)</t>
        </is>
      </c>
      <c r="C6" s="13" t="inlineStr">
        <is>
          <t>[■ agreed]</t>
        </is>
      </c>
    </row>
    <row r="7">
      <c r="A7" s="12" t="inlineStr">
        <is>
          <t>Rate</t>
        </is>
      </c>
      <c r="B7" s="12" t="inlineStr">
        <is>
          <t>$[X] per Active Subscriber per month</t>
        </is>
      </c>
      <c r="C7" s="13" t="inlineStr">
        <is>
          <t>[■ agreed]</t>
        </is>
      </c>
    </row>
    <row r="8">
      <c r="A8" s="12" t="inlineStr">
        <is>
          <t>Counting date</t>
        </is>
      </c>
      <c r="B8" s="12" t="inlineStr">
        <is>
          <t>Activation at first provisioning; disconnect at cease</t>
        </is>
      </c>
      <c r="C8" s="13" t="inlineStr">
        <is>
          <t>[■ agreed]</t>
        </is>
      </c>
    </row>
    <row r="9">
      <c r="A9" s="12" t="inlineStr">
        <is>
          <t>Proration</t>
        </is>
      </c>
      <c r="B9" s="12" t="inlineStr">
        <is>
          <t>Partial months prorated daily [BUSINESS DECISION REQUIRED]</t>
        </is>
      </c>
      <c r="C9" s="13" t="inlineStr">
        <is>
          <t>[■ agreed]</t>
        </is>
      </c>
    </row>
    <row r="10">
      <c r="A10" s="12" t="inlineStr">
        <is>
          <t>Payment frequency</t>
        </is>
      </c>
      <c r="B10" s="13" t="inlineStr">
        <is>
          <t>[■ monthly / quarterly]</t>
        </is>
      </c>
      <c r="C10" s="13" t="inlineStr">
        <is>
          <t>[■ agreed]</t>
        </is>
      </c>
    </row>
    <row r="11">
      <c r="A11" s="12" t="inlineStr">
        <is>
          <t>Reconciliation</t>
        </is>
      </c>
      <c r="B11" s="13" t="inlineStr">
        <is>
          <t>[■ reconciliation &amp; true-up cadence]</t>
        </is>
      </c>
      <c r="C11" s="13" t="inlineStr">
        <is>
          <t>[■ agreed]</t>
        </is>
      </c>
    </row>
  </sheetData>
  <autoFilter ref="A5:C5"/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0" customWidth="1" min="3" max="3"/>
    <col width="40" customWidth="1" min="4" max="4"/>
  </cols>
  <sheetData>
    <row r="1">
      <c r="A1" s="1" t="inlineStr">
        <is>
          <t>S8.3 — Revenue Categories &amp; Program-Income Treatment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Program-income treatment requires a written NTIA determination against the controlling award.</t>
        </is>
      </c>
    </row>
    <row r="5">
      <c r="A5" s="10" t="inlineStr">
        <is>
          <t>Revenue Category</t>
        </is>
      </c>
      <c r="B5" s="10" t="inlineStr">
        <is>
          <t>Description</t>
        </is>
      </c>
      <c r="C5" s="10" t="inlineStr">
        <is>
          <t>Program Income (2 CFR 200.307)?</t>
        </is>
      </c>
      <c r="D5" s="10" t="inlineStr">
        <is>
          <t>Notes</t>
        </is>
      </c>
    </row>
    <row r="6">
      <c r="A6" s="12" t="inlineStr">
        <is>
          <t>Retail broadband revenue</t>
        </is>
      </c>
      <c r="B6" s="12" t="inlineStr">
        <is>
          <t>Subscriber recurring charges</t>
        </is>
      </c>
      <c r="C6" s="13" t="inlineStr">
        <is>
          <t>[■ determination pending]</t>
        </is>
      </c>
      <c r="D6" s="12" t="inlineStr">
        <is>
          <t>Treatment turns on the award, not the label</t>
        </is>
      </c>
    </row>
    <row r="7">
      <c r="A7" s="12" t="inlineStr">
        <is>
          <t>Installation / activation fees</t>
        </is>
      </c>
      <c r="B7" s="13" t="inlineStr">
        <is>
          <t>[■ scope]</t>
        </is>
      </c>
      <c r="C7" s="13" t="inlineStr">
        <is>
          <t>[■ pending]</t>
        </is>
      </c>
      <c r="D7" s="13" t="inlineStr">
        <is>
          <t>[■ note]</t>
        </is>
      </c>
    </row>
    <row r="8">
      <c r="A8" s="12" t="inlineStr">
        <is>
          <t>Commercial / non-project capacity</t>
        </is>
      </c>
      <c r="B8" s="12" t="inlineStr">
        <is>
          <t>Approved commercial use (S10)</t>
        </is>
      </c>
      <c r="C8" s="13" t="inlineStr">
        <is>
          <t>[■ pending]</t>
        </is>
      </c>
      <c r="D8" s="12" t="inlineStr">
        <is>
          <t>Grant-funded capacity never free</t>
        </is>
      </c>
    </row>
    <row r="9">
      <c r="A9" s="12" t="inlineStr">
        <is>
          <t>Other fees</t>
        </is>
      </c>
      <c r="B9" s="13" t="inlineStr">
        <is>
          <t>[■ scope]</t>
        </is>
      </c>
      <c r="C9" s="13" t="inlineStr">
        <is>
          <t>[■ pending]</t>
        </is>
      </c>
      <c r="D9" s="13" t="inlineStr">
        <is>
          <t>[■ note]</t>
        </is>
      </c>
    </row>
  </sheetData>
  <autoFilter ref="A5:D5"/>
  <mergeCells count="3">
    <mergeCell ref="A1:D1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C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6" customWidth="1" min="3" max="3"/>
  </cols>
  <sheetData>
    <row r="1">
      <c r="A1" s="1" t="inlineStr">
        <is>
          <t>S8.4 — Taxes, Fees, Cash Controls &amp; Audit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Cash controls and audit rights align to 2 CFR Part 200 Subparts D/F.</t>
        </is>
      </c>
    </row>
    <row r="5">
      <c r="A5" s="10" t="inlineStr">
        <is>
          <t>Topic</t>
        </is>
      </c>
      <c r="B5" s="10" t="inlineStr">
        <is>
          <t>Requirement</t>
        </is>
      </c>
      <c r="C5" s="10" t="inlineStr">
        <is>
          <t>Status</t>
        </is>
      </c>
    </row>
    <row r="6">
      <c r="A6" s="12" t="inlineStr">
        <is>
          <t>Taxes &amp; regulatory fees</t>
        </is>
      </c>
      <c r="B6" s="12" t="inlineStr">
        <is>
          <t>Separately stated; excluded from Active Subscriber calc</t>
        </is>
      </c>
      <c r="C6" s="13" t="inlineStr">
        <is>
          <t>[■ confirm]</t>
        </is>
      </c>
    </row>
    <row r="7">
      <c r="A7" s="12" t="inlineStr">
        <is>
          <t>Cash controls</t>
        </is>
      </c>
      <c r="B7" s="12" t="inlineStr">
        <is>
          <t>Segregated accounting; documented internal controls</t>
        </is>
      </c>
      <c r="C7" s="13" t="inlineStr">
        <is>
          <t>[■ confirm]</t>
        </is>
      </c>
    </row>
    <row r="8">
      <c r="A8" s="12" t="inlineStr">
        <is>
          <t>Records retention</t>
        </is>
      </c>
      <c r="B8" s="12" t="inlineStr">
        <is>
          <t>3 years (2 CFR 200.334–200.337 (Record retention and access; three-year retention))</t>
        </is>
      </c>
      <c r="C8" s="13" t="inlineStr">
        <is>
          <t>[■ confirm]</t>
        </is>
      </c>
    </row>
    <row r="9">
      <c r="A9" s="12" t="inlineStr">
        <is>
          <t>Audit rights</t>
        </is>
      </c>
      <c r="B9" s="12" t="inlineStr">
        <is>
          <t>Access on 10 business days' notice; single audit if threshold met (2 CFR Part 200, Subpart F (Audit Requirements; single-audit threshold $1,000,000))</t>
        </is>
      </c>
      <c r="C9" s="13" t="inlineStr">
        <is>
          <t>[■ confirm]</t>
        </is>
      </c>
    </row>
  </sheetData>
  <autoFilter ref="A5:C5"/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C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4" customWidth="1" min="3" max="3"/>
  </cols>
  <sheetData>
    <row r="1">
      <c r="A1" s="1" t="inlineStr">
        <is>
          <t>S8.5 — Worked Example (Per-Active-Subscriber Payment)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Illustrative only. Rate is a placeholder; formula computes when a number is entered.</t>
        </is>
      </c>
    </row>
    <row r="5">
      <c r="A5" s="10" t="inlineStr">
        <is>
          <t>Input</t>
        </is>
      </c>
      <c r="B5" s="10" t="inlineStr">
        <is>
          <t>Value</t>
        </is>
      </c>
      <c r="C5" s="10" t="inlineStr">
        <is>
          <t>Notes</t>
        </is>
      </c>
    </row>
    <row r="6">
      <c r="A6" s="14" t="inlineStr">
        <is>
          <t>Active Subscribers (count)</t>
        </is>
      </c>
      <c r="B6" s="15" t="inlineStr">
        <is>
          <t>[■ subscriber count]</t>
        </is>
      </c>
      <c r="C6" s="12" t="inlineStr">
        <is>
          <t>Per Schedule S8.1 definition</t>
        </is>
      </c>
    </row>
    <row r="7">
      <c r="A7" s="14" t="inlineStr">
        <is>
          <t>Rate per Active Subscriber / month</t>
        </is>
      </c>
      <c r="B7" s="15" t="inlineStr">
        <is>
          <t>[■ rate]</t>
        </is>
      </c>
      <c r="C7" s="12" t="inlineStr">
        <is>
          <t>$[X] per Active Subscriber per month</t>
        </is>
      </c>
    </row>
    <row r="8">
      <c r="A8" s="16" t="inlineStr">
        <is>
          <t>Monthly operating payment</t>
        </is>
      </c>
      <c r="B8" s="17">
        <f>IF(AND(ISNUMBER(B6),ISNUMBER(B7)),B6*B7,"")</f>
        <v/>
      </c>
      <c r="C8" s="14">
        <f> Subscribers x Rate</f>
        <v/>
      </c>
    </row>
    <row r="9">
      <c r="A9" s="16" t="inlineStr">
        <is>
          <t>Annual operating payment</t>
        </is>
      </c>
      <c r="B9" s="18">
        <f>IF(ISNUMBER(B8),B8*12,"")</f>
        <v/>
      </c>
      <c r="C9" s="14">
        <f> Monthly x 12</f>
        <v/>
      </c>
    </row>
  </sheetData>
  <autoFilter ref="A5:C5"/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2026-09-26T15:45:32Z</dcterms:created>
  <dcterms:modified xmlns:dcterms="http://purl.org/dc/terms/" xmlns:xsi="http://www.w3.org/2001/XMLSchema-instance" xsi:type="dcterms:W3CDTF">2026-09-26T15:45:32Z</dcterms:modified>
</cp:coreProperties>
</file>