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ilestones" sheetId="2" state="visible" r:id="rId2"/>
  </sheets>
  <definedNames>
    <definedName name="_xlnm._FilterDatabase" localSheetId="1" hidden="1">'Milestones'!$A$5:$I$5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9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DRAFT FOR DISCUSSION – SUBJECT TO LEGAL, GRANT AND FINANCIAL REVIEW</t>
        </is>
      </c>
    </row>
    <row r="3">
      <c r="B3" s="9" t="inlineStr">
        <is>
          <t>Parties: Lumbee Tribe of North Carolina (the “Tribe”) and LREMC Technologies, LLC d/b/a RIVR Tech (“RIVR Tech”)</t>
        </is>
      </c>
    </row>
    <row r="4"/>
    <row r="5">
      <c r="B5" s="3" t="inlineStr">
        <is>
          <t>Exhibit D — Construction Milestones</t>
        </is>
      </c>
    </row>
    <row r="6">
      <c r="B6" s="4" t="inlineStr">
        <is>
          <t>Purpose: sequence the buildout, tie milestones to payment/triggers and grant reporting, and enforce that no construction begins before environmental clearance and NTIA authorization to construct.</t>
        </is>
      </c>
    </row>
    <row r="7">
      <c r="B7" s="4" t="inlineStr"/>
    </row>
    <row r="8">
      <c r="B8" s="3" t="inlineStr">
        <is>
          <t>Hard sequencing rule</t>
        </is>
      </c>
    </row>
    <row r="9">
      <c r="B9" s="4" t="inlineStr">
        <is>
          <t>• NO CONSTRUCTION may begin before NEPA/NHPA environmental clearance and NTIA authorization to construct are obtained.</t>
        </is>
      </c>
    </row>
    <row r="10">
      <c r="B10" s="4" t="inlineStr">
        <is>
          <t>• National Environmental Policy Act (NEPA), 42 U.S.C. § 4321 et seq., and DOC/NTIA implementing procedures</t>
        </is>
      </c>
    </row>
    <row r="11">
      <c r="B11" s="4" t="inlineStr">
        <is>
          <t>• National Historic Preservation Act § 106, 54 U.S.C. § 306108 (36 CFR Part 800)</t>
        </is>
      </c>
    </row>
    <row r="12">
      <c r="B12" s="4" t="inlineStr"/>
    </row>
    <row r="13">
      <c r="B13" s="3" t="inlineStr">
        <is>
          <t>How to use</t>
        </is>
      </c>
    </row>
    <row r="14">
      <c r="B14" s="4" t="inlineStr">
        <is>
          <t>• AMBER cells are inputs — enter dates and % complete.</t>
        </is>
      </c>
    </row>
    <row r="15">
      <c r="B15" s="4" t="inlineStr">
        <is>
          <t>• The CHECK column verifies Planned Finish &gt;= Planned Start for each milestone.</t>
        </is>
      </c>
    </row>
    <row r="16">
      <c r="B16" s="4" t="inlineStr">
        <is>
          <t>• Enter dates as real Excel dates so the checks evaluate numerically.</t>
        </is>
      </c>
    </row>
    <row r="17">
      <c r="B17" s="4" t="inlineStr"/>
    </row>
    <row r="18">
      <c r="B18" s="3" t="inlineStr">
        <is>
          <t>Status</t>
        </is>
      </c>
    </row>
    <row r="19">
      <c r="B19" s="4" t="inlineStr">
        <is>
          <t>• DRAFT FOR DISCUSSION – SUBJECT TO LEGAL, GRANT AND FINANCIAL REVIEW</t>
        </is>
      </c>
    </row>
    <row r="20"/>
    <row r="21">
      <c r="A21" s="5" t="inlineStr">
        <is>
          <t>Legend:</t>
        </is>
      </c>
      <c r="B21" s="6" t="inlineStr">
        <is>
          <t>INPUT (edit these)</t>
        </is>
      </c>
      <c r="C21" s="7" t="inlineStr">
        <is>
          <t>FORMULA (do not edit)</t>
        </is>
      </c>
      <c r="D21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2" customWidth="1" min="3" max="3"/>
    <col width="14" customWidth="1" min="4" max="4"/>
    <col width="14" customWidth="1" min="5" max="5"/>
    <col width="11" customWidth="1" min="6" max="6"/>
    <col width="26" customWidth="1" min="7" max="7"/>
    <col width="26" customWidth="1" min="8" max="8"/>
    <col width="22" customWidth="1" min="9" max="9"/>
  </cols>
  <sheetData>
    <row r="1">
      <c r="A1" s="1" t="inlineStr">
        <is>
          <t>EXHIBIT D — CONSTRUCTION MILESTONES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Environmental clearance and NTIA authorization gate all construction</t>
        </is>
      </c>
    </row>
    <row r="5">
      <c r="A5" s="10" t="inlineStr">
        <is>
          <t>Milestone #</t>
        </is>
      </c>
      <c r="B5" s="10" t="inlineStr">
        <is>
          <t>Description</t>
        </is>
      </c>
      <c r="C5" s="10" t="inlineStr">
        <is>
          <t>Predecessor</t>
        </is>
      </c>
      <c r="D5" s="10" t="inlineStr">
        <is>
          <t>Planned Start</t>
        </is>
      </c>
      <c r="E5" s="10" t="inlineStr">
        <is>
          <t>Planned Finish</t>
        </is>
      </c>
      <c r="F5" s="10" t="inlineStr">
        <is>
          <t>% Complete</t>
        </is>
      </c>
      <c r="G5" s="10" t="inlineStr">
        <is>
          <t>Payment / Trigger</t>
        </is>
      </c>
      <c r="H5" s="10" t="inlineStr">
        <is>
          <t>Grant Reporting Tie</t>
        </is>
      </c>
      <c r="I5" s="10" t="inlineStr">
        <is>
          <t>Finish&gt;=Start (check)</t>
        </is>
      </c>
    </row>
    <row r="6">
      <c r="A6" s="11" t="inlineStr">
        <is>
          <t>M1</t>
        </is>
      </c>
      <c r="B6" s="12" t="inlineStr">
        <is>
          <t>NEPA/NHPA environmental clearance AND NTIA authorization to construct (GATE — no construction before this milestone)</t>
        </is>
      </c>
      <c r="C6" s="13" t="inlineStr">
        <is>
          <t>—</t>
        </is>
      </c>
      <c r="D6" s="14" t="inlineStr">
        <is>
          <t>[■ start date]</t>
        </is>
      </c>
      <c r="E6" s="14" t="inlineStr">
        <is>
          <t>[■ finish date]</t>
        </is>
      </c>
      <c r="F6" s="15" t="inlineStr">
        <is>
          <t>[■ %]</t>
        </is>
      </c>
      <c r="G6" s="12" t="inlineStr">
        <is>
          <t>Env. review complete; ATC issued</t>
        </is>
      </c>
      <c r="H6" s="12" t="inlineStr">
        <is>
          <t>NTIA authorization to construct; environmental determination on file</t>
        </is>
      </c>
      <c r="I6" s="16">
        <f>IF(AND(ISNUMBER(D6),ISNUMBER(E6)),IF(E6&gt;=D6,"OK","CHECK — finish precedes start"),"ENTER DATES")</f>
        <v/>
      </c>
    </row>
    <row r="7">
      <c r="A7" s="11" t="inlineStr">
        <is>
          <t>M2</t>
        </is>
      </c>
      <c r="B7" s="12" t="inlineStr">
        <is>
          <t>Permitting, easements, pole-attachment agreements, and 811 locates</t>
        </is>
      </c>
      <c r="C7" s="13" t="inlineStr">
        <is>
          <t>M1</t>
        </is>
      </c>
      <c r="D7" s="14" t="inlineStr">
        <is>
          <t>[■ start date]</t>
        </is>
      </c>
      <c r="E7" s="14" t="inlineStr">
        <is>
          <t>[■ finish date]</t>
        </is>
      </c>
      <c r="F7" s="15" t="inlineStr">
        <is>
          <t>[■ %]</t>
        </is>
      </c>
      <c r="G7" s="12" t="inlineStr">
        <is>
          <t>Right-of-way secured</t>
        </is>
      </c>
      <c r="H7" s="12" t="inlineStr">
        <is>
          <t>Permit/easement package to grant file</t>
        </is>
      </c>
      <c r="I7" s="16">
        <f>IF(AND(ISNUMBER(D7),ISNUMBER(E7)),IF(E7&gt;=D7,"OK","CHECK — finish precedes start"),"ENTER DATES")</f>
        <v/>
      </c>
    </row>
    <row r="8">
      <c r="A8" s="11" t="inlineStr">
        <is>
          <t>M3</t>
        </is>
      </c>
      <c r="B8" s="12" t="inlineStr">
        <is>
          <t>Material procurement (BABA-compliant; §889 screening)</t>
        </is>
      </c>
      <c r="C8" s="13" t="inlineStr">
        <is>
          <t>M1</t>
        </is>
      </c>
      <c r="D8" s="14" t="inlineStr">
        <is>
          <t>[■ start date]</t>
        </is>
      </c>
      <c r="E8" s="14" t="inlineStr">
        <is>
          <t>[■ finish date]</t>
        </is>
      </c>
      <c r="F8" s="15" t="inlineStr">
        <is>
          <t>[■ %]</t>
        </is>
      </c>
      <c r="G8" s="12" t="inlineStr">
        <is>
          <t>PO issuance / material delivery</t>
        </is>
      </c>
      <c r="H8" s="12" t="inlineStr">
        <is>
          <t>BABA compliance certification; Buy-America documentation</t>
        </is>
      </c>
      <c r="I8" s="16">
        <f>IF(AND(ISNUMBER(D8),ISNUMBER(E8)),IF(E8&gt;=D8,"OK","CHECK — finish precedes start"),"ENTER DATES")</f>
        <v/>
      </c>
    </row>
    <row r="9">
      <c r="A9" s="11" t="inlineStr">
        <is>
          <t>M4</t>
        </is>
      </c>
      <c r="B9" s="12" t="inlineStr">
        <is>
          <t>Outside-plant (OSP) construction — conduit, fiber placement</t>
        </is>
      </c>
      <c r="C9" s="13" t="inlineStr">
        <is>
          <t>M2, M3</t>
        </is>
      </c>
      <c r="D9" s="14" t="inlineStr">
        <is>
          <t>[■ start date]</t>
        </is>
      </c>
      <c r="E9" s="14" t="inlineStr">
        <is>
          <t>[■ finish date]</t>
        </is>
      </c>
      <c r="F9" s="15" t="inlineStr">
        <is>
          <t>[■ %]</t>
        </is>
      </c>
      <c r="G9" s="12" t="inlineStr">
        <is>
          <t>Progress draw(s) by route segment</t>
        </is>
      </c>
      <c r="H9" s="12" t="inlineStr">
        <is>
          <t>Construction progress / disbursement report</t>
        </is>
      </c>
      <c r="I9" s="16">
        <f>IF(AND(ISNUMBER(D9),ISNUMBER(E9)),IF(E9&gt;=D9,"OK","CHECK — finish precedes start"),"ENTER DATES")</f>
        <v/>
      </c>
    </row>
    <row r="10">
      <c r="A10" s="11" t="inlineStr">
        <is>
          <t>M5</t>
        </is>
      </c>
      <c r="B10" s="12" t="inlineStr">
        <is>
          <t>Splicing and termination</t>
        </is>
      </c>
      <c r="C10" s="13" t="inlineStr">
        <is>
          <t>M4</t>
        </is>
      </c>
      <c r="D10" s="14" t="inlineStr">
        <is>
          <t>[■ start date]</t>
        </is>
      </c>
      <c r="E10" s="14" t="inlineStr">
        <is>
          <t>[■ finish date]</t>
        </is>
      </c>
      <c r="F10" s="15" t="inlineStr">
        <is>
          <t>[■ %]</t>
        </is>
      </c>
      <c r="G10" s="12" t="inlineStr">
        <is>
          <t>Splice completion by segment</t>
        </is>
      </c>
      <c r="H10" s="12" t="inlineStr">
        <is>
          <t>As-built splice records</t>
        </is>
      </c>
      <c r="I10" s="16">
        <f>IF(AND(ISNUMBER(D10),ISNUMBER(E10)),IF(E10&gt;=D10,"OK","CHECK — finish precedes start"),"ENTER DATES")</f>
        <v/>
      </c>
    </row>
    <row r="11">
      <c r="A11" s="11" t="inlineStr">
        <is>
          <t>M6</t>
        </is>
      </c>
      <c r="B11" s="12" t="inlineStr">
        <is>
          <t>Electronics installation (OLTs, aggregation, core interconnect)</t>
        </is>
      </c>
      <c r="C11" s="13" t="inlineStr">
        <is>
          <t>M4</t>
        </is>
      </c>
      <c r="D11" s="14" t="inlineStr">
        <is>
          <t>[■ start date]</t>
        </is>
      </c>
      <c r="E11" s="14" t="inlineStr">
        <is>
          <t>[■ finish date]</t>
        </is>
      </c>
      <c r="F11" s="15" t="inlineStr">
        <is>
          <t>[■ %]</t>
        </is>
      </c>
      <c r="G11" s="12" t="inlineStr">
        <is>
          <t>Equipment acceptance</t>
        </is>
      </c>
      <c r="H11" s="12" t="inlineStr">
        <is>
          <t>Equipment inventory update (Exhibit K)</t>
        </is>
      </c>
      <c r="I11" s="16">
        <f>IF(AND(ISNUMBER(D11),ISNUMBER(E11)),IF(E11&gt;=D11,"OK","CHECK — finish precedes start"),"ENTER DATES")</f>
        <v/>
      </c>
    </row>
    <row r="12">
      <c r="A12" s="11" t="inlineStr">
        <is>
          <t>M7</t>
        </is>
      </c>
      <c r="B12" s="12" t="inlineStr">
        <is>
          <t>Testing and acceptance (Exhibit E standards)</t>
        </is>
      </c>
      <c r="C12" s="13" t="inlineStr">
        <is>
          <t>M5, M6</t>
        </is>
      </c>
      <c r="D12" s="14" t="inlineStr">
        <is>
          <t>[■ start date]</t>
        </is>
      </c>
      <c r="E12" s="14" t="inlineStr">
        <is>
          <t>[■ finish date]</t>
        </is>
      </c>
      <c r="F12" s="15" t="inlineStr">
        <is>
          <t>[■ %]</t>
        </is>
      </c>
      <c r="G12" s="12" t="inlineStr">
        <is>
          <t>Acceptance certificate (Exhibit G)</t>
        </is>
      </c>
      <c r="H12" s="12" t="inlineStr">
        <is>
          <t>Acceptance test results filed</t>
        </is>
      </c>
      <c r="I12" s="16">
        <f>IF(AND(ISNUMBER(D12),ISNUMBER(E12)),IF(E12&gt;=D12,"OK","CHECK — finish precedes start"),"ENTER DATES")</f>
        <v/>
      </c>
    </row>
    <row r="13">
      <c r="A13" s="11" t="inlineStr">
        <is>
          <t>M8</t>
        </is>
      </c>
      <c r="B13" s="12" t="inlineStr">
        <is>
          <t>Service activation / place in service</t>
        </is>
      </c>
      <c r="C13" s="13" t="inlineStr">
        <is>
          <t>M7</t>
        </is>
      </c>
      <c r="D13" s="14" t="inlineStr">
        <is>
          <t>[■ start date]</t>
        </is>
      </c>
      <c r="E13" s="14" t="inlineStr">
        <is>
          <t>[■ finish date]</t>
        </is>
      </c>
      <c r="F13" s="15" t="inlineStr">
        <is>
          <t>[■ %]</t>
        </is>
      </c>
      <c r="G13" s="12" t="inlineStr">
        <is>
          <t>First subscribers; in-service date set</t>
        </is>
      </c>
      <c r="H13" s="12" t="inlineStr">
        <is>
          <t>Place-in-service date (federal-interest / depreciation)</t>
        </is>
      </c>
      <c r="I13" s="16">
        <f>IF(AND(ISNUMBER(D13),ISNUMBER(E13)),IF(E13&gt;=D13,"OK","CHECK — finish precedes start"),"ENTER DATES")</f>
        <v/>
      </c>
    </row>
    <row r="14">
      <c r="A14" s="11" t="inlineStr">
        <is>
          <t>M9</t>
        </is>
      </c>
      <c r="B14" s="12" t="inlineStr">
        <is>
          <t>Buildout complete / project closeout readiness</t>
        </is>
      </c>
      <c r="C14" s="13" t="inlineStr">
        <is>
          <t>M8</t>
        </is>
      </c>
      <c r="D14" s="14" t="inlineStr">
        <is>
          <t>[■ start date]</t>
        </is>
      </c>
      <c r="E14" s="14" t="inlineStr">
        <is>
          <t>[■ finish date]</t>
        </is>
      </c>
      <c r="F14" s="15" t="inlineStr">
        <is>
          <t>[■ %]</t>
        </is>
      </c>
      <c r="G14" s="12" t="inlineStr">
        <is>
          <t>Final draw / retainage release</t>
        </is>
      </c>
      <c r="H14" s="12" t="inlineStr">
        <is>
          <t>Closeout package — 2 CFR 200.344 (Closeout) and 2 CFR 200.345 (Post-closeout adjustments and continuing responsibilities)</t>
        </is>
      </c>
      <c r="I14" s="16">
        <f>IF(AND(ISNUMBER(D14),ISNUMBER(E14)),IF(E14&gt;=D14,"OK","CHECK — finish precedes start"),"ENTER DATES")</f>
        <v/>
      </c>
    </row>
    <row r="16">
      <c r="A16" s="17" t="inlineStr">
        <is>
          <t>Gate &amp; rollup checks</t>
        </is>
      </c>
      <c r="B16" s="18" t="n"/>
      <c r="C16" s="18" t="n"/>
      <c r="D16" s="18" t="n"/>
      <c r="E16" s="18" t="n"/>
      <c r="F16" s="18" t="n"/>
      <c r="G16" s="18" t="n"/>
      <c r="H16" s="18" t="n"/>
      <c r="I16" s="19" t="n"/>
    </row>
    <row r="17">
      <c r="A17" s="20" t="inlineStr">
        <is>
          <t>Environmental/authorization gate (M1) is scheduled first:</t>
        </is>
      </c>
      <c r="B17" s="21">
        <f>IF(ISNUMBER(D6),"OK — M1 environmental gate dated","ENTER M1 CLEARANCE DATE (no construction before M1)")</f>
        <v/>
      </c>
    </row>
    <row r="18">
      <c r="A18" s="20" t="inlineStr">
        <is>
          <t>Average % complete across milestones:</t>
        </is>
      </c>
      <c r="B18" s="21">
        <f>IF(COUNT(F6:F14)=0,"ENTER % COMPLETE",ROUND(AVERAGE(F6:F14),4))</f>
        <v/>
      </c>
    </row>
  </sheetData>
  <autoFilter ref="A5:I5"/>
  <mergeCells count="4">
    <mergeCell ref="A1:I1"/>
    <mergeCell ref="A3:I3"/>
    <mergeCell ref="A2:I2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2026-07-16T01:14:31Z</dcterms:created>
  <dcterms:modified xmlns:dcterms="http://purl.org/dc/terms/" xmlns:xsi="http://www.w3.org/2001/XMLSchema-instance" xsi:type="dcterms:W3CDTF">2026-07-16T01:26:57Z</dcterms:modified>
</cp:coreProperties>
</file>