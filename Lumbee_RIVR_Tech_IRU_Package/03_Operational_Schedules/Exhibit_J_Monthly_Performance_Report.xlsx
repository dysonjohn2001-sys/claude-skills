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erformance" sheetId="2" state="visible" r:id="rId2"/>
  </sheets>
  <definedNames>
    <definedName name="_xlnm._FilterDatabase" localSheetId="1" hidden="1">'Performance'!$A$5:$F$5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;(&quot;$&quot;#,##0)"/>
  </numFmts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  <font>
      <b val="1"/>
      <sz val="10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  <xf numFmtId="164" fontId="4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9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10" fillId="0" borderId="0" pivotButton="0" quotePrefix="0" xfId="0"/>
    <xf numFmtId="0" fontId="5" fillId="0" borderId="1" pivotButton="0" quotePrefix="0" xfId="0"/>
    <xf numFmtId="0" fontId="4" fillId="2" borderId="1" applyAlignment="1" pivotButton="0" quotePrefix="0" xfId="0">
      <alignment horizontal="general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DRAFT FOR DISCUSSION – SUBJECT TO LEGAL, GRANT AND FINANCIAL REVIEW</t>
        </is>
      </c>
    </row>
    <row r="5">
      <c r="B5" s="3" t="inlineStr">
        <is>
          <t>Exhibit J — Monthly Performance Report</t>
        </is>
      </c>
    </row>
    <row r="6">
      <c r="B6" s="4" t="inlineStr">
        <is>
          <t>Purpose: track monthly SLA performance against contractual targets and support FCC/NTIA performance reporting.</t>
        </is>
      </c>
    </row>
    <row r="7">
      <c r="B7" s="4" t="inlineStr"/>
    </row>
    <row r="8">
      <c r="B8" s="3" t="inlineStr">
        <is>
          <t>How to use</t>
        </is>
      </c>
    </row>
    <row r="9">
      <c r="B9" s="4" t="inlineStr">
        <is>
          <t>• Targets (green) come from the O&amp;M/SLA agreement and are fixed.</t>
        </is>
      </c>
    </row>
    <row r="10">
      <c r="B10" s="4" t="inlineStr">
        <is>
          <t>• AMBER cells are inputs — enter the month's actuals.</t>
        </is>
      </c>
    </row>
    <row r="11">
      <c r="B11" s="4" t="inlineStr">
        <is>
          <t>• BLUE Pass/Fail cells evaluate automatically. Availability, latency, loss, and jitter use higher/lower-is-better logic appropriate to each metric.</t>
        </is>
      </c>
    </row>
    <row r="12">
      <c r="B12" s="4" t="inlineStr"/>
    </row>
    <row r="13">
      <c r="B13" s="3" t="inlineStr">
        <is>
          <t>Status</t>
        </is>
      </c>
    </row>
    <row r="14">
      <c r="B14" s="4" t="inlineStr">
        <is>
          <t>• DRAFT FOR DISCUSSION – SUBJECT TO LEGAL, GRANT AND FINANCIAL REVIEW</t>
        </is>
      </c>
    </row>
    <row r="16">
      <c r="A16" s="5" t="inlineStr">
        <is>
          <t>Legend:</t>
        </is>
      </c>
      <c r="B16" s="6" t="inlineStr">
        <is>
          <t>INPUT (edit these)</t>
        </is>
      </c>
      <c r="C16" s="7" t="inlineStr">
        <is>
          <t>FORMULA (do not edit)</t>
        </is>
      </c>
      <c r="D16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20" customWidth="1" min="4" max="4"/>
    <col width="16" customWidth="1" min="5" max="5"/>
    <col width="30" customWidth="1" min="6" max="6"/>
  </cols>
  <sheetData>
    <row r="1">
      <c r="A1" s="1" t="inlineStr">
        <is>
          <t>EXHIBIT J — MONTHLY PERFORMANCE REPORT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Reporting month: [■ MM/YYYY]</t>
        </is>
      </c>
    </row>
    <row r="5">
      <c r="A5" s="10" t="inlineStr">
        <is>
          <t>Metric</t>
        </is>
      </c>
      <c r="B5" s="10" t="inlineStr">
        <is>
          <t>Target</t>
        </is>
      </c>
      <c r="C5" s="10" t="inlineStr">
        <is>
          <t>Actual (input)</t>
        </is>
      </c>
      <c r="D5" s="10" t="inlineStr">
        <is>
          <t>Pass/Fail (formula)</t>
        </is>
      </c>
      <c r="E5" s="10" t="inlineStr">
        <is>
          <t>Direction</t>
        </is>
      </c>
      <c r="F5" s="10" t="inlineStr">
        <is>
          <t>Notes</t>
        </is>
      </c>
    </row>
    <row r="6">
      <c r="A6" s="11" t="inlineStr">
        <is>
          <t>Network availability</t>
        </is>
      </c>
      <c r="B6" s="12" t="n">
        <v>0.9990000000000001</v>
      </c>
      <c r="C6" s="13" t="inlineStr">
        <is>
          <t>[■ actual]</t>
        </is>
      </c>
      <c r="D6" s="14">
        <f>IF(ISNUMBER(C6),IF(C6&gt;=B6,"PASS","FAIL"),"ENTER ACTUAL")</f>
        <v/>
      </c>
      <c r="E6" s="15" t="inlineStr">
        <is>
          <t>higher is better</t>
        </is>
      </c>
      <c r="F6" s="11" t="inlineStr">
        <is>
          <t>Uptime vs. 99.9% target</t>
        </is>
      </c>
    </row>
    <row r="7">
      <c r="A7" s="11" t="inlineStr">
        <is>
          <t>Latency (round-trip)</t>
        </is>
      </c>
      <c r="B7" s="16" t="n">
        <v>100</v>
      </c>
      <c r="C7" s="13" t="inlineStr">
        <is>
          <t>[■ actual]</t>
        </is>
      </c>
      <c r="D7" s="14">
        <f>IF(ISNUMBER(C7),IF(C7&lt;=B7,"PASS","FAIL"),"ENTER ACTUAL")</f>
        <v/>
      </c>
      <c r="E7" s="15" t="inlineStr">
        <is>
          <t>lower is better</t>
        </is>
      </c>
      <c r="F7" s="11" t="inlineStr">
        <is>
          <t>ms</t>
        </is>
      </c>
    </row>
    <row r="8">
      <c r="A8" s="11" t="inlineStr">
        <is>
          <t>Packet loss</t>
        </is>
      </c>
      <c r="B8" s="12" t="n">
        <v>0.001</v>
      </c>
      <c r="C8" s="13" t="inlineStr">
        <is>
          <t>[■ actual]</t>
        </is>
      </c>
      <c r="D8" s="14">
        <f>IF(ISNUMBER(C8),IF(C8&lt;=B8,"PASS","FAIL"),"ENTER ACTUAL")</f>
        <v/>
      </c>
      <c r="E8" s="15" t="inlineStr">
        <is>
          <t>lower is better</t>
        </is>
      </c>
      <c r="F8" s="11" t="inlineStr"/>
    </row>
    <row r="9">
      <c r="A9" s="11" t="inlineStr">
        <is>
          <t>Jitter</t>
        </is>
      </c>
      <c r="B9" s="16" t="n">
        <v>30</v>
      </c>
      <c r="C9" s="13" t="inlineStr">
        <is>
          <t>[■ actual]</t>
        </is>
      </c>
      <c r="D9" s="14">
        <f>IF(ISNUMBER(C9),IF(C9&lt;=B9,"PASS","FAIL"),"ENTER ACTUAL")</f>
        <v/>
      </c>
      <c r="E9" s="15" t="inlineStr">
        <is>
          <t>lower is better</t>
        </is>
      </c>
      <c r="F9" s="11" t="inlineStr">
        <is>
          <t>ms</t>
        </is>
      </c>
    </row>
    <row r="10">
      <c r="A10" s="11" t="inlineStr">
        <is>
          <t>P1 incidents — MTTR (hrs)</t>
        </is>
      </c>
      <c r="B10" s="16" t="n">
        <v>8</v>
      </c>
      <c r="C10" s="13" t="inlineStr">
        <is>
          <t>[■ actual]</t>
        </is>
      </c>
      <c r="D10" s="14">
        <f>IF(ISNUMBER(C10),IF(C10&lt;=B10,"PASS","FAIL"),"ENTER ACTUAL")</f>
        <v/>
      </c>
      <c r="E10" s="15" t="inlineStr">
        <is>
          <t>lower is better</t>
        </is>
      </c>
      <c r="F10" s="11" t="inlineStr">
        <is>
          <t>Mean time to restore vs. P1 target</t>
        </is>
      </c>
    </row>
    <row r="11">
      <c r="A11" s="11" t="inlineStr">
        <is>
          <t>P2 incidents — MTTR (hrs)</t>
        </is>
      </c>
      <c r="B11" s="16" t="n">
        <v>24</v>
      </c>
      <c r="C11" s="13" t="inlineStr">
        <is>
          <t>[■ actual]</t>
        </is>
      </c>
      <c r="D11" s="14">
        <f>IF(ISNUMBER(C11),IF(C11&lt;=B11,"PASS","FAIL"),"ENTER ACTUAL")</f>
        <v/>
      </c>
      <c r="E11" s="15" t="inlineStr">
        <is>
          <t>lower is better</t>
        </is>
      </c>
      <c r="F11" s="11" t="inlineStr"/>
    </row>
    <row r="12">
      <c r="A12" s="11" t="inlineStr">
        <is>
          <t>P3 incidents — MTTR (days)</t>
        </is>
      </c>
      <c r="B12" s="16" t="n">
        <v>5</v>
      </c>
      <c r="C12" s="13" t="inlineStr">
        <is>
          <t>[■ actual]</t>
        </is>
      </c>
      <c r="D12" s="14">
        <f>IF(ISNUMBER(C12),IF(C12&lt;=B12,"PASS","FAIL"),"ENTER ACTUAL")</f>
        <v/>
      </c>
      <c r="E12" s="15" t="inlineStr">
        <is>
          <t>lower is better</t>
        </is>
      </c>
      <c r="F12" s="11" t="inlineStr"/>
    </row>
    <row r="13">
      <c r="A13" s="11" t="inlineStr">
        <is>
          <t>P4 incidents — MTTR (days)</t>
        </is>
      </c>
      <c r="B13" s="16" t="n">
        <v>30</v>
      </c>
      <c r="C13" s="13" t="inlineStr">
        <is>
          <t>[■ actual]</t>
        </is>
      </c>
      <c r="D13" s="14">
        <f>IF(ISNUMBER(C13),IF(C13&lt;=B13,"PASS","FAIL"),"ENTER ACTUAL")</f>
        <v/>
      </c>
      <c r="E13" s="15" t="inlineStr">
        <is>
          <t>lower is better</t>
        </is>
      </c>
      <c r="F13" s="11" t="inlineStr"/>
    </row>
    <row r="14">
      <c r="A14" s="11" t="inlineStr">
        <is>
          <t>Mean time to repair (all)</t>
        </is>
      </c>
      <c r="B14" s="13" t="inlineStr">
        <is>
          <t>[■ target]</t>
        </is>
      </c>
      <c r="C14" s="13" t="inlineStr">
        <is>
          <t>[■ actual]</t>
        </is>
      </c>
      <c r="D14" s="14">
        <f>IF(ISNUMBER(C14),"REVIEW vs target","ENTER ACTUAL")</f>
        <v/>
      </c>
      <c r="E14" s="15" t="inlineStr">
        <is>
          <t>lower is better</t>
        </is>
      </c>
      <c r="F14" s="11" t="inlineStr">
        <is>
          <t>Overall MTTR target — confirm</t>
        </is>
      </c>
    </row>
    <row r="15">
      <c r="A15" s="11" t="inlineStr">
        <is>
          <t>Speed-test compliance (&gt;= 100/20)</t>
        </is>
      </c>
      <c r="B15" s="12" t="n">
        <v>1</v>
      </c>
      <c r="C15" s="13" t="inlineStr">
        <is>
          <t>[■ actual]</t>
        </is>
      </c>
      <c r="D15" s="14">
        <f>IF(ISNUMBER(C15),IF(C15&gt;=B15,"PASS","FAIL"),"ENTER ACTUAL")</f>
        <v/>
      </c>
      <c r="E15" s="15" t="inlineStr">
        <is>
          <t>higher is better</t>
        </is>
      </c>
      <c r="F15" s="11" t="inlineStr">
        <is>
          <t>% of tests meeting the 100/20 floor</t>
        </is>
      </c>
    </row>
    <row r="16">
      <c r="A16" s="11" t="inlineStr">
        <is>
          <t>Service credits owed</t>
        </is>
      </c>
      <c r="B16" s="17" t="n">
        <v>0</v>
      </c>
      <c r="C16" s="13" t="inlineStr">
        <is>
          <t>[■ actual]</t>
        </is>
      </c>
      <c r="D16" s="14">
        <f>IF(ISNUMBER(C16),IF(C16&lt;=B16,"PASS","FAIL"),"ENTER ACTUAL")</f>
        <v/>
      </c>
      <c r="E16" s="15" t="inlineStr">
        <is>
          <t>lower is better</t>
        </is>
      </c>
      <c r="F16" s="11" t="inlineStr">
        <is>
          <t>Credits triggered by SLA breach</t>
        </is>
      </c>
    </row>
    <row r="18">
      <c r="A18" s="18" t="inlineStr">
        <is>
          <t>Volume metrics (tracked)</t>
        </is>
      </c>
      <c r="B18" s="19" t="n"/>
      <c r="C18" s="19" t="n"/>
      <c r="D18" s="19" t="n"/>
      <c r="E18" s="19" t="n"/>
      <c r="F18" s="20" t="n"/>
    </row>
    <row r="19">
      <c r="A19" s="21" t="inlineStr">
        <is>
          <t>P1 incident count</t>
        </is>
      </c>
      <c r="B19" s="15" t="inlineStr">
        <is>
          <t>—</t>
        </is>
      </c>
      <c r="C19" s="13" t="inlineStr">
        <is>
          <t>[■ count]</t>
        </is>
      </c>
      <c r="D19" s="15" t="inlineStr">
        <is>
          <t>n/a</t>
        </is>
      </c>
      <c r="E19" s="15" t="inlineStr">
        <is>
          <t>tracked</t>
        </is>
      </c>
      <c r="F19" s="21" t="inlineStr"/>
    </row>
    <row r="20">
      <c r="A20" s="21" t="inlineStr">
        <is>
          <t>P2 incident count</t>
        </is>
      </c>
      <c r="B20" s="15" t="inlineStr">
        <is>
          <t>—</t>
        </is>
      </c>
      <c r="C20" s="13" t="inlineStr">
        <is>
          <t>[■ count]</t>
        </is>
      </c>
      <c r="D20" s="15" t="inlineStr">
        <is>
          <t>n/a</t>
        </is>
      </c>
      <c r="E20" s="15" t="inlineStr">
        <is>
          <t>tracked</t>
        </is>
      </c>
      <c r="F20" s="21" t="inlineStr"/>
    </row>
    <row r="21">
      <c r="A21" s="21" t="inlineStr">
        <is>
          <t>P3 incident count</t>
        </is>
      </c>
      <c r="B21" s="15" t="inlineStr">
        <is>
          <t>—</t>
        </is>
      </c>
      <c r="C21" s="13" t="inlineStr">
        <is>
          <t>[■ count]</t>
        </is>
      </c>
      <c r="D21" s="15" t="inlineStr">
        <is>
          <t>n/a</t>
        </is>
      </c>
      <c r="E21" s="15" t="inlineStr">
        <is>
          <t>tracked</t>
        </is>
      </c>
      <c r="F21" s="21" t="inlineStr"/>
    </row>
    <row r="22">
      <c r="A22" s="21" t="inlineStr">
        <is>
          <t>P4 incident count</t>
        </is>
      </c>
      <c r="B22" s="15" t="inlineStr">
        <is>
          <t>—</t>
        </is>
      </c>
      <c r="C22" s="13" t="inlineStr">
        <is>
          <t>[■ count]</t>
        </is>
      </c>
      <c r="D22" s="15" t="inlineStr">
        <is>
          <t>n/a</t>
        </is>
      </c>
      <c r="E22" s="15" t="inlineStr">
        <is>
          <t>tracked</t>
        </is>
      </c>
      <c r="F22" s="21" t="inlineStr"/>
    </row>
    <row r="23">
      <c r="A23" s="21" t="inlineStr">
        <is>
          <t>Tickets opened</t>
        </is>
      </c>
      <c r="B23" s="15" t="inlineStr">
        <is>
          <t>—</t>
        </is>
      </c>
      <c r="C23" s="13" t="inlineStr">
        <is>
          <t>[■ count]</t>
        </is>
      </c>
      <c r="D23" s="15" t="inlineStr">
        <is>
          <t>n/a</t>
        </is>
      </c>
      <c r="E23" s="15" t="inlineStr">
        <is>
          <t>tracked</t>
        </is>
      </c>
      <c r="F23" s="21" t="inlineStr"/>
    </row>
    <row r="24">
      <c r="A24" s="21" t="inlineStr">
        <is>
          <t>Tickets closed</t>
        </is>
      </c>
      <c r="B24" s="15" t="inlineStr">
        <is>
          <t>—</t>
        </is>
      </c>
      <c r="C24" s="13" t="inlineStr">
        <is>
          <t>[■ count]</t>
        </is>
      </c>
      <c r="D24" s="15" t="inlineStr">
        <is>
          <t>n/a</t>
        </is>
      </c>
      <c r="E24" s="15" t="inlineStr">
        <is>
          <t>tracked</t>
        </is>
      </c>
      <c r="F24" s="21" t="inlineStr"/>
    </row>
    <row r="25">
      <c r="A25" s="21" t="inlineStr">
        <is>
          <t>Truck rolls</t>
        </is>
      </c>
      <c r="B25" s="15" t="inlineStr">
        <is>
          <t>—</t>
        </is>
      </c>
      <c r="C25" s="13" t="inlineStr">
        <is>
          <t>[■ count]</t>
        </is>
      </c>
      <c r="D25" s="15" t="inlineStr">
        <is>
          <t>n/a</t>
        </is>
      </c>
      <c r="E25" s="15" t="inlineStr">
        <is>
          <t>tracked</t>
        </is>
      </c>
      <c r="F25" s="21" t="inlineStr"/>
    </row>
    <row r="27">
      <c r="A27" s="22" t="inlineStr">
        <is>
          <t>Overall SLA result for the month:</t>
        </is>
      </c>
      <c r="B27" s="23">
        <f>IF(COUNTIF(D6:D16,"FAIL")=0,IF(COUNTIF(D6:D16,"ENTER ACTUAL")&gt;0,"INCOMPLETE — enter actuals","PASS — all SLAs met"),"FAIL — one or more SLAs breached")</f>
        <v/>
      </c>
    </row>
    <row r="29">
      <c r="A29" s="18" t="inlineStr">
        <is>
          <t>FCC / NTIA performance reporting</t>
        </is>
      </c>
      <c r="B29" s="19" t="n"/>
      <c r="C29" s="19" t="n"/>
      <c r="D29" s="19" t="n"/>
      <c r="E29" s="19" t="n"/>
      <c r="F29" s="20" t="n"/>
    </row>
    <row r="30">
      <c r="A30" s="11" t="inlineStr">
        <is>
          <t>Locations served / passed (cumulative)</t>
        </is>
      </c>
      <c r="C30" s="24" t="inlineStr">
        <is>
          <t>[■ count]</t>
        </is>
      </c>
    </row>
    <row r="31">
      <c r="A31" s="11" t="inlineStr">
        <is>
          <t>Subscribers connected (cumulative)</t>
        </is>
      </c>
      <c r="C31" s="24" t="inlineStr">
        <is>
          <t>[■ count]</t>
        </is>
      </c>
    </row>
    <row r="32">
      <c r="A32" s="11" t="inlineStr">
        <is>
          <t>Speeds delivered (min tier)</t>
        </is>
      </c>
      <c r="C32" s="11" t="inlineStr">
        <is>
          <t>100/20 Mbps floor</t>
        </is>
      </c>
    </row>
    <row r="33">
      <c r="A33" s="11" t="inlineStr">
        <is>
          <t>Affordability / low-cost plan enrollment</t>
        </is>
      </c>
      <c r="C33" s="24" t="inlineStr">
        <is>
          <t>[■ count]</t>
        </is>
      </c>
    </row>
    <row r="34">
      <c r="A34" s="11" t="inlineStr">
        <is>
          <t>Reporting period</t>
        </is>
      </c>
      <c r="C34" s="24" t="inlineStr">
        <is>
          <t>[■ quarter / annual per award terms]</t>
        </is>
      </c>
    </row>
    <row r="35">
      <c r="A35" s="11" t="inlineStr">
        <is>
          <t>Data source / system of record</t>
        </is>
      </c>
      <c r="C35" s="24" t="inlineStr">
        <is>
          <t>[■ OSS/BSS or reporting tool]</t>
        </is>
      </c>
    </row>
    <row r="37">
      <c r="A37" s="11" t="inlineStr">
        <is>
          <t>Note: performance reporting supports NTIA award conditions and, where applicable, FCC broadband data collection.</t>
        </is>
      </c>
      <c r="B37" s="19" t="n"/>
      <c r="C37" s="19" t="n"/>
      <c r="D37" s="19" t="n"/>
      <c r="E37" s="19" t="n"/>
      <c r="F37" s="20" t="n"/>
    </row>
  </sheetData>
  <autoFilter ref="A5:F5"/>
  <mergeCells count="6">
    <mergeCell ref="A2:F2"/>
    <mergeCell ref="A1:F1"/>
    <mergeCell ref="A37:F37"/>
    <mergeCell ref="A18:F18"/>
    <mergeCell ref="A3:F3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2026-07-16T01:14:31Z</dcterms:created>
  <dcterms:modified xmlns:dcterms="http://purl.org/dc/terms/" xmlns:xsi="http://www.w3.org/2001/XMLSchema-instance" xsi:type="dcterms:W3CDTF">2026-07-16T01:14:31Z</dcterms:modified>
</cp:coreProperties>
</file>