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et Inventory" sheetId="2" state="visible" r:id="rId2"/>
  </sheets>
  <definedNames>
    <definedName name="_xlnm._FilterDatabase" localSheetId="1" hidden="1">'Asset Inventory'!$A$5:$K$5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;(&quot;$&quot;#,##0)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2" borderId="1" pivotButton="0" quotePrefix="0" xfId="0"/>
    <xf numFmtId="0" fontId="4" fillId="2" borderId="1" applyAlignment="1" pivotButton="0" quotePrefix="0" xfId="0">
      <alignment horizontal="general" vertical="center" wrapTex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9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general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DRAFT FOR DISCUSSION – SUBJECT TO LEGAL, GRANT AND FINANCIAL REVIEW</t>
        </is>
      </c>
    </row>
    <row r="5">
      <c r="B5" s="3" t="inlineStr">
        <is>
          <t>Exhibit K — Grant Asset Inventory</t>
        </is>
      </c>
    </row>
    <row r="6">
      <c r="B6" s="4" t="inlineStr">
        <is>
          <t>Purpose: maintain the property records required for grant-funded equipment and the Tribal Assets.</t>
        </is>
      </c>
    </row>
    <row r="7">
      <c r="B7" s="4" t="inlineStr"/>
    </row>
    <row r="8">
      <c r="B8" s="3" t="inlineStr">
        <is>
          <t>Required record fields (2 CFR 200.313(d))</t>
        </is>
      </c>
    </row>
    <row r="9">
      <c r="B9" s="4" t="inlineStr">
        <is>
          <t>• Description; serial/model number; source of funds (federal award number); who holds title; acquisition date and cost; federal share (%); location, use, and condition; ultimate disposition data (date of disposal, sale price, or method).</t>
        </is>
      </c>
    </row>
    <row r="10">
      <c r="B10" s="4" t="inlineStr"/>
    </row>
    <row r="11">
      <c r="B11" s="3" t="inlineStr">
        <is>
          <t>How to use</t>
        </is>
      </c>
    </row>
    <row r="12">
      <c r="B12" s="4" t="inlineStr">
        <is>
          <t>• AMBER cells are inputs — one row per asset or asset group.</t>
        </is>
      </c>
    </row>
    <row r="13">
      <c r="B13" s="4" t="inlineStr">
        <is>
          <t>• Federal Share (%) is an input; Federal Share ($) is a formula (= acquisition cost × federal share %).</t>
        </is>
      </c>
    </row>
    <row r="14">
      <c r="B14" s="4" t="inlineStr">
        <is>
          <t>• Perform a physical inventory and reconcile to these records at least once every two (2) years (2 CFR 200.313(d)(2)).</t>
        </is>
      </c>
    </row>
    <row r="15">
      <c r="B15" s="4" t="inlineStr"/>
    </row>
    <row r="16">
      <c r="B16" s="3" t="inlineStr">
        <is>
          <t>Governing authority</t>
        </is>
      </c>
    </row>
    <row r="17">
      <c r="B17" s="4" t="inlineStr">
        <is>
          <t>• 2 CFR 200.313 (Equipment — use, management, and disposition)</t>
        </is>
      </c>
    </row>
    <row r="18">
      <c r="B18" s="4" t="inlineStr">
        <is>
          <t>• 2 CFR 200.316 (Property trust relationship)</t>
        </is>
      </c>
    </row>
    <row r="19">
      <c r="B19" s="4" t="inlineStr"/>
    </row>
    <row r="20">
      <c r="B20" s="3" t="inlineStr">
        <is>
          <t>Status</t>
        </is>
      </c>
    </row>
    <row r="21">
      <c r="B21" s="4" t="inlineStr">
        <is>
          <t>• DRAFT FOR DISCUSSION – SUBJECT TO LEGAL, GRANT AND FINANCIAL REVIEW</t>
        </is>
      </c>
    </row>
    <row r="23">
      <c r="A23" s="5" t="inlineStr">
        <is>
          <t>Legend:</t>
        </is>
      </c>
      <c r="B23" s="6" t="inlineStr">
        <is>
          <t>INPUT (edit these)</t>
        </is>
      </c>
      <c r="C23" s="7" t="inlineStr">
        <is>
          <t>FORMULA (do not edit)</t>
        </is>
      </c>
      <c r="D23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26" customWidth="1" min="4" max="4"/>
    <col width="14" customWidth="1" min="5" max="5"/>
    <col width="15" customWidth="1" min="6" max="6"/>
    <col width="12" customWidth="1" min="7" max="7"/>
    <col width="18" customWidth="1" min="8" max="8"/>
    <col width="18" customWidth="1" min="9" max="9"/>
    <col width="18" customWidth="1" min="10" max="10"/>
    <col width="26" customWidth="1" min="11" max="11"/>
  </cols>
  <sheetData>
    <row r="1">
      <c r="A1" s="1" t="inlineStr">
        <is>
          <t>EXHIBIT K — GRANT ASSET INVENTORY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Property records per 2 CFR 200.313(d)</t>
        </is>
      </c>
    </row>
    <row r="5">
      <c r="A5" s="10" t="inlineStr">
        <is>
          <t>Asset ID / Tag</t>
        </is>
      </c>
      <c r="B5" s="10" t="inlineStr">
        <is>
          <t>Description</t>
        </is>
      </c>
      <c r="C5" s="10" t="inlineStr">
        <is>
          <t>Serial / Model</t>
        </is>
      </c>
      <c r="D5" s="10" t="inlineStr">
        <is>
          <t>Source of Funds (Federal Award #)</t>
        </is>
      </c>
      <c r="E5" s="10" t="inlineStr">
        <is>
          <t>Acquisition Date</t>
        </is>
      </c>
      <c r="F5" s="10" t="inlineStr">
        <is>
          <t>Acquisition Cost</t>
        </is>
      </c>
      <c r="G5" s="10" t="inlineStr">
        <is>
          <t>Federal Share %</t>
        </is>
      </c>
      <c r="H5" s="10" t="inlineStr">
        <is>
          <t>Federal Share ($) (formula)</t>
        </is>
      </c>
      <c r="I5" s="10" t="inlineStr">
        <is>
          <t>Location</t>
        </is>
      </c>
      <c r="J5" s="10" t="inlineStr">
        <is>
          <t>Use / Condition</t>
        </is>
      </c>
      <c r="K5" s="10" t="inlineStr">
        <is>
          <t>Ultimate Disposition Data</t>
        </is>
      </c>
    </row>
    <row r="6">
      <c r="A6" s="11" t="inlineStr">
        <is>
          <t>[■ tag]</t>
        </is>
      </c>
      <c r="B6" s="12" t="inlineStr">
        <is>
          <t>[■ description]</t>
        </is>
      </c>
      <c r="C6" s="12" t="inlineStr">
        <is>
          <t>[■ serial / model]</t>
        </is>
      </c>
      <c r="D6" s="12" t="inlineStr">
        <is>
          <t>[■ NTIA award #]</t>
        </is>
      </c>
      <c r="E6" s="13" t="inlineStr">
        <is>
          <t>[■ date]</t>
        </is>
      </c>
      <c r="F6" s="14" t="inlineStr">
        <is>
          <t>[■ cost]</t>
        </is>
      </c>
      <c r="G6" s="15" t="inlineStr">
        <is>
          <t>[■ %]</t>
        </is>
      </c>
      <c r="H6" s="16">
        <f>IF(AND(ISNUMBER(F6),ISNUMBER(G6)),F6*G6,"ENTER COST &amp; SHARE")</f>
        <v/>
      </c>
      <c r="I6" s="12" t="inlineStr">
        <is>
          <t>[■ location]</t>
        </is>
      </c>
      <c r="J6" s="12" t="inlineStr">
        <is>
          <t>[■ use / condition]</t>
        </is>
      </c>
      <c r="K6" s="12" t="inlineStr">
        <is>
          <t>[■ disposition (date / sale price / method)]</t>
        </is>
      </c>
    </row>
    <row r="7">
      <c r="A7" s="11" t="inlineStr">
        <is>
          <t>[■ tag]</t>
        </is>
      </c>
      <c r="B7" s="12" t="inlineStr">
        <is>
          <t>[■ description]</t>
        </is>
      </c>
      <c r="C7" s="12" t="inlineStr">
        <is>
          <t>[■ serial / model]</t>
        </is>
      </c>
      <c r="D7" s="12" t="inlineStr">
        <is>
          <t>[■ NTIA award #]</t>
        </is>
      </c>
      <c r="E7" s="13" t="inlineStr">
        <is>
          <t>[■ date]</t>
        </is>
      </c>
      <c r="F7" s="14" t="inlineStr">
        <is>
          <t>[■ cost]</t>
        </is>
      </c>
      <c r="G7" s="15" t="inlineStr">
        <is>
          <t>[■ %]</t>
        </is>
      </c>
      <c r="H7" s="16">
        <f>IF(AND(ISNUMBER(F7),ISNUMBER(G7)),F7*G7,"ENTER COST &amp; SHARE")</f>
        <v/>
      </c>
      <c r="I7" s="12" t="inlineStr">
        <is>
          <t>[■ location]</t>
        </is>
      </c>
      <c r="J7" s="12" t="inlineStr">
        <is>
          <t>[■ use / condition]</t>
        </is>
      </c>
      <c r="K7" s="12" t="inlineStr">
        <is>
          <t>[■ disposition (date / sale price / method)]</t>
        </is>
      </c>
    </row>
    <row r="8">
      <c r="A8" s="11" t="inlineStr">
        <is>
          <t>[■ tag]</t>
        </is>
      </c>
      <c r="B8" s="12" t="inlineStr">
        <is>
          <t>[■ description]</t>
        </is>
      </c>
      <c r="C8" s="12" t="inlineStr">
        <is>
          <t>[■ serial / model]</t>
        </is>
      </c>
      <c r="D8" s="12" t="inlineStr">
        <is>
          <t>[■ NTIA award #]</t>
        </is>
      </c>
      <c r="E8" s="13" t="inlineStr">
        <is>
          <t>[■ date]</t>
        </is>
      </c>
      <c r="F8" s="14" t="inlineStr">
        <is>
          <t>[■ cost]</t>
        </is>
      </c>
      <c r="G8" s="15" t="inlineStr">
        <is>
          <t>[■ %]</t>
        </is>
      </c>
      <c r="H8" s="16">
        <f>IF(AND(ISNUMBER(F8),ISNUMBER(G8)),F8*G8,"ENTER COST &amp; SHARE")</f>
        <v/>
      </c>
      <c r="I8" s="12" t="inlineStr">
        <is>
          <t>[■ location]</t>
        </is>
      </c>
      <c r="J8" s="12" t="inlineStr">
        <is>
          <t>[■ use / condition]</t>
        </is>
      </c>
      <c r="K8" s="12" t="inlineStr">
        <is>
          <t>[■ disposition (date / sale price / method)]</t>
        </is>
      </c>
    </row>
    <row r="9">
      <c r="A9" s="11" t="inlineStr">
        <is>
          <t>[■ tag]</t>
        </is>
      </c>
      <c r="B9" s="12" t="inlineStr">
        <is>
          <t>[■ description]</t>
        </is>
      </c>
      <c r="C9" s="12" t="inlineStr">
        <is>
          <t>[■ serial / model]</t>
        </is>
      </c>
      <c r="D9" s="12" t="inlineStr">
        <is>
          <t>[■ NTIA award #]</t>
        </is>
      </c>
      <c r="E9" s="13" t="inlineStr">
        <is>
          <t>[■ date]</t>
        </is>
      </c>
      <c r="F9" s="14" t="inlineStr">
        <is>
          <t>[■ cost]</t>
        </is>
      </c>
      <c r="G9" s="15" t="inlineStr">
        <is>
          <t>[■ %]</t>
        </is>
      </c>
      <c r="H9" s="16">
        <f>IF(AND(ISNUMBER(F9),ISNUMBER(G9)),F9*G9,"ENTER COST &amp; SHARE")</f>
        <v/>
      </c>
      <c r="I9" s="12" t="inlineStr">
        <is>
          <t>[■ location]</t>
        </is>
      </c>
      <c r="J9" s="12" t="inlineStr">
        <is>
          <t>[■ use / condition]</t>
        </is>
      </c>
      <c r="K9" s="12" t="inlineStr">
        <is>
          <t>[■ disposition (date / sale price / method)]</t>
        </is>
      </c>
    </row>
    <row r="10">
      <c r="A10" s="11" t="inlineStr">
        <is>
          <t>[■ tag]</t>
        </is>
      </c>
      <c r="B10" s="12" t="inlineStr">
        <is>
          <t>[■ description]</t>
        </is>
      </c>
      <c r="C10" s="12" t="inlineStr">
        <is>
          <t>[■ serial / model]</t>
        </is>
      </c>
      <c r="D10" s="12" t="inlineStr">
        <is>
          <t>[■ NTIA award #]</t>
        </is>
      </c>
      <c r="E10" s="13" t="inlineStr">
        <is>
          <t>[■ date]</t>
        </is>
      </c>
      <c r="F10" s="14" t="inlineStr">
        <is>
          <t>[■ cost]</t>
        </is>
      </c>
      <c r="G10" s="15" t="inlineStr">
        <is>
          <t>[■ %]</t>
        </is>
      </c>
      <c r="H10" s="16">
        <f>IF(AND(ISNUMBER(F10),ISNUMBER(G10)),F10*G10,"ENTER COST &amp; SHARE")</f>
        <v/>
      </c>
      <c r="I10" s="12" t="inlineStr">
        <is>
          <t>[■ location]</t>
        </is>
      </c>
      <c r="J10" s="12" t="inlineStr">
        <is>
          <t>[■ use / condition]</t>
        </is>
      </c>
      <c r="K10" s="12" t="inlineStr">
        <is>
          <t>[■ disposition (date / sale price / method)]</t>
        </is>
      </c>
    </row>
    <row r="11">
      <c r="A11" s="11" t="inlineStr">
        <is>
          <t>[■ tag]</t>
        </is>
      </c>
      <c r="B11" s="12" t="inlineStr">
        <is>
          <t>[■ description]</t>
        </is>
      </c>
      <c r="C11" s="12" t="inlineStr">
        <is>
          <t>[■ serial / model]</t>
        </is>
      </c>
      <c r="D11" s="12" t="inlineStr">
        <is>
          <t>[■ NTIA award #]</t>
        </is>
      </c>
      <c r="E11" s="13" t="inlineStr">
        <is>
          <t>[■ date]</t>
        </is>
      </c>
      <c r="F11" s="14" t="inlineStr">
        <is>
          <t>[■ cost]</t>
        </is>
      </c>
      <c r="G11" s="15" t="inlineStr">
        <is>
          <t>[■ %]</t>
        </is>
      </c>
      <c r="H11" s="16">
        <f>IF(AND(ISNUMBER(F11),ISNUMBER(G11)),F11*G11,"ENTER COST &amp; SHARE")</f>
        <v/>
      </c>
      <c r="I11" s="12" t="inlineStr">
        <is>
          <t>[■ location]</t>
        </is>
      </c>
      <c r="J11" s="12" t="inlineStr">
        <is>
          <t>[■ use / condition]</t>
        </is>
      </c>
      <c r="K11" s="12" t="inlineStr">
        <is>
          <t>[■ disposition (date / sale price / method)]</t>
        </is>
      </c>
    </row>
    <row r="12">
      <c r="A12" s="11" t="inlineStr">
        <is>
          <t>[■ tag]</t>
        </is>
      </c>
      <c r="B12" s="12" t="inlineStr">
        <is>
          <t>[■ description]</t>
        </is>
      </c>
      <c r="C12" s="12" t="inlineStr">
        <is>
          <t>[■ serial / model]</t>
        </is>
      </c>
      <c r="D12" s="12" t="inlineStr">
        <is>
          <t>[■ NTIA award #]</t>
        </is>
      </c>
      <c r="E12" s="13" t="inlineStr">
        <is>
          <t>[■ date]</t>
        </is>
      </c>
      <c r="F12" s="14" t="inlineStr">
        <is>
          <t>[■ cost]</t>
        </is>
      </c>
      <c r="G12" s="15" t="inlineStr">
        <is>
          <t>[■ %]</t>
        </is>
      </c>
      <c r="H12" s="16">
        <f>IF(AND(ISNUMBER(F12),ISNUMBER(G12)),F12*G12,"ENTER COST &amp; SHARE")</f>
        <v/>
      </c>
      <c r="I12" s="12" t="inlineStr">
        <is>
          <t>[■ location]</t>
        </is>
      </c>
      <c r="J12" s="12" t="inlineStr">
        <is>
          <t>[■ use / condition]</t>
        </is>
      </c>
      <c r="K12" s="12" t="inlineStr">
        <is>
          <t>[■ disposition (date / sale price / method)]</t>
        </is>
      </c>
    </row>
    <row r="13">
      <c r="A13" s="11" t="inlineStr">
        <is>
          <t>[■ tag]</t>
        </is>
      </c>
      <c r="B13" s="12" t="inlineStr">
        <is>
          <t>[■ description]</t>
        </is>
      </c>
      <c r="C13" s="12" t="inlineStr">
        <is>
          <t>[■ serial / model]</t>
        </is>
      </c>
      <c r="D13" s="12" t="inlineStr">
        <is>
          <t>[■ NTIA award #]</t>
        </is>
      </c>
      <c r="E13" s="13" t="inlineStr">
        <is>
          <t>[■ date]</t>
        </is>
      </c>
      <c r="F13" s="14" t="inlineStr">
        <is>
          <t>[■ cost]</t>
        </is>
      </c>
      <c r="G13" s="15" t="inlineStr">
        <is>
          <t>[■ %]</t>
        </is>
      </c>
      <c r="H13" s="16">
        <f>IF(AND(ISNUMBER(F13),ISNUMBER(G13)),F13*G13,"ENTER COST &amp; SHARE")</f>
        <v/>
      </c>
      <c r="I13" s="12" t="inlineStr">
        <is>
          <t>[■ location]</t>
        </is>
      </c>
      <c r="J13" s="12" t="inlineStr">
        <is>
          <t>[■ use / condition]</t>
        </is>
      </c>
      <c r="K13" s="12" t="inlineStr">
        <is>
          <t>[■ disposition (date / sale price / method)]</t>
        </is>
      </c>
    </row>
    <row r="15">
      <c r="A15" s="17" t="inlineStr">
        <is>
          <t>Rollup &amp; reconciliation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9" t="n"/>
    </row>
    <row r="16">
      <c r="E16" s="20" t="inlineStr">
        <is>
          <t>Total acquisition cost:</t>
        </is>
      </c>
      <c r="F16" s="16">
        <f>IF(COUNT(F6:F13)=0,"ENTER COSTS",SUM(F6:F13))</f>
        <v/>
      </c>
      <c r="G16" s="20" t="inlineStr">
        <is>
          <t>Total federal share:</t>
        </is>
      </c>
      <c r="H16" s="16">
        <f>IF(COUNT(F6:F13)=0,"—",SUMPRODUCT(F6:F13,G6:G13))</f>
        <v/>
      </c>
    </row>
    <row r="18" ht="45" customHeight="1">
      <c r="A18" s="21" t="inlineStr">
        <is>
          <t>Physical-inventory reconciliation: a physical inventory of the assets above must be taken and reconciled to these records at least once every two (2) years per 2 CFR 200.313(d)(2). Last reconciliation date: ________.  Next due: ________.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9" t="n"/>
    </row>
    <row r="19" ht="45" customHeight="1">
      <c r="A19" s="21" t="inlineStr">
        <is>
          <t>Property-trust note: grant-funded assets are held in trust for the beneficiaries of the project per 2 CFR 200.316 (Property trust relationship) and remain subject to the Federal Interest until disposition under 2 CFR 200.313 (Equipment — use, management, and disposition).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9" t="n"/>
    </row>
  </sheetData>
  <autoFilter ref="A5:K5"/>
  <mergeCells count="6">
    <mergeCell ref="A18:K18"/>
    <mergeCell ref="A3:K3"/>
    <mergeCell ref="A15:K15"/>
    <mergeCell ref="A2:K2"/>
    <mergeCell ref="A19:K19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2026-07-16T01:14:31Z</dcterms:created>
  <dcterms:modified xmlns:dcterms="http://purl.org/dc/terms/" xmlns:xsi="http://www.w3.org/2001/XMLSchema-instance" xsi:type="dcterms:W3CDTF">2026-07-16T01:14:31Z</dcterms:modified>
</cp:coreProperties>
</file>