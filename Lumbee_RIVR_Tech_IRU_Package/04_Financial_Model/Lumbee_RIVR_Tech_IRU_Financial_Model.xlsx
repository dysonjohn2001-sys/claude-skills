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nstruction_Budget" sheetId="4" state="visible" r:id="rId4"/>
    <sheet xmlns:r="http://schemas.openxmlformats.org/officeDocument/2006/relationships" name="Grant_Funding" sheetId="5" state="visible" r:id="rId5"/>
    <sheet xmlns:r="http://schemas.openxmlformats.org/officeDocument/2006/relationships" name="Homes_Passed" sheetId="6" state="visible" r:id="rId6"/>
    <sheet xmlns:r="http://schemas.openxmlformats.org/officeDocument/2006/relationships" name="Take_Rate_Customers" sheetId="7" state="visible" r:id="rId7"/>
    <sheet xmlns:r="http://schemas.openxmlformats.org/officeDocument/2006/relationships" name="Revenue" sheetId="8" state="visible" r:id="rId8"/>
    <sheet xmlns:r="http://schemas.openxmlformats.org/officeDocument/2006/relationships" name="Operating_Expenses" sheetId="9" state="visible" r:id="rId9"/>
    <sheet xmlns:r="http://schemas.openxmlformats.org/officeDocument/2006/relationships" name="Capital_Replacement" sheetId="10" state="visible" r:id="rId10"/>
    <sheet xmlns:r="http://schemas.openxmlformats.org/officeDocument/2006/relationships" name="Revenue_Share_Options" sheetId="11" state="visible" r:id="rId11"/>
    <sheet xmlns:r="http://schemas.openxmlformats.org/officeDocument/2006/relationships" name="Annual_Cash_Flow" sheetId="12" state="visible" r:id="rId12"/>
    <sheet xmlns:r="http://schemas.openxmlformats.org/officeDocument/2006/relationships" name="RIVR_Tech_Economics" sheetId="13" state="visible" r:id="rId13"/>
    <sheet xmlns:r="http://schemas.openxmlformats.org/officeDocument/2006/relationships" name="Tribal_Economics" sheetId="14" state="visible" r:id="rId14"/>
    <sheet xmlns:r="http://schemas.openxmlformats.org/officeDocument/2006/relationships" name="Consolidated_Project" sheetId="15" state="visible" r:id="rId15"/>
    <sheet xmlns:r="http://schemas.openxmlformats.org/officeDocument/2006/relationships" name="Case_Engine" sheetId="16" state="visible" r:id="rId16"/>
    <sheet xmlns:r="http://schemas.openxmlformats.org/officeDocument/2006/relationships" name="NPV_IRR" sheetId="17" state="visible" r:id="rId17"/>
    <sheet xmlns:r="http://schemas.openxmlformats.org/officeDocument/2006/relationships" name="Sensitivity" sheetId="18" state="visible" r:id="rId18"/>
    <sheet xmlns:r="http://schemas.openxmlformats.org/officeDocument/2006/relationships" name="Scenario_Comparison" sheetId="19" state="visible" r:id="rId19"/>
  </sheets>
  <definedNames>
    <definedName name="_xlnm._FilterDatabase" localSheetId="3" hidden="1">'Construction_Budget'!$B$5:$F$5</definedName>
    <definedName name="_xlnm._FilterDatabase" localSheetId="4" hidden="1">'Grant_Funding'!$B$5:$D$5</definedName>
    <definedName name="_xlnm._FilterDatabase" localSheetId="5" hidden="1">'Homes_Passed'!$A$5:$D$5</definedName>
    <definedName name="_xlnm._FilterDatabase" localSheetId="6" hidden="1">'Take_Rate_Customers'!$A$5:$H$5</definedName>
    <definedName name="_xlnm._FilterDatabase" localSheetId="7" hidden="1">'Revenue'!$A$5:$I$5</definedName>
    <definedName name="_xlnm._FilterDatabase" localSheetId="8" hidden="1">'Operating_Expenses'!$A$5:$J$5</definedName>
    <definedName name="_xlnm._FilterDatabase" localSheetId="9" hidden="1">'Capital_Replacement'!$A$5:$F$5</definedName>
    <definedName name="_xlnm._FilterDatabase" localSheetId="10" hidden="1">'Revenue_Share_Options'!$A$5:$I$5</definedName>
    <definedName name="_xlnm._FilterDatabase" localSheetId="11" hidden="1">'Annual_Cash_Flow'!$A$5:$H$5</definedName>
    <definedName name="_xlnm._FilterDatabase" localSheetId="12" hidden="1">'RIVR_Tech_Economics'!$A$5:$D$5</definedName>
    <definedName name="_xlnm._FilterDatabase" localSheetId="13" hidden="1">'Tribal_Economics'!$A$5:$E$5</definedName>
    <definedName name="_xlnm._FilterDatabase" localSheetId="14" hidden="1">'Consolidated_Project'!$A$5:$F$5</definedName>
    <definedName name="_xlnm._FilterDatabase" localSheetId="18" hidden="1">'Scenario_Comparison'!$B$5:$E$5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;(&quot;$&quot;#,##0)"/>
    <numFmt numFmtId="166" formatCode="0.00&quot;x&quot;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i val="1"/>
      <color rgb="00595959"/>
      <sz val="9"/>
    </font>
    <font>
      <b val="1"/>
      <sz val="9"/>
    </font>
    <font>
      <sz val="9"/>
    </font>
    <font>
      <b val="1"/>
      <sz val="10"/>
    </font>
    <font>
      <sz val="10"/>
    </font>
    <font>
      <b val="1"/>
      <color rgb="00FFFFFF"/>
      <sz val="10"/>
    </font>
    <font>
      <i val="1"/>
      <sz val="9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3" fillId="0" borderId="0" pivotButton="0" quotePrefix="0" xfId="0"/>
    <xf numFmtId="0" fontId="6" fillId="5" borderId="1" pivotButton="0" quotePrefix="0" xfId="0"/>
    <xf numFmtId="0" fontId="7" fillId="0" borderId="1" pivotButton="0" quotePrefix="0" xfId="0"/>
    <xf numFmtId="0" fontId="7" fillId="3" borderId="1" pivotButton="0" quotePrefix="0" xfId="0"/>
    <xf numFmtId="3" fontId="7" fillId="3" borderId="1" pivotButton="0" quotePrefix="0" xfId="0"/>
    <xf numFmtId="0" fontId="0" fillId="0" borderId="5" pivotButton="0" quotePrefix="0" xfId="0"/>
    <xf numFmtId="165" fontId="7" fillId="3" borderId="1" pivotButton="0" quotePrefix="0" xfId="0"/>
    <xf numFmtId="164" fontId="7" fillId="3" borderId="1" pivotButton="0" quotePrefix="0" xfId="0"/>
    <xf numFmtId="165" fontId="6" fillId="4" borderId="1" pivotButton="0" quotePrefix="0" xfId="0"/>
    <xf numFmtId="164" fontId="6" fillId="4" borderId="1" pivotButton="0" quotePrefix="0" xfId="0"/>
    <xf numFmtId="3" fontId="6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3" fontId="7" fillId="2" borderId="1" pivotButton="0" quotePrefix="0" xfId="0"/>
    <xf numFmtId="0" fontId="0" fillId="0" borderId="4" pivotButton="0" quotePrefix="0" xfId="0"/>
    <xf numFmtId="0" fontId="8" fillId="6" borderId="1" applyAlignment="1" pivotButton="0" quotePrefix="0" xfId="0">
      <alignment horizontal="center" vertical="center" wrapText="1"/>
    </xf>
    <xf numFmtId="164" fontId="7" fillId="2" borderId="1" pivotButton="0" quotePrefix="0" xfId="0"/>
    <xf numFmtId="165" fontId="7" fillId="2" borderId="1" pivotButton="0" quotePrefix="0" xfId="0"/>
    <xf numFmtId="166" fontId="7" fillId="2" borderId="1" pivotButton="0" quotePrefix="0" xfId="0"/>
    <xf numFmtId="166" fontId="7" fillId="3" borderId="1" pivotButton="0" quotePrefix="0" xfId="0"/>
    <xf numFmtId="165" fontId="6" fillId="3" borderId="1" pivotButton="0" quotePrefix="0" xfId="0"/>
    <xf numFmtId="0" fontId="9" fillId="0" borderId="0" pivotButton="0" quotePrefix="0" xfId="0"/>
    <xf numFmtId="0" fontId="4" fillId="0" borderId="1" pivotButton="0" quotePrefix="0" xfId="0"/>
    <xf numFmtId="3" fontId="7" fillId="0" borderId="1" pivotButton="0" quotePrefix="0" xfId="0"/>
    <xf numFmtId="165" fontId="7" fillId="4" borderId="1" pivotButton="0" quotePrefix="0" xfId="0"/>
    <xf numFmtId="164" fontId="7" fillId="4" borderId="1" pivotButton="0" quotePrefix="0" xfId="0"/>
    <xf numFmtId="0" fontId="6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 — READ FIRST</t>
        </is>
      </c>
    </row>
    <row r="2">
      <c r="A2" s="2" t="inlineStr">
        <is>
          <t>DRAFT FOR DISCUSSION – SUBJECT TO LEGAL, GRANT AND FINANCIAL REVIEW</t>
        </is>
      </c>
    </row>
    <row r="5">
      <c r="B5" s="3" t="inlineStr">
        <is>
          <t>Deliverable 10 — 30-Year Editable Financial Model</t>
        </is>
      </c>
    </row>
    <row r="6">
      <c r="B6" s="4" t="inlineStr">
        <is>
          <t>Lumbee Tribe of North Carolina  &amp;  LREMC Technologies, LLC d/b/a RIVR Tech</t>
        </is>
      </c>
    </row>
    <row r="7">
      <c r="B7" s="4" t="inlineStr">
        <is>
          <t>TBCP grant-funded hybrid broadband network — southeastern North Carolina.</t>
        </is>
      </c>
    </row>
    <row r="8">
      <c r="B8" s="4" t="inlineStr"/>
    </row>
    <row r="9">
      <c r="B9" s="3" t="inlineStr">
        <is>
          <t>DRAFT / PLACEHOLDER WARNING</t>
        </is>
      </c>
    </row>
    <row r="10">
      <c r="B10" s="4" t="inlineStr">
        <is>
          <t>Every dollar figure, rate, and count in this workbook is a PLACEHOLDER for negotiation. The model is a working draft — subject to legal, grant, and financial review. Do NOT rely on any output as a final term. Replace the amber input cells with negotiated values.</t>
        </is>
      </c>
    </row>
    <row r="11">
      <c r="B11" s="4" t="inlineStr"/>
    </row>
    <row r="12">
      <c r="B12" s="3" t="inlineStr">
        <is>
          <t>COLOR LEGEND</t>
        </is>
      </c>
    </row>
    <row r="13">
      <c r="B13" s="4" t="inlineStr">
        <is>
          <t>• AMBER  = INPUT — edit these. All assumptions live on the Assumptions sheet.</t>
        </is>
      </c>
    </row>
    <row r="14">
      <c r="B14" s="4" t="inlineStr">
        <is>
          <t>• BLUE   = FORMULA — do not edit; these compute from inputs.</t>
        </is>
      </c>
    </row>
    <row r="15">
      <c r="B15" s="4" t="inlineStr">
        <is>
          <t>• GREEN  = OUTPUT / RESULT — headline numbers and NPV/IRR.</t>
        </is>
      </c>
    </row>
    <row r="16">
      <c r="B16" s="4" t="inlineStr">
        <is>
          <t>The model is designed to be used WITHOUT editing any formula — change inputs only.</t>
        </is>
      </c>
    </row>
    <row r="17">
      <c r="B17" s="4" t="inlineStr"/>
    </row>
    <row r="18">
      <c r="B18" s="3" t="inlineStr">
        <is>
          <t>THE THREE SWITCHES (all on the Assumptions sheet, top block)</t>
        </is>
      </c>
    </row>
    <row r="19">
      <c r="B19" s="4" t="inlineStr">
        <is>
          <t>• Scenario switch  — type 1 (Low), 2 (Base), or 3 (High). Drives every scenario-dependent driver (take rate, ARPU, churn, bad debt, inflation, construction cost) via CHOOSE.</t>
        </is>
      </c>
    </row>
    <row r="20">
      <c r="B20" s="4" t="inlineStr">
        <is>
          <t>• IRU term switch  — choose 20, 25, or 30 years (recommended 30). Revenue and Tribal payments beyond the selected term are set to zero, controlling the NPV/IRR horizon.</t>
        </is>
      </c>
    </row>
    <row r="21">
      <c r="B21" s="4" t="inlineStr">
        <is>
          <t>• Revenue-share option switch — type 1=A, 2=B, 3=C, 4=D (recommended), 5=E. Selects which Tribal-payment structure flows into the cash flows; all five are shown side-by-side on Revenue_Share_Options.</t>
        </is>
      </c>
    </row>
    <row r="22">
      <c r="B22" s="4" t="inlineStr"/>
    </row>
    <row r="23">
      <c r="B23" s="3" t="inlineStr">
        <is>
          <t>PRIMARY INPUT CELLS (edit these first)</t>
        </is>
      </c>
    </row>
    <row r="24">
      <c r="B24" s="4" t="inlineStr">
        <is>
          <t>• Assumptions!C7 — Scenario switch (1/2/3)</t>
        </is>
      </c>
    </row>
    <row r="25">
      <c r="B25" s="4" t="inlineStr">
        <is>
          <t>• Assumptions!C8 — IRU term (20/25/30)</t>
        </is>
      </c>
    </row>
    <row r="26">
      <c r="B26" s="4" t="inlineStr">
        <is>
          <t>• Assumptions!C9 — Revenue-share option (1-5)</t>
        </is>
      </c>
    </row>
    <row r="27">
      <c r="B27" s="4" t="inlineStr">
        <is>
          <t>• Assumptions — SCENARIO-DEPENDENT DRIVERS block: Low/Base/High columns for take rate, ARPU (res/bus/ent/voice), enterprise count, wholesale, churn, bad debt, inflation, construction cost factor.</t>
        </is>
      </c>
    </row>
    <row r="28">
      <c r="B28" s="4" t="inlineStr">
        <is>
          <t>• Assumptions — SINGLE INPUTS block: grant amount, homes passed, build-out years, penetration/attach rates, install fee, opex components, staffing, electronics cycle, reserve %, discount rate, RIVR upfront, reserved-capacity value.</t>
        </is>
      </c>
    </row>
    <row r="29">
      <c r="B29" s="4" t="inlineStr">
        <is>
          <t>• Assumptions — REVENUE-SHARE OPTION INPUTS block: fixed payment &amp; escalator (A), gross share % (B), cash-flow share % (C), hybrid base + share (D), holiday/first/step (E).</t>
        </is>
      </c>
    </row>
    <row r="30">
      <c r="B30" s="4" t="inlineStr">
        <is>
          <t>• Construction_Budget — quantities, unit costs, and contingency % (amber).</t>
        </is>
      </c>
    </row>
    <row r="31">
      <c r="B31" s="4" t="inlineStr">
        <is>
          <t>• Grant_Funding — non-federal match (0; TBCP requires none).</t>
        </is>
      </c>
    </row>
    <row r="32">
      <c r="B32" s="4" t="inlineStr"/>
    </row>
    <row r="33">
      <c r="B33" s="3" t="inlineStr">
        <is>
          <t>HOW THE SHEETS FLOW</t>
        </is>
      </c>
    </row>
    <row r="34">
      <c r="B34" s="4" t="inlineStr">
        <is>
          <t>Assumptions -&gt; Construction_Budget -&gt; Grant_Funding (sources=uses check) ; Homes_Passed -&gt; Take_Rate_Customers -&gt; Revenue -&gt; Operating_Expenses / Capital_Replacement -&gt; Revenue_Share_Options -&gt; Annual_Cash_Flow -&gt; RIVR_Tech_Economics / Tribal_Economics / Consolidated_Project. Case_Engine computes all three cases in parallel to power NPV_IRR (3 cases x 3 terms), Sensitivity, and Scenario_Comparison. Dashboard rolls everything up.</t>
        </is>
      </c>
    </row>
    <row r="35">
      <c r="B35" s="4" t="inlineStr"/>
    </row>
    <row r="36">
      <c r="B36" s="3" t="inlineStr">
        <is>
          <t>FORMULA CHECKS</t>
        </is>
      </c>
    </row>
    <row r="37">
      <c r="B37" s="4" t="inlineStr">
        <is>
          <t>Each computation sheet carries a PASS/FAIL check (green/red). The Dashboard shows an overall roll-up: sources=uses, homes&gt;=customers, no #REF, reserve adequacy, option reconciliation, cash-flow identities, and Base-case reconciliation. If any check reads FAIL, investigate before relying on outputs.</t>
        </is>
      </c>
    </row>
    <row r="38">
      <c r="B38" s="4" t="inlineStr"/>
    </row>
    <row r="39">
      <c r="B39" s="3" t="inlineStr">
        <is>
          <t>RECALCULATION NOTE</t>
        </is>
      </c>
    </row>
    <row r="40">
      <c r="B40" s="4" t="inlineStr">
        <is>
          <t>This file is generated by a script and stores formulas (not cached results). Open it in Excel / LibreOffice and allow calculation (F9) so every blue/green cell evaluates.</t>
        </is>
      </c>
    </row>
    <row r="42">
      <c r="A42" s="5" t="inlineStr">
        <is>
          <t>Legend:</t>
        </is>
      </c>
      <c r="B42" s="6" t="inlineStr">
        <is>
          <t>INPUT (edit these)</t>
        </is>
      </c>
      <c r="C42" s="7" t="inlineStr">
        <is>
          <t>FORMULA (do not edit)</t>
        </is>
      </c>
      <c r="D42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2" max="2"/>
    <col width="24" customWidth="1" min="3" max="3"/>
    <col width="6" customWidth="1" min="4" max="4"/>
    <col width="42" customWidth="1" min="5" max="5"/>
    <col width="24" customWidth="1" min="6" max="6"/>
  </cols>
  <sheetData>
    <row r="1">
      <c r="A1" s="1" t="inlineStr">
        <is>
          <t>EXECUTIVE DASHBOARD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Active scenario / term / option, headline outputs, and formula-check roll-up. All values are live formulas.</t>
        </is>
      </c>
    </row>
    <row r="4">
      <c r="A4" s="5" t="inlineStr">
        <is>
          <t>Legend:</t>
        </is>
      </c>
      <c r="B4" s="6" t="inlineStr">
        <is>
          <t>INPUT (edit these)</t>
        </is>
      </c>
      <c r="C4" s="7" t="inlineStr">
        <is>
          <t>FORMULA (do not edit)</t>
        </is>
      </c>
      <c r="D4" s="8" t="inlineStr">
        <is>
          <t>OUTPUT / RESULT</t>
        </is>
      </c>
    </row>
    <row r="6">
      <c r="B6" s="10" t="inlineStr">
        <is>
          <t>ACTIVE SETTINGS</t>
        </is>
      </c>
      <c r="C6" s="10" t="n"/>
      <c r="E6" s="10" t="inlineStr">
        <is>
          <t>INDIVIDUAL CHECKS</t>
        </is>
      </c>
      <c r="F6" s="10" t="n"/>
    </row>
    <row r="7">
      <c r="B7" s="11" t="inlineStr">
        <is>
          <t>Scenario</t>
        </is>
      </c>
      <c r="C7" s="12">
        <f>Assumptions!$D$7</f>
        <v/>
      </c>
      <c r="E7" s="11" t="inlineStr">
        <is>
          <t>Construction_Budget</t>
        </is>
      </c>
      <c r="F7" s="12">
        <f>Construction_Budget!F21</f>
        <v/>
      </c>
    </row>
    <row r="8">
      <c r="B8" s="11" t="inlineStr">
        <is>
          <t>IRU term (years)</t>
        </is>
      </c>
      <c r="C8" s="13">
        <f>Assumptions!$C$8</f>
        <v/>
      </c>
      <c r="E8" s="11" t="inlineStr">
        <is>
          <t>Grant_Funding</t>
        </is>
      </c>
      <c r="F8" s="12">
        <f>Grant_Funding!F16</f>
        <v/>
      </c>
    </row>
    <row r="9">
      <c r="B9" s="11" t="inlineStr">
        <is>
          <t>Revenue-share option</t>
        </is>
      </c>
      <c r="C9" s="12">
        <f>Assumptions!$C$10</f>
        <v/>
      </c>
      <c r="D9" s="14" t="n"/>
      <c r="E9" s="11" t="inlineStr">
        <is>
          <t>Grant_Funding</t>
        </is>
      </c>
      <c r="F9" s="12">
        <f>Grant_Funding!F17</f>
        <v/>
      </c>
    </row>
    <row r="10">
      <c r="B10" s="11" t="inlineStr">
        <is>
          <t>TBCP grant amount</t>
        </is>
      </c>
      <c r="C10" s="15">
        <f>Assumptions!$C$29</f>
        <v/>
      </c>
      <c r="E10" s="11" t="inlineStr">
        <is>
          <t>Homes_Passed</t>
        </is>
      </c>
      <c r="F10" s="12">
        <f>Homes_Passed!F38</f>
        <v/>
      </c>
    </row>
    <row r="11">
      <c r="B11" s="11" t="inlineStr">
        <is>
          <t>Homes passed (total)</t>
        </is>
      </c>
      <c r="C11" s="13">
        <f>Assumptions!$C$30</f>
        <v/>
      </c>
      <c r="E11" s="11" t="inlineStr">
        <is>
          <t>Take_Rate_Customers</t>
        </is>
      </c>
      <c r="F11" s="12">
        <f>Take_Rate_Customers!F38</f>
        <v/>
      </c>
    </row>
    <row r="12">
      <c r="B12" s="11" t="inlineStr">
        <is>
          <t>Discount rate (NPV)</t>
        </is>
      </c>
      <c r="C12" s="16">
        <f>Assumptions!$C$44</f>
        <v/>
      </c>
      <c r="E12" s="11" t="inlineStr">
        <is>
          <t>Revenue</t>
        </is>
      </c>
      <c r="F12" s="12">
        <f>Revenue!F38</f>
        <v/>
      </c>
    </row>
    <row r="13">
      <c r="E13" s="11" t="inlineStr">
        <is>
          <t>Operating_Expenses</t>
        </is>
      </c>
      <c r="F13" s="12">
        <f>Operating_Expenses!F38</f>
        <v/>
      </c>
    </row>
    <row r="14">
      <c r="B14" s="10" t="inlineStr">
        <is>
          <t>HEADLINE OUTPUTS (active case)</t>
        </is>
      </c>
      <c r="C14" s="10" t="n"/>
      <c r="E14" s="11" t="inlineStr">
        <is>
          <t>Capital_Replacement</t>
        </is>
      </c>
      <c r="F14" s="12">
        <f>Capital_Replacement!F38</f>
        <v/>
      </c>
    </row>
    <row r="15">
      <c r="B15" s="11" t="inlineStr">
        <is>
          <t>Year-30 gross revenue</t>
        </is>
      </c>
      <c r="C15" s="17">
        <f>Revenue!$I$36</f>
        <v/>
      </c>
      <c r="E15" s="11" t="inlineStr">
        <is>
          <t>Revenue_Share_Options</t>
        </is>
      </c>
      <c r="F15" s="12">
        <f>Revenue_Share_Options!F38</f>
        <v/>
      </c>
    </row>
    <row r="16">
      <c r="B16" s="11" t="inlineStr">
        <is>
          <t>Total Tribal receipts (undiscounted)</t>
        </is>
      </c>
      <c r="C16" s="17">
        <f>Tribal_Economics!$B$39</f>
        <v/>
      </c>
      <c r="E16" s="11" t="inlineStr">
        <is>
          <t>Annual_Cash_Flow</t>
        </is>
      </c>
      <c r="F16" s="12">
        <f>Annual_Cash_Flow!F38</f>
        <v/>
      </c>
    </row>
    <row r="17">
      <c r="B17" s="11" t="inlineStr">
        <is>
          <t>Tribal NPV</t>
        </is>
      </c>
      <c r="C17" s="17">
        <f>Tribal_Economics!$B$38</f>
        <v/>
      </c>
      <c r="E17" s="11" t="inlineStr">
        <is>
          <t>Consolidated_Project</t>
        </is>
      </c>
      <c r="F17" s="12">
        <f>Consolidated_Project!F41</f>
        <v/>
      </c>
    </row>
    <row r="18">
      <c r="B18" s="11" t="inlineStr">
        <is>
          <t>RIVR Tech NPV</t>
        </is>
      </c>
      <c r="C18" s="17">
        <f>RIVR_Tech_Economics!$B$39</f>
        <v/>
      </c>
      <c r="E18" s="11" t="inlineStr">
        <is>
          <t>Case_Engine</t>
        </is>
      </c>
      <c r="F18" s="12">
        <f>Case_Engine!F112</f>
        <v/>
      </c>
    </row>
    <row r="19">
      <c r="B19" s="11" t="inlineStr">
        <is>
          <t>RIVR Tech IRR</t>
        </is>
      </c>
      <c r="C19" s="18">
        <f>RIVR_Tech_Economics!$B$40</f>
        <v/>
      </c>
    </row>
    <row r="20">
      <c r="B20" s="11" t="inlineStr">
        <is>
          <t>RIVR payback (year)</t>
        </is>
      </c>
      <c r="C20" s="19">
        <f>RIVR_Tech_Economics!$B$41</f>
        <v/>
      </c>
    </row>
    <row r="21">
      <c r="B21" s="11" t="inlineStr">
        <is>
          <t>Project NPV</t>
        </is>
      </c>
      <c r="C21" s="17">
        <f>Consolidated_Project!$B$38</f>
        <v/>
      </c>
    </row>
    <row r="22">
      <c r="B22" s="11" t="inlineStr">
        <is>
          <t>Project IRR</t>
        </is>
      </c>
      <c r="C22" s="18">
        <f>Consolidated_Project!$B$39</f>
        <v/>
      </c>
    </row>
    <row r="24">
      <c r="B24" s="10" t="inlineStr">
        <is>
          <t>FORMULA-CHECK ROLL-UP</t>
        </is>
      </c>
      <c r="C24" s="10" t="n"/>
    </row>
    <row r="25">
      <c r="B25" s="11" t="inlineStr">
        <is>
          <t>Checks passing</t>
        </is>
      </c>
      <c r="C25" s="13">
        <f>--(Construction_Budget!F21="PASS")+--(Grant_Funding!F16="PASS")+--(Grant_Funding!F17="PASS")+--(Homes_Passed!F38="PASS")+--(Take_Rate_Customers!F38="PASS")+--(Revenue!F38="PASS")+--(Operating_Expenses!F38="PASS")+--(Capital_Replacement!F38="PASS")+--(Revenue_Share_Options!F38="PASS")+--(Annual_Cash_Flow!F38="PASS")+--(Consolidated_Project!F41="PASS")+--(Case_Engine!F112="PASS")</f>
        <v/>
      </c>
    </row>
    <row r="26">
      <c r="B26" s="11" t="inlineStr">
        <is>
          <t>Total checks</t>
        </is>
      </c>
      <c r="C26" s="13" t="n">
        <v>12</v>
      </c>
    </row>
    <row r="27">
      <c r="B27" s="20" t="inlineStr">
        <is>
          <t>OVERALL STATUS</t>
        </is>
      </c>
      <c r="C27" s="21">
        <f>IF((--(Construction_Budget!F21="PASS")+--(Grant_Funding!F16="PASS")+--(Grant_Funding!F17="PASS")+--(Homes_Passed!F38="PASS")+--(Take_Rate_Customers!F38="PASS")+--(Revenue!F38="PASS")+--(Operating_Expenses!F38="PASS")+--(Capital_Replacement!F38="PASS")+--(Revenue_Share_Options!F38="PASS")+--(Annual_Cash_Flow!F38="PASS")+--(Consolidated_Project!F41="PASS")+--(Case_Engine!F112="PASS"))=12,"ALL CHECKS PASS","REVIEW — SEE FAILED CHECKS")</f>
        <v/>
      </c>
      <c r="D27" s="14" t="n"/>
    </row>
  </sheetData>
  <mergeCells count="5">
    <mergeCell ref="A2:F2"/>
    <mergeCell ref="A1:F1"/>
    <mergeCell ref="C27:D27"/>
    <mergeCell ref="C9:D9"/>
    <mergeCell ref="A3:F3"/>
  </mergeCells>
  <conditionalFormatting sqref="C27">
    <cfRule type="expression" priority="1" dxfId="0" stopIfTrue="1">
      <formula>ISNUMBER(SEARCH("PASS",C27))</formula>
    </cfRule>
    <cfRule type="expression" priority="2" dxfId="1">
      <formula>NOT(ISNUMBER(SEARCH("PASS",C27)))</formula>
    </cfRule>
  </conditionalFormatting>
  <conditionalFormatting sqref="F7">
    <cfRule type="expression" priority="3" dxfId="0" stopIfTrue="1">
      <formula>ISNUMBER(SEARCH("PASS",F7))</formula>
    </cfRule>
    <cfRule type="expression" priority="4" dxfId="1">
      <formula>NOT(ISNUMBER(SEARCH("PASS",F7)))</formula>
    </cfRule>
  </conditionalFormatting>
  <conditionalFormatting sqref="F8">
    <cfRule type="expression" priority="5" dxfId="0" stopIfTrue="1">
      <formula>ISNUMBER(SEARCH("PASS",F8))</formula>
    </cfRule>
    <cfRule type="expression" priority="6" dxfId="1">
      <formula>NOT(ISNUMBER(SEARCH("PASS",F8)))</formula>
    </cfRule>
  </conditionalFormatting>
  <conditionalFormatting sqref="F9">
    <cfRule type="expression" priority="7" dxfId="0" stopIfTrue="1">
      <formula>ISNUMBER(SEARCH("PASS",F9))</formula>
    </cfRule>
    <cfRule type="expression" priority="8" dxfId="1">
      <formula>NOT(ISNUMBER(SEARCH("PASS",F9)))</formula>
    </cfRule>
  </conditionalFormatting>
  <conditionalFormatting sqref="F10">
    <cfRule type="expression" priority="9" dxfId="0" stopIfTrue="1">
      <formula>ISNUMBER(SEARCH("PASS",F10))</formula>
    </cfRule>
    <cfRule type="expression" priority="10" dxfId="1">
      <formula>NOT(ISNUMBER(SEARCH("PASS",F10)))</formula>
    </cfRule>
  </conditionalFormatting>
  <conditionalFormatting sqref="F11">
    <cfRule type="expression" priority="11" dxfId="0" stopIfTrue="1">
      <formula>ISNUMBER(SEARCH("PASS",F11))</formula>
    </cfRule>
    <cfRule type="expression" priority="12" dxfId="1">
      <formula>NOT(ISNUMBER(SEARCH("PASS",F11)))</formula>
    </cfRule>
  </conditionalFormatting>
  <conditionalFormatting sqref="F12">
    <cfRule type="expression" priority="13" dxfId="0" stopIfTrue="1">
      <formula>ISNUMBER(SEARCH("PASS",F12))</formula>
    </cfRule>
    <cfRule type="expression" priority="14" dxfId="1">
      <formula>NOT(ISNUMBER(SEARCH("PASS",F12)))</formula>
    </cfRule>
  </conditionalFormatting>
  <conditionalFormatting sqref="F13">
    <cfRule type="expression" priority="15" dxfId="0" stopIfTrue="1">
      <formula>ISNUMBER(SEARCH("PASS",F13))</formula>
    </cfRule>
    <cfRule type="expression" priority="16" dxfId="1">
      <formula>NOT(ISNUMBER(SEARCH("PASS",F13)))</formula>
    </cfRule>
  </conditionalFormatting>
  <conditionalFormatting sqref="F14">
    <cfRule type="expression" priority="17" dxfId="0" stopIfTrue="1">
      <formula>ISNUMBER(SEARCH("PASS",F14))</formula>
    </cfRule>
    <cfRule type="expression" priority="18" dxfId="1">
      <formula>NOT(ISNUMBER(SEARCH("PASS",F14)))</formula>
    </cfRule>
  </conditionalFormatting>
  <conditionalFormatting sqref="F15">
    <cfRule type="expression" priority="19" dxfId="0" stopIfTrue="1">
      <formula>ISNUMBER(SEARCH("PASS",F15))</formula>
    </cfRule>
    <cfRule type="expression" priority="20" dxfId="1">
      <formula>NOT(ISNUMBER(SEARCH("PASS",F15)))</formula>
    </cfRule>
  </conditionalFormatting>
  <conditionalFormatting sqref="F16">
    <cfRule type="expression" priority="21" dxfId="0" stopIfTrue="1">
      <formula>ISNUMBER(SEARCH("PASS",F16))</formula>
    </cfRule>
    <cfRule type="expression" priority="22" dxfId="1">
      <formula>NOT(ISNUMBER(SEARCH("PASS",F16)))</formula>
    </cfRule>
  </conditionalFormatting>
  <conditionalFormatting sqref="F17">
    <cfRule type="expression" priority="23" dxfId="0" stopIfTrue="1">
      <formula>ISNUMBER(SEARCH("PASS",F17))</formula>
    </cfRule>
    <cfRule type="expression" priority="24" dxfId="1">
      <formula>NOT(ISNUMBER(SEARCH("PASS",F17)))</formula>
    </cfRule>
  </conditionalFormatting>
  <conditionalFormatting sqref="F18">
    <cfRule type="expression" priority="25" dxfId="0" stopIfTrue="1">
      <formula>ISNUMBER(SEARCH("PASS",F18))</formula>
    </cfRule>
    <cfRule type="expression" priority="26" dxfId="1">
      <formula>NOT(ISNUMBER(SEARCH("PASS",F18)))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ASSUMPTIONS — All Editable Input Drivers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Amber cells are INPUTS you may edit. Blue cells are FORMULAS (do not edit).</t>
        </is>
      </c>
    </row>
    <row r="4">
      <c r="A4" s="5" t="inlineStr">
        <is>
          <t>Legend:</t>
        </is>
      </c>
      <c r="B4" s="6" t="inlineStr">
        <is>
          <t>INPUT (edit these)</t>
        </is>
      </c>
      <c r="C4" s="7" t="inlineStr">
        <is>
          <t>FORMULA (do not edit)</t>
        </is>
      </c>
      <c r="D4" s="8" t="inlineStr">
        <is>
          <t>OUTPUT / RESULT</t>
        </is>
      </c>
    </row>
    <row r="6">
      <c r="B6" s="10" t="inlineStr">
        <is>
          <t>MODEL SWITCHES</t>
        </is>
      </c>
      <c r="C6" s="10" t="n"/>
      <c r="D6" s="10" t="n"/>
      <c r="E6" s="10" t="n"/>
      <c r="F6" s="10" t="n"/>
      <c r="G6" s="10" t="n"/>
    </row>
    <row r="7">
      <c r="B7" s="11" t="inlineStr">
        <is>
          <t>Scenario switch  (1 = Low, 2 = Base, 3 = High)</t>
        </is>
      </c>
      <c r="C7" s="22" t="n">
        <v>2</v>
      </c>
      <c r="D7" s="12">
        <f>CHOOSE($C$7,"LOW","BASE","HIGH")</f>
        <v/>
      </c>
      <c r="G7" s="11" t="inlineStr">
        <is>
          <t>Drives every scenario-dependent driver via CHOOSE.</t>
        </is>
      </c>
    </row>
    <row r="8">
      <c r="B8" s="11" t="inlineStr">
        <is>
          <t>IRU term switch  (20 / 25 / 30 years — recommend 30)</t>
        </is>
      </c>
      <c r="C8" s="22" t="n">
        <v>30</v>
      </c>
      <c r="G8" s="11" t="inlineStr">
        <is>
          <t>Analysis horizon for NPV/IRR. Revenue &amp; payments beyond term = 0.</t>
        </is>
      </c>
    </row>
    <row r="9">
      <c r="B9" s="11" t="inlineStr">
        <is>
          <t>Revenue-share option switch  (1=A 2=B 3=C 4=D 5=E)</t>
        </is>
      </c>
      <c r="C9" s="22" t="n">
        <v>4</v>
      </c>
      <c r="D9" s="12">
        <f>CHOOSE($C$9,"A","B","C","D","E")</f>
        <v/>
      </c>
      <c r="G9" s="11" t="inlineStr">
        <is>
          <t>Recommended: D (Hybrid). All five computed side-by-side.</t>
        </is>
      </c>
    </row>
    <row r="10">
      <c r="B10" s="11" t="inlineStr">
        <is>
          <t>Active option name</t>
        </is>
      </c>
      <c r="C10" s="12">
        <f>CHOOSE($C$9,"A — Fixed Annual","B — % Gross Revenue","C — % Operating Cash Flow","D — Hybrid (Base + Share)","E — Holiday then Stepped")</f>
        <v/>
      </c>
      <c r="D10" s="23" t="n"/>
      <c r="E10" s="23" t="n"/>
      <c r="F10" s="23" t="n"/>
      <c r="G10" s="14" t="n"/>
    </row>
    <row r="12">
      <c r="B12" s="10" t="inlineStr">
        <is>
          <t>SCENARIO-DEPENDENT DRIVERS</t>
        </is>
      </c>
      <c r="C12" s="10" t="n"/>
      <c r="D12" s="10" t="n"/>
      <c r="E12" s="10" t="n"/>
      <c r="F12" s="10" t="n"/>
      <c r="G12" s="10" t="n"/>
    </row>
    <row r="13">
      <c r="B13" s="24" t="inlineStr">
        <is>
          <t>Driver</t>
        </is>
      </c>
      <c r="C13" s="24" t="inlineStr">
        <is>
          <t>Low</t>
        </is>
      </c>
      <c r="D13" s="24" t="inlineStr">
        <is>
          <t>Base</t>
        </is>
      </c>
      <c r="E13" s="24" t="inlineStr">
        <is>
          <t>High</t>
        </is>
      </c>
      <c r="F13" s="24" t="inlineStr">
        <is>
          <t>Active</t>
        </is>
      </c>
      <c r="G13" s="24" t="inlineStr">
        <is>
          <t>Units / Notes</t>
        </is>
      </c>
    </row>
    <row r="14">
      <c r="B14" s="11" t="inlineStr">
        <is>
          <t>Terminal take rate (net penetration)</t>
        </is>
      </c>
      <c r="C14" s="25" t="n">
        <v>0.35</v>
      </c>
      <c r="D14" s="25" t="n">
        <v>0.45</v>
      </c>
      <c r="E14" s="25" t="n">
        <v>0.55</v>
      </c>
      <c r="F14" s="16">
        <f>CHOOSE($C$7,$C$14,$D$14,$E$14)</f>
        <v/>
      </c>
      <c r="G14" s="11" t="inlineStr">
        <is>
          <t>% of homes passed</t>
        </is>
      </c>
    </row>
    <row r="15">
      <c r="B15" s="11" t="inlineStr">
        <is>
          <t>Take-rate ramp (years to terminal)</t>
        </is>
      </c>
      <c r="C15" s="22" t="n">
        <v>6</v>
      </c>
      <c r="D15" s="22" t="n">
        <v>5</v>
      </c>
      <c r="E15" s="22" t="n">
        <v>4</v>
      </c>
      <c r="F15" s="13">
        <f>CHOOSE($C$7,$C$15,$D$15,$E$15)</f>
        <v/>
      </c>
      <c r="G15" s="11" t="inlineStr">
        <is>
          <t>years</t>
        </is>
      </c>
    </row>
    <row r="16">
      <c r="B16" s="11" t="inlineStr">
        <is>
          <t>Residential ARPU (monthly)</t>
        </is>
      </c>
      <c r="C16" s="26" t="n">
        <v>65</v>
      </c>
      <c r="D16" s="26" t="n">
        <v>75</v>
      </c>
      <c r="E16" s="26" t="n">
        <v>85</v>
      </c>
      <c r="F16" s="15">
        <f>CHOOSE($C$7,$C$16,$D$16,$E$16)</f>
        <v/>
      </c>
      <c r="G16" s="11" t="inlineStr">
        <is>
          <t>$/sub/month</t>
        </is>
      </c>
    </row>
    <row r="17">
      <c r="B17" s="11" t="inlineStr">
        <is>
          <t>Business ARPU (monthly)</t>
        </is>
      </c>
      <c r="C17" s="26" t="n">
        <v>200</v>
      </c>
      <c r="D17" s="26" t="n">
        <v>250</v>
      </c>
      <c r="E17" s="26" t="n">
        <v>300</v>
      </c>
      <c r="F17" s="15">
        <f>CHOOSE($C$7,$C$17,$D$17,$E$17)</f>
        <v/>
      </c>
      <c r="G17" s="11" t="inlineStr">
        <is>
          <t>$/sub/month</t>
        </is>
      </c>
    </row>
    <row r="18">
      <c r="B18" s="11" t="inlineStr">
        <is>
          <t>Enterprise ARPU (monthly)</t>
        </is>
      </c>
      <c r="C18" s="26" t="n">
        <v>800</v>
      </c>
      <c r="D18" s="26" t="n">
        <v>1000</v>
      </c>
      <c r="E18" s="26" t="n">
        <v>1200</v>
      </c>
      <c r="F18" s="15">
        <f>CHOOSE($C$7,$C$18,$D$18,$E$18)</f>
        <v/>
      </c>
      <c r="G18" s="11" t="inlineStr">
        <is>
          <t>$/sub/month</t>
        </is>
      </c>
    </row>
    <row r="19">
      <c r="B19" s="11" t="inlineStr">
        <is>
          <t>Voice ARPU (monthly)</t>
        </is>
      </c>
      <c r="C19" s="26" t="n">
        <v>30</v>
      </c>
      <c r="D19" s="26" t="n">
        <v>35</v>
      </c>
      <c r="E19" s="26" t="n">
        <v>40</v>
      </c>
      <c r="F19" s="15">
        <f>CHOOSE($C$7,$C$19,$D$19,$E$19)</f>
        <v/>
      </c>
      <c r="G19" s="11" t="inlineStr">
        <is>
          <t>$/sub/month</t>
        </is>
      </c>
    </row>
    <row r="20">
      <c r="B20" s="11" t="inlineStr">
        <is>
          <t>Enterprise subscribers at maturity</t>
        </is>
      </c>
      <c r="C20" s="22" t="n">
        <v>15</v>
      </c>
      <c r="D20" s="22" t="n">
        <v>25</v>
      </c>
      <c r="E20" s="22" t="n">
        <v>40</v>
      </c>
      <c r="F20" s="13">
        <f>CHOOSE($C$7,$C$20,$D$20,$E$20)</f>
        <v/>
      </c>
      <c r="G20" s="11" t="inlineStr">
        <is>
          <t>count</t>
        </is>
      </c>
    </row>
    <row r="21">
      <c r="B21" s="11" t="inlineStr">
        <is>
          <t>Wholesale revenue at maturity (annual)</t>
        </is>
      </c>
      <c r="C21" s="26" t="n">
        <v>300000</v>
      </c>
      <c r="D21" s="26" t="n">
        <v>500000</v>
      </c>
      <c r="E21" s="26" t="n">
        <v>750000</v>
      </c>
      <c r="F21" s="15">
        <f>CHOOSE($C$7,$C$21,$D$21,$E$21)</f>
        <v/>
      </c>
      <c r="G21" s="11" t="inlineStr">
        <is>
          <t>$/year</t>
        </is>
      </c>
    </row>
    <row r="22">
      <c r="B22" s="11" t="inlineStr">
        <is>
          <t>Annual customer churn</t>
        </is>
      </c>
      <c r="C22" s="25" t="n">
        <v>0.18</v>
      </c>
      <c r="D22" s="25" t="n">
        <v>0.14</v>
      </c>
      <c r="E22" s="25" t="n">
        <v>0.1</v>
      </c>
      <c r="F22" s="16">
        <f>CHOOSE($C$7,$C$22,$D$22,$E$22)</f>
        <v/>
      </c>
      <c r="G22" s="11" t="inlineStr">
        <is>
          <t>% per year</t>
        </is>
      </c>
    </row>
    <row r="23">
      <c r="B23" s="11" t="inlineStr">
        <is>
          <t>Bad debt</t>
        </is>
      </c>
      <c r="C23" s="25" t="n">
        <v>0.025</v>
      </c>
      <c r="D23" s="25" t="n">
        <v>0.015</v>
      </c>
      <c r="E23" s="25" t="n">
        <v>0.01</v>
      </c>
      <c r="F23" s="16">
        <f>CHOOSE($C$7,$C$23,$D$23,$E$23)</f>
        <v/>
      </c>
      <c r="G23" s="11" t="inlineStr">
        <is>
          <t>% of recurring rev</t>
        </is>
      </c>
    </row>
    <row r="24">
      <c r="B24" s="11" t="inlineStr">
        <is>
          <t>Operating-cost inflation</t>
        </is>
      </c>
      <c r="C24" s="25" t="n">
        <v>0.035</v>
      </c>
      <c r="D24" s="25" t="n">
        <v>0.03</v>
      </c>
      <c r="E24" s="25" t="n">
        <v>0.025</v>
      </c>
      <c r="F24" s="16">
        <f>CHOOSE($C$7,$C$24,$D$24,$E$24)</f>
        <v/>
      </c>
      <c r="G24" s="11" t="inlineStr">
        <is>
          <t>% per year</t>
        </is>
      </c>
    </row>
    <row r="25">
      <c r="B25" s="11" t="inlineStr">
        <is>
          <t>Construction cost factor</t>
        </is>
      </c>
      <c r="C25" s="27" t="n">
        <v>1.15</v>
      </c>
      <c r="D25" s="27" t="n">
        <v>1</v>
      </c>
      <c r="E25" s="27" t="n">
        <v>0.9</v>
      </c>
      <c r="F25" s="28">
        <f>CHOOSE($C$7,$C$25,$D$25,$E$25)</f>
        <v/>
      </c>
      <c r="G25" s="11" t="inlineStr">
        <is>
          <t>x on budget (High=cheaper)</t>
        </is>
      </c>
    </row>
    <row r="27">
      <c r="B27" s="10" t="inlineStr">
        <is>
          <t>SINGLE INPUTS (not case-varying)</t>
        </is>
      </c>
      <c r="C27" s="10" t="n"/>
      <c r="D27" s="10" t="n"/>
      <c r="E27" s="10" t="n"/>
      <c r="F27" s="10" t="n"/>
      <c r="G27" s="10" t="n"/>
    </row>
    <row r="28">
      <c r="B28" s="24" t="inlineStr">
        <is>
          <t>Input</t>
        </is>
      </c>
      <c r="C28" s="24" t="inlineStr">
        <is>
          <t>Value</t>
        </is>
      </c>
      <c r="D28" s="24" t="inlineStr"/>
      <c r="E28" s="24" t="inlineStr"/>
      <c r="F28" s="24" t="inlineStr"/>
      <c r="G28" s="24" t="inlineStr">
        <is>
          <t>Units / Notes</t>
        </is>
      </c>
    </row>
    <row r="29">
      <c r="B29" s="11" t="inlineStr">
        <is>
          <t>TBCP grant amount (funds Tribal Assets)</t>
        </is>
      </c>
      <c r="C29" s="26" t="n">
        <v>25000000</v>
      </c>
      <c r="G29" s="11" t="inlineStr">
        <is>
          <t>$ (placeholder $25M)</t>
        </is>
      </c>
    </row>
    <row r="30">
      <c r="B30" s="11" t="inlineStr">
        <is>
          <t>Homes passed (total)</t>
        </is>
      </c>
      <c r="C30" s="22" t="n">
        <v>8500</v>
      </c>
      <c r="G30" s="11" t="inlineStr">
        <is>
          <t>premises (placeholder 8,500)</t>
        </is>
      </c>
    </row>
    <row r="31">
      <c r="B31" s="11" t="inlineStr">
        <is>
          <t>Build-out period</t>
        </is>
      </c>
      <c r="C31" s="22" t="n">
        <v>3</v>
      </c>
      <c r="G31" s="11" t="inlineStr">
        <is>
          <t>years to complete homes passed</t>
        </is>
      </c>
    </row>
    <row r="32">
      <c r="B32" s="11" t="inlineStr">
        <is>
          <t>Business penetration</t>
        </is>
      </c>
      <c r="C32" s="25" t="n">
        <v>0.04</v>
      </c>
      <c r="G32" s="11" t="inlineStr">
        <is>
          <t>% of homes passed</t>
        </is>
      </c>
    </row>
    <row r="33">
      <c r="B33" s="11" t="inlineStr">
        <is>
          <t>Voice attach rate</t>
        </is>
      </c>
      <c r="C33" s="25" t="n">
        <v>0.4</v>
      </c>
      <c r="G33" s="11" t="inlineStr">
        <is>
          <t>% of residential subs</t>
        </is>
      </c>
    </row>
    <row r="34">
      <c r="B34" s="11" t="inlineStr">
        <is>
          <t>Installation fee (one-time)</t>
        </is>
      </c>
      <c r="C34" s="26" t="n">
        <v>100</v>
      </c>
      <c r="G34" s="11" t="inlineStr">
        <is>
          <t>$/new connect</t>
        </is>
      </c>
    </row>
    <row r="35">
      <c r="B35" s="11" t="inlineStr">
        <is>
          <t>ARPU / price escalation</t>
        </is>
      </c>
      <c r="C35" s="25" t="n">
        <v>0.02</v>
      </c>
      <c r="G35" s="11" t="inlineStr">
        <is>
          <t>% per year (set 0 to disable)</t>
        </is>
      </c>
    </row>
    <row r="36">
      <c r="B36" s="11" t="inlineStr">
        <is>
          <t>Network operations cost</t>
        </is>
      </c>
      <c r="C36" s="26" t="n">
        <v>120</v>
      </c>
      <c r="G36" s="11" t="inlineStr">
        <is>
          <t>$/subscriber/year</t>
        </is>
      </c>
    </row>
    <row r="37">
      <c r="B37" s="11" t="inlineStr">
        <is>
          <t>Network maintenance</t>
        </is>
      </c>
      <c r="C37" s="25" t="n">
        <v>0.03</v>
      </c>
      <c r="G37" s="11" t="inlineStr">
        <is>
          <t>% of construction cost/yr</t>
        </is>
      </c>
    </row>
    <row r="38">
      <c r="B38" s="11" t="inlineStr">
        <is>
          <t>Staffing headcount</t>
        </is>
      </c>
      <c r="C38" s="22" t="n">
        <v>12</v>
      </c>
      <c r="G38" s="11" t="inlineStr">
        <is>
          <t>FTEs</t>
        </is>
      </c>
    </row>
    <row r="39">
      <c r="B39" s="11" t="inlineStr">
        <is>
          <t>Loaded cost per FTE</t>
        </is>
      </c>
      <c r="C39" s="26" t="n">
        <v>85000</v>
      </c>
      <c r="G39" s="11" t="inlineStr">
        <is>
          <t>$/FTE/year</t>
        </is>
      </c>
    </row>
    <row r="40">
      <c r="B40" s="11" t="inlineStr">
        <is>
          <t>Marketing</t>
        </is>
      </c>
      <c r="C40" s="25" t="n">
        <v>0.06</v>
      </c>
      <c r="G40" s="11" t="inlineStr">
        <is>
          <t>% of gross revenue</t>
        </is>
      </c>
    </row>
    <row r="41">
      <c r="B41" s="11" t="inlineStr">
        <is>
          <t>G&amp;A / overhead</t>
        </is>
      </c>
      <c r="C41" s="25" t="n">
        <v>0.08</v>
      </c>
      <c r="G41" s="11" t="inlineStr">
        <is>
          <t>% of gross revenue</t>
        </is>
      </c>
    </row>
    <row r="42">
      <c r="B42" s="11" t="inlineStr">
        <is>
          <t>Electronics replacement cycle</t>
        </is>
      </c>
      <c r="C42" s="22" t="n">
        <v>7</v>
      </c>
      <c r="G42" s="11" t="inlineStr">
        <is>
          <t>years</t>
        </is>
      </c>
    </row>
    <row r="43">
      <c r="B43" s="11" t="inlineStr">
        <is>
          <t>Capital-replacement reserve</t>
        </is>
      </c>
      <c r="C43" s="25" t="n">
        <v>0.04</v>
      </c>
      <c r="G43" s="11" t="inlineStr">
        <is>
          <t>% of gross revenue</t>
        </is>
      </c>
    </row>
    <row r="44">
      <c r="B44" s="11" t="inlineStr">
        <is>
          <t>Discount rate (NPV)</t>
        </is>
      </c>
      <c r="C44" s="25" t="n">
        <v>0.09</v>
      </c>
      <c r="G44" s="11" t="inlineStr">
        <is>
          <t>% WACC/hurdle</t>
        </is>
      </c>
    </row>
    <row r="45">
      <c r="B45" s="11" t="inlineStr">
        <is>
          <t>RIVR Tech upfront investment</t>
        </is>
      </c>
      <c r="C45" s="26" t="n">
        <v>2000000</v>
      </c>
      <c r="G45" s="11" t="inlineStr">
        <is>
          <t>$ (electronics/integration/WC)</t>
        </is>
      </c>
    </row>
    <row r="46">
      <c r="B46" s="11" t="inlineStr">
        <is>
          <t>Reserved-capacity value to Lumbee Tribe</t>
        </is>
      </c>
      <c r="C46" s="26" t="n">
        <v>150000</v>
      </c>
      <c r="G46" s="11" t="inlineStr">
        <is>
          <t>$/yr in-kind (memo)</t>
        </is>
      </c>
    </row>
    <row r="48">
      <c r="B48" s="10" t="inlineStr">
        <is>
          <t>REVENUE-SHARE OPTION INPUTS</t>
        </is>
      </c>
      <c r="C48" s="10" t="n"/>
      <c r="D48" s="10" t="n"/>
      <c r="E48" s="10" t="n"/>
      <c r="F48" s="10" t="n"/>
      <c r="G48" s="10" t="n"/>
    </row>
    <row r="49">
      <c r="B49" s="11" t="inlineStr">
        <is>
          <t>Option A — fixed annual payment</t>
        </is>
      </c>
      <c r="C49" s="26" t="n">
        <v>500000</v>
      </c>
      <c r="G49" s="11" t="inlineStr">
        <is>
          <t>$/yr (escalated)</t>
        </is>
      </c>
    </row>
    <row r="50">
      <c r="B50" s="11" t="inlineStr">
        <is>
          <t>Option A — annual escalator</t>
        </is>
      </c>
      <c r="C50" s="25" t="n">
        <v>0.02</v>
      </c>
      <c r="G50" s="11" t="inlineStr">
        <is>
          <t>% per year</t>
        </is>
      </c>
    </row>
    <row r="51">
      <c r="B51" s="11" t="inlineStr">
        <is>
          <t>Option B — share of gross revenue</t>
        </is>
      </c>
      <c r="C51" s="25" t="n">
        <v>0.05</v>
      </c>
      <c r="G51" s="11" t="inlineStr">
        <is>
          <t>% (placeholder 5%)</t>
        </is>
      </c>
    </row>
    <row r="52">
      <c r="B52" s="11" t="inlineStr">
        <is>
          <t>Option C — share of operating cash flow</t>
        </is>
      </c>
      <c r="C52" s="25" t="n">
        <v>0.2</v>
      </c>
      <c r="G52" s="11" t="inlineStr">
        <is>
          <t>% (placeholder 20%)</t>
        </is>
      </c>
    </row>
    <row r="53">
      <c r="B53" s="11" t="inlineStr">
        <is>
          <t>Option D — hybrid fixed base</t>
        </is>
      </c>
      <c r="C53" s="26" t="n">
        <v>250000</v>
      </c>
      <c r="G53" s="11" t="inlineStr">
        <is>
          <t>$/yr</t>
        </is>
      </c>
    </row>
    <row r="54">
      <c r="B54" s="11" t="inlineStr">
        <is>
          <t>Option D — hybrid revenue share</t>
        </is>
      </c>
      <c r="C54" s="25" t="n">
        <v>0.025</v>
      </c>
      <c r="G54" s="11" t="inlineStr">
        <is>
          <t>% of gross revenue</t>
        </is>
      </c>
    </row>
    <row r="55">
      <c r="B55" s="11" t="inlineStr">
        <is>
          <t>Option E — payment-holiday period</t>
        </is>
      </c>
      <c r="C55" s="22" t="n">
        <v>2</v>
      </c>
      <c r="G55" s="11" t="inlineStr">
        <is>
          <t>years at $0</t>
        </is>
      </c>
    </row>
    <row r="56">
      <c r="B56" s="11" t="inlineStr">
        <is>
          <t>Option E — first payment after holiday</t>
        </is>
      </c>
      <c r="C56" s="26" t="n">
        <v>300000</v>
      </c>
      <c r="G56" s="11" t="inlineStr">
        <is>
          <t>$/yr</t>
        </is>
      </c>
    </row>
    <row r="57">
      <c r="B57" s="11" t="inlineStr">
        <is>
          <t>Option E — annual step-up</t>
        </is>
      </c>
      <c r="C57" s="25" t="n">
        <v>0.05</v>
      </c>
      <c r="G57" s="11" t="inlineStr">
        <is>
          <t>% per year</t>
        </is>
      </c>
    </row>
  </sheetData>
  <mergeCells count="4">
    <mergeCell ref="C10:G10"/>
    <mergeCell ref="A3:H3"/>
    <mergeCell ref="A2:H2"/>
    <mergeCell ref="A1:H1"/>
  </mergeCells>
  <dataValidations count="3">
    <dataValidation sqref="C7" showDropDown="0" showInputMessage="0" showErrorMessage="0" allowBlank="0" type="whole" operator="between">
      <formula1>1</formula1>
      <formula2>3</formula2>
    </dataValidation>
    <dataValidation sqref="C8" showDropDown="0" showInputMessage="0" showErrorMessage="0" allowBlank="0" type="list">
      <formula1>"20,25,30"</formula1>
    </dataValidation>
    <dataValidation sqref="C9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2" max="2"/>
    <col width="14" customWidth="1" min="3" max="3"/>
    <col width="16" customWidth="1" min="4" max="4"/>
    <col width="18" customWidth="1" min="5" max="5"/>
    <col width="40" customWidth="1" min="6" max="6"/>
  </cols>
  <sheetData>
    <row r="1">
      <c r="A1" s="1" t="inlineStr">
        <is>
          <t>CONSTRUCTION BUDGET — Capital Line Items (Year 0)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Qty x Unit Cost = Extended. Construction cost factor (scenario) applied to the total.</t>
        </is>
      </c>
    </row>
    <row r="5">
      <c r="B5" s="24" t="inlineStr">
        <is>
          <t>Capital Line Item</t>
        </is>
      </c>
      <c r="C5" s="24" t="inlineStr">
        <is>
          <t>Quantity</t>
        </is>
      </c>
      <c r="D5" s="24" t="inlineStr">
        <is>
          <t>Unit Cost</t>
        </is>
      </c>
      <c r="E5" s="24" t="inlineStr">
        <is>
          <t>Extended</t>
        </is>
      </c>
      <c r="F5" s="24" t="inlineStr">
        <is>
          <t>Notes</t>
        </is>
      </c>
    </row>
    <row r="6">
      <c r="B6" s="11" t="inlineStr">
        <is>
          <t>Outside-plant (OSP) fiber</t>
        </is>
      </c>
      <c r="C6" s="22" t="n">
        <v>250</v>
      </c>
      <c r="D6" s="26" t="n">
        <v>45000</v>
      </c>
      <c r="E6" s="15">
        <f>$C6*$D6</f>
        <v/>
      </c>
      <c r="F6" s="11" t="inlineStr">
        <is>
          <t>route miles x $/mi</t>
        </is>
      </c>
    </row>
    <row r="7">
      <c r="B7" s="11" t="inlineStr">
        <is>
          <t>Conduit / directional bore</t>
        </is>
      </c>
      <c r="C7" s="22" t="n">
        <v>80</v>
      </c>
      <c r="D7" s="26" t="n">
        <v>30000</v>
      </c>
      <c r="E7" s="15">
        <f>$C7*$D7</f>
        <v/>
      </c>
      <c r="F7" s="11" t="inlineStr">
        <is>
          <t>miles x $/mi</t>
        </is>
      </c>
    </row>
    <row r="8">
      <c r="B8" s="11" t="inlineStr">
        <is>
          <t>Electronics (OLT / aggregation / core)</t>
        </is>
      </c>
      <c r="C8" s="22" t="n">
        <v>1</v>
      </c>
      <c r="D8" s="26" t="n">
        <v>4000000</v>
      </c>
      <c r="E8" s="15">
        <f>$C8*$D8</f>
        <v/>
      </c>
      <c r="F8" s="11" t="inlineStr">
        <is>
          <t>lump — basis for replacement cycle</t>
        </is>
      </c>
    </row>
    <row r="9">
      <c r="B9" s="11" t="inlineStr">
        <is>
          <t>Fiber huts / cabinets / power</t>
        </is>
      </c>
      <c r="C9" s="22" t="n">
        <v>25</v>
      </c>
      <c r="D9" s="26" t="n">
        <v>60000</v>
      </c>
      <c r="E9" s="15">
        <f>$C9*$D9</f>
        <v/>
      </c>
      <c r="F9" s="11" t="inlineStr">
        <is>
          <t>sites x $/site</t>
        </is>
      </c>
    </row>
    <row r="10">
      <c r="B10" s="11" t="inlineStr">
        <is>
          <t>Service drops</t>
        </is>
      </c>
      <c r="C10" s="22" t="n">
        <v>3825</v>
      </c>
      <c r="D10" s="26" t="n">
        <v>650</v>
      </c>
      <c r="E10" s="15">
        <f>$C10*$D10</f>
        <v/>
      </c>
      <c r="F10" s="11" t="inlineStr">
        <is>
          <t>connects x $/drop</t>
        </is>
      </c>
    </row>
    <row r="11">
      <c r="B11" s="11" t="inlineStr">
        <is>
          <t>Engineering &amp; design</t>
        </is>
      </c>
      <c r="C11" s="22" t="n">
        <v>1</v>
      </c>
      <c r="D11" s="26" t="n">
        <v>1500000</v>
      </c>
      <c r="E11" s="15">
        <f>$C11*$D11</f>
        <v/>
      </c>
      <c r="F11" s="11" t="inlineStr">
        <is>
          <t>lump</t>
        </is>
      </c>
    </row>
    <row r="12">
      <c r="B12" s="11" t="inlineStr">
        <is>
          <t>Permitting, make-ready &amp; pole attach</t>
        </is>
      </c>
      <c r="C12" s="22" t="n">
        <v>1</v>
      </c>
      <c r="D12" s="26" t="n">
        <v>1200000</v>
      </c>
      <c r="E12" s="15">
        <f>$C12*$D12</f>
        <v/>
      </c>
      <c r="F12" s="11" t="inlineStr">
        <is>
          <t>lump</t>
        </is>
      </c>
    </row>
    <row r="13">
      <c r="B13" s="20" t="inlineStr">
        <is>
          <t>Subtotal (direct construction)</t>
        </is>
      </c>
      <c r="E13" s="29">
        <f>SUM($E6:$E12)</f>
        <v/>
      </c>
    </row>
    <row r="14">
      <c r="B14" s="11" t="inlineStr">
        <is>
          <t>Contingency</t>
        </is>
      </c>
      <c r="C14" s="25" t="n">
        <v>0.1</v>
      </c>
      <c r="E14" s="15">
        <f>$C14*$E13</f>
        <v/>
      </c>
    </row>
    <row r="15">
      <c r="B15" s="20" t="inlineStr">
        <is>
          <t>Subtotal + contingency</t>
        </is>
      </c>
      <c r="E15" s="29">
        <f>$E13+$E14</f>
        <v/>
      </c>
    </row>
    <row r="16">
      <c r="B16" s="11" t="inlineStr">
        <is>
          <t>Construction cost factor (active scenario)</t>
        </is>
      </c>
      <c r="E16" s="28">
        <f>Assumptions!$F$25</f>
        <v/>
      </c>
    </row>
    <row r="17">
      <c r="B17" s="21" t="inlineStr">
        <is>
          <t>TOTAL CONSTRUCTION COST</t>
        </is>
      </c>
      <c r="E17" s="17">
        <f>$E15*$E16</f>
        <v/>
      </c>
    </row>
    <row r="19">
      <c r="B19" s="11" t="inlineStr">
        <is>
          <t>Electronics replacement basis (factored)</t>
        </is>
      </c>
      <c r="E19" s="15">
        <f>Construction_Budget!$E$8*Construction_Budget!$E$16</f>
        <v/>
      </c>
    </row>
    <row r="21">
      <c r="B21" s="30" t="inlineStr">
        <is>
          <t>CHECK: no #REF / all line items numeric</t>
        </is>
      </c>
      <c r="F21" s="31">
        <f>IF(ISNUMBER($E17),"PASS","FAIL")</f>
        <v/>
      </c>
    </row>
  </sheetData>
  <autoFilter ref="B5:F5"/>
  <mergeCells count="3">
    <mergeCell ref="A3:H3"/>
    <mergeCell ref="A2:H2"/>
    <mergeCell ref="A1:H1"/>
  </mergeCells>
  <conditionalFormatting sqref="F21">
    <cfRule type="expression" priority="1" dxfId="0" stopIfTrue="1">
      <formula>ISNUMBER(SEARCH("PASS",F21))</formula>
    </cfRule>
    <cfRule type="expression" priority="2" dxfId="1">
      <formula>NOT(ISNUMBER(SEARCH("PASS",F21)))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  <col width="18" customWidth="1" min="3" max="3"/>
    <col width="40" customWidth="1" min="4" max="4"/>
  </cols>
  <sheetData>
    <row r="1">
      <c r="A1" s="1" t="inlineStr">
        <is>
          <t>GRANT FUNDING — Sources &amp; Uses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TBCP funds the Tribal Assets. TBCP does not require non-federal match. Sources must equal Uses.</t>
        </is>
      </c>
    </row>
    <row r="5">
      <c r="B5" s="24" t="inlineStr">
        <is>
          <t>Sources &amp; Uses</t>
        </is>
      </c>
      <c r="C5" s="24" t="inlineStr">
        <is>
          <t>Amount</t>
        </is>
      </c>
      <c r="D5" s="24" t="inlineStr">
        <is>
          <t>Notes</t>
        </is>
      </c>
    </row>
    <row r="6">
      <c r="B6" s="10" t="inlineStr">
        <is>
          <t>SOURCES</t>
        </is>
      </c>
      <c r="C6" s="10" t="n"/>
      <c r="D6" s="10" t="n"/>
    </row>
    <row r="7">
      <c r="B7" s="11" t="inlineStr">
        <is>
          <t>TBCP federal grant</t>
        </is>
      </c>
      <c r="C7" s="15">
        <f>Assumptions!$C$29</f>
        <v/>
      </c>
      <c r="D7" s="11" t="inlineStr">
        <is>
          <t>Placeholder $25,000,000 — funds Tribal Assets</t>
        </is>
      </c>
    </row>
    <row r="8">
      <c r="B8" s="11" t="inlineStr">
        <is>
          <t>Non-federal match (not required by TBCP)</t>
        </is>
      </c>
      <c r="C8" s="26" t="n">
        <v>0</v>
      </c>
      <c r="D8" s="11" t="inlineStr">
        <is>
          <t>Editable — TBCP Round 3 requires no match</t>
        </is>
      </c>
    </row>
    <row r="9">
      <c r="B9" s="21" t="inlineStr">
        <is>
          <t>TOTAL SOURCES</t>
        </is>
      </c>
      <c r="C9" s="17">
        <f>SUM($C7:$C8)</f>
        <v/>
      </c>
    </row>
    <row r="11">
      <c r="B11" s="10" t="inlineStr">
        <is>
          <t>USES</t>
        </is>
      </c>
      <c r="C11" s="10" t="n"/>
      <c r="D11" s="10" t="n"/>
    </row>
    <row r="12">
      <c r="B12" s="11" t="inlineStr">
        <is>
          <t>Total construction cost</t>
        </is>
      </c>
      <c r="C12" s="15">
        <f>Construction_Budget!$E$17</f>
        <v/>
      </c>
      <c r="D12" s="11" t="inlineStr">
        <is>
          <t>From Construction_Budget</t>
        </is>
      </c>
    </row>
    <row r="13">
      <c r="B13" s="11" t="inlineStr">
        <is>
          <t>Surplus / (funding gap) plug</t>
        </is>
      </c>
      <c r="C13" s="15">
        <f>$C9-$C12</f>
        <v/>
      </c>
      <c r="D13" s="11" t="inlineStr">
        <is>
          <t>Positive = surplus for contingency; negative = gap (flag)</t>
        </is>
      </c>
    </row>
    <row r="14">
      <c r="B14" s="21" t="inlineStr">
        <is>
          <t>TOTAL USES</t>
        </is>
      </c>
      <c r="C14" s="17">
        <f>SUM($C12:$C13)</f>
        <v/>
      </c>
    </row>
    <row r="16">
      <c r="B16" s="30" t="inlineStr">
        <is>
          <t>CHECK: Sources = Uses (reconciles)</t>
        </is>
      </c>
      <c r="F16" s="31">
        <f>IF(ABS($C9-$C14)&lt;1,"PASS","FAIL")</f>
        <v/>
      </c>
    </row>
    <row r="17">
      <c r="B17" s="30" t="inlineStr">
        <is>
          <t>CHECK: Uses do not exceed grant sources (no funding gap)</t>
        </is>
      </c>
      <c r="F17" s="31">
        <f>IF($C9&gt;=$C12,"PASS","FAIL — FUNDING GAP")</f>
        <v/>
      </c>
    </row>
  </sheetData>
  <autoFilter ref="B5:D5"/>
  <mergeCells count="3">
    <mergeCell ref="A3:H3"/>
    <mergeCell ref="A2:H2"/>
    <mergeCell ref="A1:H1"/>
  </mergeCells>
  <conditionalFormatting sqref="F16">
    <cfRule type="expression" priority="1" dxfId="0" stopIfTrue="1">
      <formula>ISNUMBER(SEARCH("PASS",F16))</formula>
    </cfRule>
    <cfRule type="expression" priority="2" dxfId="1">
      <formula>NOT(ISNUMBER(SEARCH("PASS",F16)))</formula>
    </cfRule>
  </conditionalFormatting>
  <conditionalFormatting sqref="F17">
    <cfRule type="expression" priority="3" dxfId="0" stopIfTrue="1">
      <formula>ISNUMBER(SEARCH("PASS",F17))</formula>
    </cfRule>
    <cfRule type="expression" priority="4" dxfId="1">
      <formula>NOT(ISNUMBER(SEARCH("PASS",F17)))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2" max="2"/>
    <col width="20" customWidth="1" min="3" max="3"/>
    <col width="16" customWidth="1" min="4" max="4"/>
  </cols>
  <sheetData>
    <row r="1">
      <c r="A1" s="1" t="inlineStr">
        <is>
          <t>HOMES PASSED — Build-out Schedule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Year 0 = construction. Serviceable homes ramp over the build-out period.</t>
        </is>
      </c>
    </row>
    <row r="5">
      <c r="A5" s="24" t="inlineStr">
        <is>
          <t>Year</t>
        </is>
      </c>
      <c r="B5" s="24" t="inlineStr">
        <is>
          <t>Homes Passed (cum.)</t>
        </is>
      </c>
      <c r="C5" s="24" t="inlineStr">
        <is>
          <t>New Homes Passed</t>
        </is>
      </c>
      <c r="D5" s="24" t="inlineStr">
        <is>
          <t>% Complete</t>
        </is>
      </c>
    </row>
    <row r="6">
      <c r="A6" s="32" t="n">
        <v>0</v>
      </c>
      <c r="B6" s="13" t="n">
        <v>0</v>
      </c>
      <c r="C6" s="13">
        <f>$B6-0</f>
        <v/>
      </c>
      <c r="D6" s="16">
        <f>$B6/Assumptions!$C$30</f>
        <v/>
      </c>
    </row>
    <row r="7">
      <c r="A7" s="32" t="n">
        <v>1</v>
      </c>
      <c r="B7" s="13">
        <f>Assumptions!$C$30*MIN(1,$A7/Assumptions!$C$31)</f>
        <v/>
      </c>
      <c r="C7" s="13">
        <f>$B7-$B6</f>
        <v/>
      </c>
      <c r="D7" s="16">
        <f>$B7/Assumptions!$C$30</f>
        <v/>
      </c>
    </row>
    <row r="8">
      <c r="A8" s="32" t="n">
        <v>2</v>
      </c>
      <c r="B8" s="13">
        <f>Assumptions!$C$30*MIN(1,$A8/Assumptions!$C$31)</f>
        <v/>
      </c>
      <c r="C8" s="13">
        <f>$B8-$B7</f>
        <v/>
      </c>
      <c r="D8" s="16">
        <f>$B8/Assumptions!$C$30</f>
        <v/>
      </c>
    </row>
    <row r="9">
      <c r="A9" s="32" t="n">
        <v>3</v>
      </c>
      <c r="B9" s="13">
        <f>Assumptions!$C$30*MIN(1,$A9/Assumptions!$C$31)</f>
        <v/>
      </c>
      <c r="C9" s="13">
        <f>$B9-$B8</f>
        <v/>
      </c>
      <c r="D9" s="16">
        <f>$B9/Assumptions!$C$30</f>
        <v/>
      </c>
    </row>
    <row r="10">
      <c r="A10" s="32" t="n">
        <v>4</v>
      </c>
      <c r="B10" s="13">
        <f>Assumptions!$C$30*MIN(1,$A10/Assumptions!$C$31)</f>
        <v/>
      </c>
      <c r="C10" s="13">
        <f>$B10-$B9</f>
        <v/>
      </c>
      <c r="D10" s="16">
        <f>$B10/Assumptions!$C$30</f>
        <v/>
      </c>
    </row>
    <row r="11">
      <c r="A11" s="32" t="n">
        <v>5</v>
      </c>
      <c r="B11" s="13">
        <f>Assumptions!$C$30*MIN(1,$A11/Assumptions!$C$31)</f>
        <v/>
      </c>
      <c r="C11" s="13">
        <f>$B11-$B10</f>
        <v/>
      </c>
      <c r="D11" s="16">
        <f>$B11/Assumptions!$C$30</f>
        <v/>
      </c>
    </row>
    <row r="12">
      <c r="A12" s="32" t="n">
        <v>6</v>
      </c>
      <c r="B12" s="13">
        <f>Assumptions!$C$30*MIN(1,$A12/Assumptions!$C$31)</f>
        <v/>
      </c>
      <c r="C12" s="13">
        <f>$B12-$B11</f>
        <v/>
      </c>
      <c r="D12" s="16">
        <f>$B12/Assumptions!$C$30</f>
        <v/>
      </c>
    </row>
    <row r="13">
      <c r="A13" s="32" t="n">
        <v>7</v>
      </c>
      <c r="B13" s="13">
        <f>Assumptions!$C$30*MIN(1,$A13/Assumptions!$C$31)</f>
        <v/>
      </c>
      <c r="C13" s="13">
        <f>$B13-$B12</f>
        <v/>
      </c>
      <c r="D13" s="16">
        <f>$B13/Assumptions!$C$30</f>
        <v/>
      </c>
    </row>
    <row r="14">
      <c r="A14" s="32" t="n">
        <v>8</v>
      </c>
      <c r="B14" s="13">
        <f>Assumptions!$C$30*MIN(1,$A14/Assumptions!$C$31)</f>
        <v/>
      </c>
      <c r="C14" s="13">
        <f>$B14-$B13</f>
        <v/>
      </c>
      <c r="D14" s="16">
        <f>$B14/Assumptions!$C$30</f>
        <v/>
      </c>
    </row>
    <row r="15">
      <c r="A15" s="32" t="n">
        <v>9</v>
      </c>
      <c r="B15" s="13">
        <f>Assumptions!$C$30*MIN(1,$A15/Assumptions!$C$31)</f>
        <v/>
      </c>
      <c r="C15" s="13">
        <f>$B15-$B14</f>
        <v/>
      </c>
      <c r="D15" s="16">
        <f>$B15/Assumptions!$C$30</f>
        <v/>
      </c>
    </row>
    <row r="16">
      <c r="A16" s="32" t="n">
        <v>10</v>
      </c>
      <c r="B16" s="13">
        <f>Assumptions!$C$30*MIN(1,$A16/Assumptions!$C$31)</f>
        <v/>
      </c>
      <c r="C16" s="13">
        <f>$B16-$B15</f>
        <v/>
      </c>
      <c r="D16" s="16">
        <f>$B16/Assumptions!$C$30</f>
        <v/>
      </c>
    </row>
    <row r="17">
      <c r="A17" s="32" t="n">
        <v>11</v>
      </c>
      <c r="B17" s="13">
        <f>Assumptions!$C$30*MIN(1,$A17/Assumptions!$C$31)</f>
        <v/>
      </c>
      <c r="C17" s="13">
        <f>$B17-$B16</f>
        <v/>
      </c>
      <c r="D17" s="16">
        <f>$B17/Assumptions!$C$30</f>
        <v/>
      </c>
    </row>
    <row r="18">
      <c r="A18" s="32" t="n">
        <v>12</v>
      </c>
      <c r="B18" s="13">
        <f>Assumptions!$C$30*MIN(1,$A18/Assumptions!$C$31)</f>
        <v/>
      </c>
      <c r="C18" s="13">
        <f>$B18-$B17</f>
        <v/>
      </c>
      <c r="D18" s="16">
        <f>$B18/Assumptions!$C$30</f>
        <v/>
      </c>
    </row>
    <row r="19">
      <c r="A19" s="32" t="n">
        <v>13</v>
      </c>
      <c r="B19" s="13">
        <f>Assumptions!$C$30*MIN(1,$A19/Assumptions!$C$31)</f>
        <v/>
      </c>
      <c r="C19" s="13">
        <f>$B19-$B18</f>
        <v/>
      </c>
      <c r="D19" s="16">
        <f>$B19/Assumptions!$C$30</f>
        <v/>
      </c>
    </row>
    <row r="20">
      <c r="A20" s="32" t="n">
        <v>14</v>
      </c>
      <c r="B20" s="13">
        <f>Assumptions!$C$30*MIN(1,$A20/Assumptions!$C$31)</f>
        <v/>
      </c>
      <c r="C20" s="13">
        <f>$B20-$B19</f>
        <v/>
      </c>
      <c r="D20" s="16">
        <f>$B20/Assumptions!$C$30</f>
        <v/>
      </c>
    </row>
    <row r="21">
      <c r="A21" s="32" t="n">
        <v>15</v>
      </c>
      <c r="B21" s="13">
        <f>Assumptions!$C$30*MIN(1,$A21/Assumptions!$C$31)</f>
        <v/>
      </c>
      <c r="C21" s="13">
        <f>$B21-$B20</f>
        <v/>
      </c>
      <c r="D21" s="16">
        <f>$B21/Assumptions!$C$30</f>
        <v/>
      </c>
    </row>
    <row r="22">
      <c r="A22" s="32" t="n">
        <v>16</v>
      </c>
      <c r="B22" s="13">
        <f>Assumptions!$C$30*MIN(1,$A22/Assumptions!$C$31)</f>
        <v/>
      </c>
      <c r="C22" s="13">
        <f>$B22-$B21</f>
        <v/>
      </c>
      <c r="D22" s="16">
        <f>$B22/Assumptions!$C$30</f>
        <v/>
      </c>
    </row>
    <row r="23">
      <c r="A23" s="32" t="n">
        <v>17</v>
      </c>
      <c r="B23" s="13">
        <f>Assumptions!$C$30*MIN(1,$A23/Assumptions!$C$31)</f>
        <v/>
      </c>
      <c r="C23" s="13">
        <f>$B23-$B22</f>
        <v/>
      </c>
      <c r="D23" s="16">
        <f>$B23/Assumptions!$C$30</f>
        <v/>
      </c>
    </row>
    <row r="24">
      <c r="A24" s="32" t="n">
        <v>18</v>
      </c>
      <c r="B24" s="13">
        <f>Assumptions!$C$30*MIN(1,$A24/Assumptions!$C$31)</f>
        <v/>
      </c>
      <c r="C24" s="13">
        <f>$B24-$B23</f>
        <v/>
      </c>
      <c r="D24" s="16">
        <f>$B24/Assumptions!$C$30</f>
        <v/>
      </c>
    </row>
    <row r="25">
      <c r="A25" s="32" t="n">
        <v>19</v>
      </c>
      <c r="B25" s="13">
        <f>Assumptions!$C$30*MIN(1,$A25/Assumptions!$C$31)</f>
        <v/>
      </c>
      <c r="C25" s="13">
        <f>$B25-$B24</f>
        <v/>
      </c>
      <c r="D25" s="16">
        <f>$B25/Assumptions!$C$30</f>
        <v/>
      </c>
    </row>
    <row r="26">
      <c r="A26" s="32" t="n">
        <v>20</v>
      </c>
      <c r="B26" s="13">
        <f>Assumptions!$C$30*MIN(1,$A26/Assumptions!$C$31)</f>
        <v/>
      </c>
      <c r="C26" s="13">
        <f>$B26-$B25</f>
        <v/>
      </c>
      <c r="D26" s="16">
        <f>$B26/Assumptions!$C$30</f>
        <v/>
      </c>
    </row>
    <row r="27">
      <c r="A27" s="32" t="n">
        <v>21</v>
      </c>
      <c r="B27" s="13">
        <f>Assumptions!$C$30*MIN(1,$A27/Assumptions!$C$31)</f>
        <v/>
      </c>
      <c r="C27" s="13">
        <f>$B27-$B26</f>
        <v/>
      </c>
      <c r="D27" s="16">
        <f>$B27/Assumptions!$C$30</f>
        <v/>
      </c>
    </row>
    <row r="28">
      <c r="A28" s="32" t="n">
        <v>22</v>
      </c>
      <c r="B28" s="13">
        <f>Assumptions!$C$30*MIN(1,$A28/Assumptions!$C$31)</f>
        <v/>
      </c>
      <c r="C28" s="13">
        <f>$B28-$B27</f>
        <v/>
      </c>
      <c r="D28" s="16">
        <f>$B28/Assumptions!$C$30</f>
        <v/>
      </c>
    </row>
    <row r="29">
      <c r="A29" s="32" t="n">
        <v>23</v>
      </c>
      <c r="B29" s="13">
        <f>Assumptions!$C$30*MIN(1,$A29/Assumptions!$C$31)</f>
        <v/>
      </c>
      <c r="C29" s="13">
        <f>$B29-$B28</f>
        <v/>
      </c>
      <c r="D29" s="16">
        <f>$B29/Assumptions!$C$30</f>
        <v/>
      </c>
    </row>
    <row r="30">
      <c r="A30" s="32" t="n">
        <v>24</v>
      </c>
      <c r="B30" s="13">
        <f>Assumptions!$C$30*MIN(1,$A30/Assumptions!$C$31)</f>
        <v/>
      </c>
      <c r="C30" s="13">
        <f>$B30-$B29</f>
        <v/>
      </c>
      <c r="D30" s="16">
        <f>$B30/Assumptions!$C$30</f>
        <v/>
      </c>
    </row>
    <row r="31">
      <c r="A31" s="32" t="n">
        <v>25</v>
      </c>
      <c r="B31" s="13">
        <f>Assumptions!$C$30*MIN(1,$A31/Assumptions!$C$31)</f>
        <v/>
      </c>
      <c r="C31" s="13">
        <f>$B31-$B30</f>
        <v/>
      </c>
      <c r="D31" s="16">
        <f>$B31/Assumptions!$C$30</f>
        <v/>
      </c>
    </row>
    <row r="32">
      <c r="A32" s="32" t="n">
        <v>26</v>
      </c>
      <c r="B32" s="13">
        <f>Assumptions!$C$30*MIN(1,$A32/Assumptions!$C$31)</f>
        <v/>
      </c>
      <c r="C32" s="13">
        <f>$B32-$B31</f>
        <v/>
      </c>
      <c r="D32" s="16">
        <f>$B32/Assumptions!$C$30</f>
        <v/>
      </c>
    </row>
    <row r="33">
      <c r="A33" s="32" t="n">
        <v>27</v>
      </c>
      <c r="B33" s="13">
        <f>Assumptions!$C$30*MIN(1,$A33/Assumptions!$C$31)</f>
        <v/>
      </c>
      <c r="C33" s="13">
        <f>$B33-$B32</f>
        <v/>
      </c>
      <c r="D33" s="16">
        <f>$B33/Assumptions!$C$30</f>
        <v/>
      </c>
    </row>
    <row r="34">
      <c r="A34" s="32" t="n">
        <v>28</v>
      </c>
      <c r="B34" s="13">
        <f>Assumptions!$C$30*MIN(1,$A34/Assumptions!$C$31)</f>
        <v/>
      </c>
      <c r="C34" s="13">
        <f>$B34-$B33</f>
        <v/>
      </c>
      <c r="D34" s="16">
        <f>$B34/Assumptions!$C$30</f>
        <v/>
      </c>
    </row>
    <row r="35">
      <c r="A35" s="32" t="n">
        <v>29</v>
      </c>
      <c r="B35" s="13">
        <f>Assumptions!$C$30*MIN(1,$A35/Assumptions!$C$31)</f>
        <v/>
      </c>
      <c r="C35" s="13">
        <f>$B35-$B34</f>
        <v/>
      </c>
      <c r="D35" s="16">
        <f>$B35/Assumptions!$C$30</f>
        <v/>
      </c>
    </row>
    <row r="36">
      <c r="A36" s="32" t="n">
        <v>30</v>
      </c>
      <c r="B36" s="13">
        <f>Assumptions!$C$30*MIN(1,$A36/Assumptions!$C$31)</f>
        <v/>
      </c>
      <c r="C36" s="13">
        <f>$B36-$B35</f>
        <v/>
      </c>
      <c r="D36" s="16">
        <f>$B36/Assumptions!$C$30</f>
        <v/>
      </c>
    </row>
    <row r="38">
      <c r="B38" s="30" t="inlineStr">
        <is>
          <t>CHECK: homes passed never exceed total (Assumptions)</t>
        </is>
      </c>
      <c r="F38" s="31">
        <f>IF(MAX($B6:$B36)&lt;=Assumptions!$C$30+0.5,"PASS","FAIL")</f>
        <v/>
      </c>
    </row>
  </sheetData>
  <autoFilter ref="A5:D5"/>
  <mergeCells count="3">
    <mergeCell ref="A1:D1"/>
    <mergeCell ref="A3:D3"/>
    <mergeCell ref="A2:D2"/>
  </mergeCells>
  <conditionalFormatting sqref="F38">
    <cfRule type="expression" priority="1" dxfId="0" stopIfTrue="1">
      <formula>ISNUMBER(SEARCH("PASS",F38))</formula>
    </cfRule>
    <cfRule type="expression" priority="2" dxfId="1">
      <formula>NOT(ISNUMBER(SEARCH("PASS",F38)))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TAKE RATE &amp; CUSTOMERS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Net penetration ramps to terminal. Gross adds (incl. churn replacement) drive install revenue.</t>
        </is>
      </c>
    </row>
    <row r="5">
      <c r="A5" s="24" t="inlineStr">
        <is>
          <t>Year</t>
        </is>
      </c>
      <c r="B5" s="24" t="inlineStr">
        <is>
          <t>Take Rate</t>
        </is>
      </c>
      <c r="C5" s="24" t="inlineStr">
        <is>
          <t>Residential Subs</t>
        </is>
      </c>
      <c r="D5" s="24" t="inlineStr">
        <is>
          <t>Business Subs</t>
        </is>
      </c>
      <c r="E5" s="24" t="inlineStr">
        <is>
          <t>Enterprise Subs</t>
        </is>
      </c>
      <c r="F5" s="24" t="inlineStr">
        <is>
          <t>Voice Subs</t>
        </is>
      </c>
      <c r="G5" s="24" t="inlineStr">
        <is>
          <t>Total Premise Subs</t>
        </is>
      </c>
      <c r="H5" s="24" t="inlineStr">
        <is>
          <t>Gross Adds</t>
        </is>
      </c>
    </row>
    <row r="6">
      <c r="A6" s="32" t="n">
        <v>0</v>
      </c>
      <c r="B6" s="16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</row>
    <row r="7">
      <c r="A7" s="32" t="n">
        <v>1</v>
      </c>
      <c r="B7" s="16">
        <f>Assumptions!$F$14*MIN(1,$A7/Assumptions!$F$15)</f>
        <v/>
      </c>
      <c r="C7" s="13">
        <f>Homes_Passed!$B$7*$B7</f>
        <v/>
      </c>
      <c r="D7" s="13">
        <f>Homes_Passed!$B$7*Assumptions!$C$32</f>
        <v/>
      </c>
      <c r="E7" s="13">
        <f>Assumptions!$F$20*MIN(1,$A7/Assumptions!$F$15)</f>
        <v/>
      </c>
      <c r="F7" s="13">
        <f>$C7*Assumptions!$C$33</f>
        <v/>
      </c>
      <c r="G7" s="13">
        <f>$C7+$D7+$E7</f>
        <v/>
      </c>
      <c r="H7" s="13">
        <f>MAX(0,$G7-0)+0*Assumptions!$F$22</f>
        <v/>
      </c>
    </row>
    <row r="8">
      <c r="A8" s="32" t="n">
        <v>2</v>
      </c>
      <c r="B8" s="16">
        <f>Assumptions!$F$14*MIN(1,$A8/Assumptions!$F$15)</f>
        <v/>
      </c>
      <c r="C8" s="13">
        <f>Homes_Passed!$B$8*$B8</f>
        <v/>
      </c>
      <c r="D8" s="13">
        <f>Homes_Passed!$B$8*Assumptions!$C$32</f>
        <v/>
      </c>
      <c r="E8" s="13">
        <f>Assumptions!$F$20*MIN(1,$A8/Assumptions!$F$15)</f>
        <v/>
      </c>
      <c r="F8" s="13">
        <f>$C8*Assumptions!$C$33</f>
        <v/>
      </c>
      <c r="G8" s="13">
        <f>$C8+$D8+$E8</f>
        <v/>
      </c>
      <c r="H8" s="13">
        <f>MAX(0,$G8-$G7)+$G7*Assumptions!$F$22</f>
        <v/>
      </c>
    </row>
    <row r="9">
      <c r="A9" s="32" t="n">
        <v>3</v>
      </c>
      <c r="B9" s="16">
        <f>Assumptions!$F$14*MIN(1,$A9/Assumptions!$F$15)</f>
        <v/>
      </c>
      <c r="C9" s="13">
        <f>Homes_Passed!$B$9*$B9</f>
        <v/>
      </c>
      <c r="D9" s="13">
        <f>Homes_Passed!$B$9*Assumptions!$C$32</f>
        <v/>
      </c>
      <c r="E9" s="13">
        <f>Assumptions!$F$20*MIN(1,$A9/Assumptions!$F$15)</f>
        <v/>
      </c>
      <c r="F9" s="13">
        <f>$C9*Assumptions!$C$33</f>
        <v/>
      </c>
      <c r="G9" s="13">
        <f>$C9+$D9+$E9</f>
        <v/>
      </c>
      <c r="H9" s="13">
        <f>MAX(0,$G9-$G8)+$G8*Assumptions!$F$22</f>
        <v/>
      </c>
    </row>
    <row r="10">
      <c r="A10" s="32" t="n">
        <v>4</v>
      </c>
      <c r="B10" s="16">
        <f>Assumptions!$F$14*MIN(1,$A10/Assumptions!$F$15)</f>
        <v/>
      </c>
      <c r="C10" s="13">
        <f>Homes_Passed!$B$10*$B10</f>
        <v/>
      </c>
      <c r="D10" s="13">
        <f>Homes_Passed!$B$10*Assumptions!$C$32</f>
        <v/>
      </c>
      <c r="E10" s="13">
        <f>Assumptions!$F$20*MIN(1,$A10/Assumptions!$F$15)</f>
        <v/>
      </c>
      <c r="F10" s="13">
        <f>$C10*Assumptions!$C$33</f>
        <v/>
      </c>
      <c r="G10" s="13">
        <f>$C10+$D10+$E10</f>
        <v/>
      </c>
      <c r="H10" s="13">
        <f>MAX(0,$G10-$G9)+$G9*Assumptions!$F$22</f>
        <v/>
      </c>
    </row>
    <row r="11">
      <c r="A11" s="32" t="n">
        <v>5</v>
      </c>
      <c r="B11" s="16">
        <f>Assumptions!$F$14*MIN(1,$A11/Assumptions!$F$15)</f>
        <v/>
      </c>
      <c r="C11" s="13">
        <f>Homes_Passed!$B$11*$B11</f>
        <v/>
      </c>
      <c r="D11" s="13">
        <f>Homes_Passed!$B$11*Assumptions!$C$32</f>
        <v/>
      </c>
      <c r="E11" s="13">
        <f>Assumptions!$F$20*MIN(1,$A11/Assumptions!$F$15)</f>
        <v/>
      </c>
      <c r="F11" s="13">
        <f>$C11*Assumptions!$C$33</f>
        <v/>
      </c>
      <c r="G11" s="13">
        <f>$C11+$D11+$E11</f>
        <v/>
      </c>
      <c r="H11" s="13">
        <f>MAX(0,$G11-$G10)+$G10*Assumptions!$F$22</f>
        <v/>
      </c>
    </row>
    <row r="12">
      <c r="A12" s="32" t="n">
        <v>6</v>
      </c>
      <c r="B12" s="16">
        <f>Assumptions!$F$14*MIN(1,$A12/Assumptions!$F$15)</f>
        <v/>
      </c>
      <c r="C12" s="13">
        <f>Homes_Passed!$B$12*$B12</f>
        <v/>
      </c>
      <c r="D12" s="13">
        <f>Homes_Passed!$B$12*Assumptions!$C$32</f>
        <v/>
      </c>
      <c r="E12" s="13">
        <f>Assumptions!$F$20*MIN(1,$A12/Assumptions!$F$15)</f>
        <v/>
      </c>
      <c r="F12" s="13">
        <f>$C12*Assumptions!$C$33</f>
        <v/>
      </c>
      <c r="G12" s="13">
        <f>$C12+$D12+$E12</f>
        <v/>
      </c>
      <c r="H12" s="13">
        <f>MAX(0,$G12-$G11)+$G11*Assumptions!$F$22</f>
        <v/>
      </c>
    </row>
    <row r="13">
      <c r="A13" s="32" t="n">
        <v>7</v>
      </c>
      <c r="B13" s="16">
        <f>Assumptions!$F$14*MIN(1,$A13/Assumptions!$F$15)</f>
        <v/>
      </c>
      <c r="C13" s="13">
        <f>Homes_Passed!$B$13*$B13</f>
        <v/>
      </c>
      <c r="D13" s="13">
        <f>Homes_Passed!$B$13*Assumptions!$C$32</f>
        <v/>
      </c>
      <c r="E13" s="13">
        <f>Assumptions!$F$20*MIN(1,$A13/Assumptions!$F$15)</f>
        <v/>
      </c>
      <c r="F13" s="13">
        <f>$C13*Assumptions!$C$33</f>
        <v/>
      </c>
      <c r="G13" s="13">
        <f>$C13+$D13+$E13</f>
        <v/>
      </c>
      <c r="H13" s="13">
        <f>MAX(0,$G13-$G12)+$G12*Assumptions!$F$22</f>
        <v/>
      </c>
    </row>
    <row r="14">
      <c r="A14" s="32" t="n">
        <v>8</v>
      </c>
      <c r="B14" s="16">
        <f>Assumptions!$F$14*MIN(1,$A14/Assumptions!$F$15)</f>
        <v/>
      </c>
      <c r="C14" s="13">
        <f>Homes_Passed!$B$14*$B14</f>
        <v/>
      </c>
      <c r="D14" s="13">
        <f>Homes_Passed!$B$14*Assumptions!$C$32</f>
        <v/>
      </c>
      <c r="E14" s="13">
        <f>Assumptions!$F$20*MIN(1,$A14/Assumptions!$F$15)</f>
        <v/>
      </c>
      <c r="F14" s="13">
        <f>$C14*Assumptions!$C$33</f>
        <v/>
      </c>
      <c r="G14" s="13">
        <f>$C14+$D14+$E14</f>
        <v/>
      </c>
      <c r="H14" s="13">
        <f>MAX(0,$G14-$G13)+$G13*Assumptions!$F$22</f>
        <v/>
      </c>
    </row>
    <row r="15">
      <c r="A15" s="32" t="n">
        <v>9</v>
      </c>
      <c r="B15" s="16">
        <f>Assumptions!$F$14*MIN(1,$A15/Assumptions!$F$15)</f>
        <v/>
      </c>
      <c r="C15" s="13">
        <f>Homes_Passed!$B$15*$B15</f>
        <v/>
      </c>
      <c r="D15" s="13">
        <f>Homes_Passed!$B$15*Assumptions!$C$32</f>
        <v/>
      </c>
      <c r="E15" s="13">
        <f>Assumptions!$F$20*MIN(1,$A15/Assumptions!$F$15)</f>
        <v/>
      </c>
      <c r="F15" s="13">
        <f>$C15*Assumptions!$C$33</f>
        <v/>
      </c>
      <c r="G15" s="13">
        <f>$C15+$D15+$E15</f>
        <v/>
      </c>
      <c r="H15" s="13">
        <f>MAX(0,$G15-$G14)+$G14*Assumptions!$F$22</f>
        <v/>
      </c>
    </row>
    <row r="16">
      <c r="A16" s="32" t="n">
        <v>10</v>
      </c>
      <c r="B16" s="16">
        <f>Assumptions!$F$14*MIN(1,$A16/Assumptions!$F$15)</f>
        <v/>
      </c>
      <c r="C16" s="13">
        <f>Homes_Passed!$B$16*$B16</f>
        <v/>
      </c>
      <c r="D16" s="13">
        <f>Homes_Passed!$B$16*Assumptions!$C$32</f>
        <v/>
      </c>
      <c r="E16" s="13">
        <f>Assumptions!$F$20*MIN(1,$A16/Assumptions!$F$15)</f>
        <v/>
      </c>
      <c r="F16" s="13">
        <f>$C16*Assumptions!$C$33</f>
        <v/>
      </c>
      <c r="G16" s="13">
        <f>$C16+$D16+$E16</f>
        <v/>
      </c>
      <c r="H16" s="13">
        <f>MAX(0,$G16-$G15)+$G15*Assumptions!$F$22</f>
        <v/>
      </c>
    </row>
    <row r="17">
      <c r="A17" s="32" t="n">
        <v>11</v>
      </c>
      <c r="B17" s="16">
        <f>Assumptions!$F$14*MIN(1,$A17/Assumptions!$F$15)</f>
        <v/>
      </c>
      <c r="C17" s="13">
        <f>Homes_Passed!$B$17*$B17</f>
        <v/>
      </c>
      <c r="D17" s="13">
        <f>Homes_Passed!$B$17*Assumptions!$C$32</f>
        <v/>
      </c>
      <c r="E17" s="13">
        <f>Assumptions!$F$20*MIN(1,$A17/Assumptions!$F$15)</f>
        <v/>
      </c>
      <c r="F17" s="13">
        <f>$C17*Assumptions!$C$33</f>
        <v/>
      </c>
      <c r="G17" s="13">
        <f>$C17+$D17+$E17</f>
        <v/>
      </c>
      <c r="H17" s="13">
        <f>MAX(0,$G17-$G16)+$G16*Assumptions!$F$22</f>
        <v/>
      </c>
    </row>
    <row r="18">
      <c r="A18" s="32" t="n">
        <v>12</v>
      </c>
      <c r="B18" s="16">
        <f>Assumptions!$F$14*MIN(1,$A18/Assumptions!$F$15)</f>
        <v/>
      </c>
      <c r="C18" s="13">
        <f>Homes_Passed!$B$18*$B18</f>
        <v/>
      </c>
      <c r="D18" s="13">
        <f>Homes_Passed!$B$18*Assumptions!$C$32</f>
        <v/>
      </c>
      <c r="E18" s="13">
        <f>Assumptions!$F$20*MIN(1,$A18/Assumptions!$F$15)</f>
        <v/>
      </c>
      <c r="F18" s="13">
        <f>$C18*Assumptions!$C$33</f>
        <v/>
      </c>
      <c r="G18" s="13">
        <f>$C18+$D18+$E18</f>
        <v/>
      </c>
      <c r="H18" s="13">
        <f>MAX(0,$G18-$G17)+$G17*Assumptions!$F$22</f>
        <v/>
      </c>
    </row>
    <row r="19">
      <c r="A19" s="32" t="n">
        <v>13</v>
      </c>
      <c r="B19" s="16">
        <f>Assumptions!$F$14*MIN(1,$A19/Assumptions!$F$15)</f>
        <v/>
      </c>
      <c r="C19" s="13">
        <f>Homes_Passed!$B$19*$B19</f>
        <v/>
      </c>
      <c r="D19" s="13">
        <f>Homes_Passed!$B$19*Assumptions!$C$32</f>
        <v/>
      </c>
      <c r="E19" s="13">
        <f>Assumptions!$F$20*MIN(1,$A19/Assumptions!$F$15)</f>
        <v/>
      </c>
      <c r="F19" s="13">
        <f>$C19*Assumptions!$C$33</f>
        <v/>
      </c>
      <c r="G19" s="13">
        <f>$C19+$D19+$E19</f>
        <v/>
      </c>
      <c r="H19" s="13">
        <f>MAX(0,$G19-$G18)+$G18*Assumptions!$F$22</f>
        <v/>
      </c>
    </row>
    <row r="20">
      <c r="A20" s="32" t="n">
        <v>14</v>
      </c>
      <c r="B20" s="16">
        <f>Assumptions!$F$14*MIN(1,$A20/Assumptions!$F$15)</f>
        <v/>
      </c>
      <c r="C20" s="13">
        <f>Homes_Passed!$B$20*$B20</f>
        <v/>
      </c>
      <c r="D20" s="13">
        <f>Homes_Passed!$B$20*Assumptions!$C$32</f>
        <v/>
      </c>
      <c r="E20" s="13">
        <f>Assumptions!$F$20*MIN(1,$A20/Assumptions!$F$15)</f>
        <v/>
      </c>
      <c r="F20" s="13">
        <f>$C20*Assumptions!$C$33</f>
        <v/>
      </c>
      <c r="G20" s="13">
        <f>$C20+$D20+$E20</f>
        <v/>
      </c>
      <c r="H20" s="13">
        <f>MAX(0,$G20-$G19)+$G19*Assumptions!$F$22</f>
        <v/>
      </c>
    </row>
    <row r="21">
      <c r="A21" s="32" t="n">
        <v>15</v>
      </c>
      <c r="B21" s="16">
        <f>Assumptions!$F$14*MIN(1,$A21/Assumptions!$F$15)</f>
        <v/>
      </c>
      <c r="C21" s="13">
        <f>Homes_Passed!$B$21*$B21</f>
        <v/>
      </c>
      <c r="D21" s="13">
        <f>Homes_Passed!$B$21*Assumptions!$C$32</f>
        <v/>
      </c>
      <c r="E21" s="13">
        <f>Assumptions!$F$20*MIN(1,$A21/Assumptions!$F$15)</f>
        <v/>
      </c>
      <c r="F21" s="13">
        <f>$C21*Assumptions!$C$33</f>
        <v/>
      </c>
      <c r="G21" s="13">
        <f>$C21+$D21+$E21</f>
        <v/>
      </c>
      <c r="H21" s="13">
        <f>MAX(0,$G21-$G20)+$G20*Assumptions!$F$22</f>
        <v/>
      </c>
    </row>
    <row r="22">
      <c r="A22" s="32" t="n">
        <v>16</v>
      </c>
      <c r="B22" s="16">
        <f>Assumptions!$F$14*MIN(1,$A22/Assumptions!$F$15)</f>
        <v/>
      </c>
      <c r="C22" s="13">
        <f>Homes_Passed!$B$22*$B22</f>
        <v/>
      </c>
      <c r="D22" s="13">
        <f>Homes_Passed!$B$22*Assumptions!$C$32</f>
        <v/>
      </c>
      <c r="E22" s="13">
        <f>Assumptions!$F$20*MIN(1,$A22/Assumptions!$F$15)</f>
        <v/>
      </c>
      <c r="F22" s="13">
        <f>$C22*Assumptions!$C$33</f>
        <v/>
      </c>
      <c r="G22" s="13">
        <f>$C22+$D22+$E22</f>
        <v/>
      </c>
      <c r="H22" s="13">
        <f>MAX(0,$G22-$G21)+$G21*Assumptions!$F$22</f>
        <v/>
      </c>
    </row>
    <row r="23">
      <c r="A23" s="32" t="n">
        <v>17</v>
      </c>
      <c r="B23" s="16">
        <f>Assumptions!$F$14*MIN(1,$A23/Assumptions!$F$15)</f>
        <v/>
      </c>
      <c r="C23" s="13">
        <f>Homes_Passed!$B$23*$B23</f>
        <v/>
      </c>
      <c r="D23" s="13">
        <f>Homes_Passed!$B$23*Assumptions!$C$32</f>
        <v/>
      </c>
      <c r="E23" s="13">
        <f>Assumptions!$F$20*MIN(1,$A23/Assumptions!$F$15)</f>
        <v/>
      </c>
      <c r="F23" s="13">
        <f>$C23*Assumptions!$C$33</f>
        <v/>
      </c>
      <c r="G23" s="13">
        <f>$C23+$D23+$E23</f>
        <v/>
      </c>
      <c r="H23" s="13">
        <f>MAX(0,$G23-$G22)+$G22*Assumptions!$F$22</f>
        <v/>
      </c>
    </row>
    <row r="24">
      <c r="A24" s="32" t="n">
        <v>18</v>
      </c>
      <c r="B24" s="16">
        <f>Assumptions!$F$14*MIN(1,$A24/Assumptions!$F$15)</f>
        <v/>
      </c>
      <c r="C24" s="13">
        <f>Homes_Passed!$B$24*$B24</f>
        <v/>
      </c>
      <c r="D24" s="13">
        <f>Homes_Passed!$B$24*Assumptions!$C$32</f>
        <v/>
      </c>
      <c r="E24" s="13">
        <f>Assumptions!$F$20*MIN(1,$A24/Assumptions!$F$15)</f>
        <v/>
      </c>
      <c r="F24" s="13">
        <f>$C24*Assumptions!$C$33</f>
        <v/>
      </c>
      <c r="G24" s="13">
        <f>$C24+$D24+$E24</f>
        <v/>
      </c>
      <c r="H24" s="13">
        <f>MAX(0,$G24-$G23)+$G23*Assumptions!$F$22</f>
        <v/>
      </c>
    </row>
    <row r="25">
      <c r="A25" s="32" t="n">
        <v>19</v>
      </c>
      <c r="B25" s="16">
        <f>Assumptions!$F$14*MIN(1,$A25/Assumptions!$F$15)</f>
        <v/>
      </c>
      <c r="C25" s="13">
        <f>Homes_Passed!$B$25*$B25</f>
        <v/>
      </c>
      <c r="D25" s="13">
        <f>Homes_Passed!$B$25*Assumptions!$C$32</f>
        <v/>
      </c>
      <c r="E25" s="13">
        <f>Assumptions!$F$20*MIN(1,$A25/Assumptions!$F$15)</f>
        <v/>
      </c>
      <c r="F25" s="13">
        <f>$C25*Assumptions!$C$33</f>
        <v/>
      </c>
      <c r="G25" s="13">
        <f>$C25+$D25+$E25</f>
        <v/>
      </c>
      <c r="H25" s="13">
        <f>MAX(0,$G25-$G24)+$G24*Assumptions!$F$22</f>
        <v/>
      </c>
    </row>
    <row r="26">
      <c r="A26" s="32" t="n">
        <v>20</v>
      </c>
      <c r="B26" s="16">
        <f>Assumptions!$F$14*MIN(1,$A26/Assumptions!$F$15)</f>
        <v/>
      </c>
      <c r="C26" s="13">
        <f>Homes_Passed!$B$26*$B26</f>
        <v/>
      </c>
      <c r="D26" s="13">
        <f>Homes_Passed!$B$26*Assumptions!$C$32</f>
        <v/>
      </c>
      <c r="E26" s="13">
        <f>Assumptions!$F$20*MIN(1,$A26/Assumptions!$F$15)</f>
        <v/>
      </c>
      <c r="F26" s="13">
        <f>$C26*Assumptions!$C$33</f>
        <v/>
      </c>
      <c r="G26" s="13">
        <f>$C26+$D26+$E26</f>
        <v/>
      </c>
      <c r="H26" s="13">
        <f>MAX(0,$G26-$G25)+$G25*Assumptions!$F$22</f>
        <v/>
      </c>
    </row>
    <row r="27">
      <c r="A27" s="32" t="n">
        <v>21</v>
      </c>
      <c r="B27" s="16">
        <f>Assumptions!$F$14*MIN(1,$A27/Assumptions!$F$15)</f>
        <v/>
      </c>
      <c r="C27" s="13">
        <f>Homes_Passed!$B$27*$B27</f>
        <v/>
      </c>
      <c r="D27" s="13">
        <f>Homes_Passed!$B$27*Assumptions!$C$32</f>
        <v/>
      </c>
      <c r="E27" s="13">
        <f>Assumptions!$F$20*MIN(1,$A27/Assumptions!$F$15)</f>
        <v/>
      </c>
      <c r="F27" s="13">
        <f>$C27*Assumptions!$C$33</f>
        <v/>
      </c>
      <c r="G27" s="13">
        <f>$C27+$D27+$E27</f>
        <v/>
      </c>
      <c r="H27" s="13">
        <f>MAX(0,$G27-$G26)+$G26*Assumptions!$F$22</f>
        <v/>
      </c>
    </row>
    <row r="28">
      <c r="A28" s="32" t="n">
        <v>22</v>
      </c>
      <c r="B28" s="16">
        <f>Assumptions!$F$14*MIN(1,$A28/Assumptions!$F$15)</f>
        <v/>
      </c>
      <c r="C28" s="13">
        <f>Homes_Passed!$B$28*$B28</f>
        <v/>
      </c>
      <c r="D28" s="13">
        <f>Homes_Passed!$B$28*Assumptions!$C$32</f>
        <v/>
      </c>
      <c r="E28" s="13">
        <f>Assumptions!$F$20*MIN(1,$A28/Assumptions!$F$15)</f>
        <v/>
      </c>
      <c r="F28" s="13">
        <f>$C28*Assumptions!$C$33</f>
        <v/>
      </c>
      <c r="G28" s="13">
        <f>$C28+$D28+$E28</f>
        <v/>
      </c>
      <c r="H28" s="13">
        <f>MAX(0,$G28-$G27)+$G27*Assumptions!$F$22</f>
        <v/>
      </c>
    </row>
    <row r="29">
      <c r="A29" s="32" t="n">
        <v>23</v>
      </c>
      <c r="B29" s="16">
        <f>Assumptions!$F$14*MIN(1,$A29/Assumptions!$F$15)</f>
        <v/>
      </c>
      <c r="C29" s="13">
        <f>Homes_Passed!$B$29*$B29</f>
        <v/>
      </c>
      <c r="D29" s="13">
        <f>Homes_Passed!$B$29*Assumptions!$C$32</f>
        <v/>
      </c>
      <c r="E29" s="13">
        <f>Assumptions!$F$20*MIN(1,$A29/Assumptions!$F$15)</f>
        <v/>
      </c>
      <c r="F29" s="13">
        <f>$C29*Assumptions!$C$33</f>
        <v/>
      </c>
      <c r="G29" s="13">
        <f>$C29+$D29+$E29</f>
        <v/>
      </c>
      <c r="H29" s="13">
        <f>MAX(0,$G29-$G28)+$G28*Assumptions!$F$22</f>
        <v/>
      </c>
    </row>
    <row r="30">
      <c r="A30" s="32" t="n">
        <v>24</v>
      </c>
      <c r="B30" s="16">
        <f>Assumptions!$F$14*MIN(1,$A30/Assumptions!$F$15)</f>
        <v/>
      </c>
      <c r="C30" s="13">
        <f>Homes_Passed!$B$30*$B30</f>
        <v/>
      </c>
      <c r="D30" s="13">
        <f>Homes_Passed!$B$30*Assumptions!$C$32</f>
        <v/>
      </c>
      <c r="E30" s="13">
        <f>Assumptions!$F$20*MIN(1,$A30/Assumptions!$F$15)</f>
        <v/>
      </c>
      <c r="F30" s="13">
        <f>$C30*Assumptions!$C$33</f>
        <v/>
      </c>
      <c r="G30" s="13">
        <f>$C30+$D30+$E30</f>
        <v/>
      </c>
      <c r="H30" s="13">
        <f>MAX(0,$G30-$G29)+$G29*Assumptions!$F$22</f>
        <v/>
      </c>
    </row>
    <row r="31">
      <c r="A31" s="32" t="n">
        <v>25</v>
      </c>
      <c r="B31" s="16">
        <f>Assumptions!$F$14*MIN(1,$A31/Assumptions!$F$15)</f>
        <v/>
      </c>
      <c r="C31" s="13">
        <f>Homes_Passed!$B$31*$B31</f>
        <v/>
      </c>
      <c r="D31" s="13">
        <f>Homes_Passed!$B$31*Assumptions!$C$32</f>
        <v/>
      </c>
      <c r="E31" s="13">
        <f>Assumptions!$F$20*MIN(1,$A31/Assumptions!$F$15)</f>
        <v/>
      </c>
      <c r="F31" s="13">
        <f>$C31*Assumptions!$C$33</f>
        <v/>
      </c>
      <c r="G31" s="13">
        <f>$C31+$D31+$E31</f>
        <v/>
      </c>
      <c r="H31" s="13">
        <f>MAX(0,$G31-$G30)+$G30*Assumptions!$F$22</f>
        <v/>
      </c>
    </row>
    <row r="32">
      <c r="A32" s="32" t="n">
        <v>26</v>
      </c>
      <c r="B32" s="16">
        <f>Assumptions!$F$14*MIN(1,$A32/Assumptions!$F$15)</f>
        <v/>
      </c>
      <c r="C32" s="13">
        <f>Homes_Passed!$B$32*$B32</f>
        <v/>
      </c>
      <c r="D32" s="13">
        <f>Homes_Passed!$B$32*Assumptions!$C$32</f>
        <v/>
      </c>
      <c r="E32" s="13">
        <f>Assumptions!$F$20*MIN(1,$A32/Assumptions!$F$15)</f>
        <v/>
      </c>
      <c r="F32" s="13">
        <f>$C32*Assumptions!$C$33</f>
        <v/>
      </c>
      <c r="G32" s="13">
        <f>$C32+$D32+$E32</f>
        <v/>
      </c>
      <c r="H32" s="13">
        <f>MAX(0,$G32-$G31)+$G31*Assumptions!$F$22</f>
        <v/>
      </c>
    </row>
    <row r="33">
      <c r="A33" s="32" t="n">
        <v>27</v>
      </c>
      <c r="B33" s="16">
        <f>Assumptions!$F$14*MIN(1,$A33/Assumptions!$F$15)</f>
        <v/>
      </c>
      <c r="C33" s="13">
        <f>Homes_Passed!$B$33*$B33</f>
        <v/>
      </c>
      <c r="D33" s="13">
        <f>Homes_Passed!$B$33*Assumptions!$C$32</f>
        <v/>
      </c>
      <c r="E33" s="13">
        <f>Assumptions!$F$20*MIN(1,$A33/Assumptions!$F$15)</f>
        <v/>
      </c>
      <c r="F33" s="13">
        <f>$C33*Assumptions!$C$33</f>
        <v/>
      </c>
      <c r="G33" s="13">
        <f>$C33+$D33+$E33</f>
        <v/>
      </c>
      <c r="H33" s="13">
        <f>MAX(0,$G33-$G32)+$G32*Assumptions!$F$22</f>
        <v/>
      </c>
    </row>
    <row r="34">
      <c r="A34" s="32" t="n">
        <v>28</v>
      </c>
      <c r="B34" s="16">
        <f>Assumptions!$F$14*MIN(1,$A34/Assumptions!$F$15)</f>
        <v/>
      </c>
      <c r="C34" s="13">
        <f>Homes_Passed!$B$34*$B34</f>
        <v/>
      </c>
      <c r="D34" s="13">
        <f>Homes_Passed!$B$34*Assumptions!$C$32</f>
        <v/>
      </c>
      <c r="E34" s="13">
        <f>Assumptions!$F$20*MIN(1,$A34/Assumptions!$F$15)</f>
        <v/>
      </c>
      <c r="F34" s="13">
        <f>$C34*Assumptions!$C$33</f>
        <v/>
      </c>
      <c r="G34" s="13">
        <f>$C34+$D34+$E34</f>
        <v/>
      </c>
      <c r="H34" s="13">
        <f>MAX(0,$G34-$G33)+$G33*Assumptions!$F$22</f>
        <v/>
      </c>
    </row>
    <row r="35">
      <c r="A35" s="32" t="n">
        <v>29</v>
      </c>
      <c r="B35" s="16">
        <f>Assumptions!$F$14*MIN(1,$A35/Assumptions!$F$15)</f>
        <v/>
      </c>
      <c r="C35" s="13">
        <f>Homes_Passed!$B$35*$B35</f>
        <v/>
      </c>
      <c r="D35" s="13">
        <f>Homes_Passed!$B$35*Assumptions!$C$32</f>
        <v/>
      </c>
      <c r="E35" s="13">
        <f>Assumptions!$F$20*MIN(1,$A35/Assumptions!$F$15)</f>
        <v/>
      </c>
      <c r="F35" s="13">
        <f>$C35*Assumptions!$C$33</f>
        <v/>
      </c>
      <c r="G35" s="13">
        <f>$C35+$D35+$E35</f>
        <v/>
      </c>
      <c r="H35" s="13">
        <f>MAX(0,$G35-$G34)+$G34*Assumptions!$F$22</f>
        <v/>
      </c>
    </row>
    <row r="36">
      <c r="A36" s="32" t="n">
        <v>30</v>
      </c>
      <c r="B36" s="16">
        <f>Assumptions!$F$14*MIN(1,$A36/Assumptions!$F$15)</f>
        <v/>
      </c>
      <c r="C36" s="13">
        <f>Homes_Passed!$B$36*$B36</f>
        <v/>
      </c>
      <c r="D36" s="13">
        <f>Homes_Passed!$B$36*Assumptions!$C$32</f>
        <v/>
      </c>
      <c r="E36" s="13">
        <f>Assumptions!$F$20*MIN(1,$A36/Assumptions!$F$15)</f>
        <v/>
      </c>
      <c r="F36" s="13">
        <f>$C36*Assumptions!$C$33</f>
        <v/>
      </c>
      <c r="G36" s="13">
        <f>$C36+$D36+$E36</f>
        <v/>
      </c>
      <c r="H36" s="13">
        <f>MAX(0,$G36-$G35)+$G35*Assumptions!$F$22</f>
        <v/>
      </c>
    </row>
    <row r="38">
      <c r="B38" s="30" t="inlineStr">
        <is>
          <t>CHECK: residential subs never exceed homes passed</t>
        </is>
      </c>
      <c r="F38" s="31">
        <f>IF(SUMPRODUCT(--($C6:$C36&gt;Homes_Passed!$B6:$B36))=0,"PASS","FAIL")</f>
        <v/>
      </c>
    </row>
  </sheetData>
  <autoFilter ref="A5:H5"/>
  <mergeCells count="3">
    <mergeCell ref="A3:H3"/>
    <mergeCell ref="A2:H2"/>
    <mergeCell ref="A1:H1"/>
  </mergeCells>
  <conditionalFormatting sqref="F38">
    <cfRule type="expression" priority="1" dxfId="0" stopIfTrue="1">
      <formula>ISNUMBER(SEARCH("PASS",F38))</formula>
    </cfRule>
    <cfRule type="expression" priority="2" dxfId="1">
      <formula>NOT(ISNUMBER(SEARCH("PASS",F38)))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REVENUE — ARPU x Customers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Monthly ARPU x 12. Revenue beyond the selected IRU term is zero (term gate).</t>
        </is>
      </c>
    </row>
    <row r="5">
      <c r="A5" s="24" t="inlineStr">
        <is>
          <t>Year</t>
        </is>
      </c>
      <c r="B5" s="24" t="inlineStr">
        <is>
          <t>Residential</t>
        </is>
      </c>
      <c r="C5" s="24" t="inlineStr">
        <is>
          <t>Business</t>
        </is>
      </c>
      <c r="D5" s="24" t="inlineStr">
        <is>
          <t>Enterprise</t>
        </is>
      </c>
      <c r="E5" s="24" t="inlineStr">
        <is>
          <t>Voice</t>
        </is>
      </c>
      <c r="F5" s="24" t="inlineStr">
        <is>
          <t>Wholesale</t>
        </is>
      </c>
      <c r="G5" s="24" t="inlineStr">
        <is>
          <t>Installation</t>
        </is>
      </c>
      <c r="H5" s="24" t="inlineStr">
        <is>
          <t>Recurring Subtotal</t>
        </is>
      </c>
      <c r="I5" s="24" t="inlineStr">
        <is>
          <t>TOTAL GROSS REVENUE</t>
        </is>
      </c>
    </row>
    <row r="6">
      <c r="A6" s="32" t="n">
        <v>0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</row>
    <row r="7">
      <c r="A7" s="32" t="n">
        <v>1</v>
      </c>
      <c r="B7" s="15">
        <f>Take_Rate_Customers!$C$7*Assumptions!$F$16*(1+Assumptions!$C$35)^($A7-1)*12*IF($A7&gt;Assumptions!$C$8,0,1)</f>
        <v/>
      </c>
      <c r="C7" s="15">
        <f>Take_Rate_Customers!$D$7*Assumptions!$F$17*(1+Assumptions!$C$35)^($A7-1)*12*IF($A7&gt;Assumptions!$C$8,0,1)</f>
        <v/>
      </c>
      <c r="D7" s="15">
        <f>Take_Rate_Customers!$E$7*Assumptions!$F$18*(1+Assumptions!$C$35)^($A7-1)*12*IF($A7&gt;Assumptions!$C$8,0,1)</f>
        <v/>
      </c>
      <c r="E7" s="15">
        <f>Take_Rate_Customers!$F$7*Assumptions!$F$19*(1+Assumptions!$C$35)^($A7-1)*12*IF($A7&gt;Assumptions!$C$8,0,1)</f>
        <v/>
      </c>
      <c r="F7" s="15">
        <f>Assumptions!$F$21*MIN(1,$A7/Assumptions!$C$31)*IF($A7&gt;Assumptions!$C$8,0,1)</f>
        <v/>
      </c>
      <c r="G7" s="15">
        <f>Take_Rate_Customers!$H$7*Assumptions!$C$34*IF($A7&gt;Assumptions!$C$8,0,1)</f>
        <v/>
      </c>
      <c r="H7" s="15">
        <f>SUM($B7:$F7)</f>
        <v/>
      </c>
      <c r="I7" s="17">
        <f>$H7+$G7</f>
        <v/>
      </c>
    </row>
    <row r="8">
      <c r="A8" s="32" t="n">
        <v>2</v>
      </c>
      <c r="B8" s="15">
        <f>Take_Rate_Customers!$C$8*Assumptions!$F$16*(1+Assumptions!$C$35)^($A8-1)*12*IF($A8&gt;Assumptions!$C$8,0,1)</f>
        <v/>
      </c>
      <c r="C8" s="15">
        <f>Take_Rate_Customers!$D$8*Assumptions!$F$17*(1+Assumptions!$C$35)^($A8-1)*12*IF($A8&gt;Assumptions!$C$8,0,1)</f>
        <v/>
      </c>
      <c r="D8" s="15">
        <f>Take_Rate_Customers!$E$8*Assumptions!$F$18*(1+Assumptions!$C$35)^($A8-1)*12*IF($A8&gt;Assumptions!$C$8,0,1)</f>
        <v/>
      </c>
      <c r="E8" s="15">
        <f>Take_Rate_Customers!$F$8*Assumptions!$F$19*(1+Assumptions!$C$35)^($A8-1)*12*IF($A8&gt;Assumptions!$C$8,0,1)</f>
        <v/>
      </c>
      <c r="F8" s="15">
        <f>Assumptions!$F$21*MIN(1,$A8/Assumptions!$C$31)*IF($A8&gt;Assumptions!$C$8,0,1)</f>
        <v/>
      </c>
      <c r="G8" s="15">
        <f>Take_Rate_Customers!$H$8*Assumptions!$C$34*IF($A8&gt;Assumptions!$C$8,0,1)</f>
        <v/>
      </c>
      <c r="H8" s="15">
        <f>SUM($B8:$F8)</f>
        <v/>
      </c>
      <c r="I8" s="17">
        <f>$H8+$G8</f>
        <v/>
      </c>
    </row>
    <row r="9">
      <c r="A9" s="32" t="n">
        <v>3</v>
      </c>
      <c r="B9" s="15">
        <f>Take_Rate_Customers!$C$9*Assumptions!$F$16*(1+Assumptions!$C$35)^($A9-1)*12*IF($A9&gt;Assumptions!$C$8,0,1)</f>
        <v/>
      </c>
      <c r="C9" s="15">
        <f>Take_Rate_Customers!$D$9*Assumptions!$F$17*(1+Assumptions!$C$35)^($A9-1)*12*IF($A9&gt;Assumptions!$C$8,0,1)</f>
        <v/>
      </c>
      <c r="D9" s="15">
        <f>Take_Rate_Customers!$E$9*Assumptions!$F$18*(1+Assumptions!$C$35)^($A9-1)*12*IF($A9&gt;Assumptions!$C$8,0,1)</f>
        <v/>
      </c>
      <c r="E9" s="15">
        <f>Take_Rate_Customers!$F$9*Assumptions!$F$19*(1+Assumptions!$C$35)^($A9-1)*12*IF($A9&gt;Assumptions!$C$8,0,1)</f>
        <v/>
      </c>
      <c r="F9" s="15">
        <f>Assumptions!$F$21*MIN(1,$A9/Assumptions!$C$31)*IF($A9&gt;Assumptions!$C$8,0,1)</f>
        <v/>
      </c>
      <c r="G9" s="15">
        <f>Take_Rate_Customers!$H$9*Assumptions!$C$34*IF($A9&gt;Assumptions!$C$8,0,1)</f>
        <v/>
      </c>
      <c r="H9" s="15">
        <f>SUM($B9:$F9)</f>
        <v/>
      </c>
      <c r="I9" s="17">
        <f>$H9+$G9</f>
        <v/>
      </c>
    </row>
    <row r="10">
      <c r="A10" s="32" t="n">
        <v>4</v>
      </c>
      <c r="B10" s="15">
        <f>Take_Rate_Customers!$C$10*Assumptions!$F$16*(1+Assumptions!$C$35)^($A10-1)*12*IF($A10&gt;Assumptions!$C$8,0,1)</f>
        <v/>
      </c>
      <c r="C10" s="15">
        <f>Take_Rate_Customers!$D$10*Assumptions!$F$17*(1+Assumptions!$C$35)^($A10-1)*12*IF($A10&gt;Assumptions!$C$8,0,1)</f>
        <v/>
      </c>
      <c r="D10" s="15">
        <f>Take_Rate_Customers!$E$10*Assumptions!$F$18*(1+Assumptions!$C$35)^($A10-1)*12*IF($A10&gt;Assumptions!$C$8,0,1)</f>
        <v/>
      </c>
      <c r="E10" s="15">
        <f>Take_Rate_Customers!$F$10*Assumptions!$F$19*(1+Assumptions!$C$35)^($A10-1)*12*IF($A10&gt;Assumptions!$C$8,0,1)</f>
        <v/>
      </c>
      <c r="F10" s="15">
        <f>Assumptions!$F$21*MIN(1,$A10/Assumptions!$C$31)*IF($A10&gt;Assumptions!$C$8,0,1)</f>
        <v/>
      </c>
      <c r="G10" s="15">
        <f>Take_Rate_Customers!$H$10*Assumptions!$C$34*IF($A10&gt;Assumptions!$C$8,0,1)</f>
        <v/>
      </c>
      <c r="H10" s="15">
        <f>SUM($B10:$F10)</f>
        <v/>
      </c>
      <c r="I10" s="17">
        <f>$H10+$G10</f>
        <v/>
      </c>
    </row>
    <row r="11">
      <c r="A11" s="32" t="n">
        <v>5</v>
      </c>
      <c r="B11" s="15">
        <f>Take_Rate_Customers!$C$11*Assumptions!$F$16*(1+Assumptions!$C$35)^($A11-1)*12*IF($A11&gt;Assumptions!$C$8,0,1)</f>
        <v/>
      </c>
      <c r="C11" s="15">
        <f>Take_Rate_Customers!$D$11*Assumptions!$F$17*(1+Assumptions!$C$35)^($A11-1)*12*IF($A11&gt;Assumptions!$C$8,0,1)</f>
        <v/>
      </c>
      <c r="D11" s="15">
        <f>Take_Rate_Customers!$E$11*Assumptions!$F$18*(1+Assumptions!$C$35)^($A11-1)*12*IF($A11&gt;Assumptions!$C$8,0,1)</f>
        <v/>
      </c>
      <c r="E11" s="15">
        <f>Take_Rate_Customers!$F$11*Assumptions!$F$19*(1+Assumptions!$C$35)^($A11-1)*12*IF($A11&gt;Assumptions!$C$8,0,1)</f>
        <v/>
      </c>
      <c r="F11" s="15">
        <f>Assumptions!$F$21*MIN(1,$A11/Assumptions!$C$31)*IF($A11&gt;Assumptions!$C$8,0,1)</f>
        <v/>
      </c>
      <c r="G11" s="15">
        <f>Take_Rate_Customers!$H$11*Assumptions!$C$34*IF($A11&gt;Assumptions!$C$8,0,1)</f>
        <v/>
      </c>
      <c r="H11" s="15">
        <f>SUM($B11:$F11)</f>
        <v/>
      </c>
      <c r="I11" s="17">
        <f>$H11+$G11</f>
        <v/>
      </c>
    </row>
    <row r="12">
      <c r="A12" s="32" t="n">
        <v>6</v>
      </c>
      <c r="B12" s="15">
        <f>Take_Rate_Customers!$C$12*Assumptions!$F$16*(1+Assumptions!$C$35)^($A12-1)*12*IF($A12&gt;Assumptions!$C$8,0,1)</f>
        <v/>
      </c>
      <c r="C12" s="15">
        <f>Take_Rate_Customers!$D$12*Assumptions!$F$17*(1+Assumptions!$C$35)^($A12-1)*12*IF($A12&gt;Assumptions!$C$8,0,1)</f>
        <v/>
      </c>
      <c r="D12" s="15">
        <f>Take_Rate_Customers!$E$12*Assumptions!$F$18*(1+Assumptions!$C$35)^($A12-1)*12*IF($A12&gt;Assumptions!$C$8,0,1)</f>
        <v/>
      </c>
      <c r="E12" s="15">
        <f>Take_Rate_Customers!$F$12*Assumptions!$F$19*(1+Assumptions!$C$35)^($A12-1)*12*IF($A12&gt;Assumptions!$C$8,0,1)</f>
        <v/>
      </c>
      <c r="F12" s="15">
        <f>Assumptions!$F$21*MIN(1,$A12/Assumptions!$C$31)*IF($A12&gt;Assumptions!$C$8,0,1)</f>
        <v/>
      </c>
      <c r="G12" s="15">
        <f>Take_Rate_Customers!$H$12*Assumptions!$C$34*IF($A12&gt;Assumptions!$C$8,0,1)</f>
        <v/>
      </c>
      <c r="H12" s="15">
        <f>SUM($B12:$F12)</f>
        <v/>
      </c>
      <c r="I12" s="17">
        <f>$H12+$G12</f>
        <v/>
      </c>
    </row>
    <row r="13">
      <c r="A13" s="32" t="n">
        <v>7</v>
      </c>
      <c r="B13" s="15">
        <f>Take_Rate_Customers!$C$13*Assumptions!$F$16*(1+Assumptions!$C$35)^($A13-1)*12*IF($A13&gt;Assumptions!$C$8,0,1)</f>
        <v/>
      </c>
      <c r="C13" s="15">
        <f>Take_Rate_Customers!$D$13*Assumptions!$F$17*(1+Assumptions!$C$35)^($A13-1)*12*IF($A13&gt;Assumptions!$C$8,0,1)</f>
        <v/>
      </c>
      <c r="D13" s="15">
        <f>Take_Rate_Customers!$E$13*Assumptions!$F$18*(1+Assumptions!$C$35)^($A13-1)*12*IF($A13&gt;Assumptions!$C$8,0,1)</f>
        <v/>
      </c>
      <c r="E13" s="15">
        <f>Take_Rate_Customers!$F$13*Assumptions!$F$19*(1+Assumptions!$C$35)^($A13-1)*12*IF($A13&gt;Assumptions!$C$8,0,1)</f>
        <v/>
      </c>
      <c r="F13" s="15">
        <f>Assumptions!$F$21*MIN(1,$A13/Assumptions!$C$31)*IF($A13&gt;Assumptions!$C$8,0,1)</f>
        <v/>
      </c>
      <c r="G13" s="15">
        <f>Take_Rate_Customers!$H$13*Assumptions!$C$34*IF($A13&gt;Assumptions!$C$8,0,1)</f>
        <v/>
      </c>
      <c r="H13" s="15">
        <f>SUM($B13:$F13)</f>
        <v/>
      </c>
      <c r="I13" s="17">
        <f>$H13+$G13</f>
        <v/>
      </c>
    </row>
    <row r="14">
      <c r="A14" s="32" t="n">
        <v>8</v>
      </c>
      <c r="B14" s="15">
        <f>Take_Rate_Customers!$C$14*Assumptions!$F$16*(1+Assumptions!$C$35)^($A14-1)*12*IF($A14&gt;Assumptions!$C$8,0,1)</f>
        <v/>
      </c>
      <c r="C14" s="15">
        <f>Take_Rate_Customers!$D$14*Assumptions!$F$17*(1+Assumptions!$C$35)^($A14-1)*12*IF($A14&gt;Assumptions!$C$8,0,1)</f>
        <v/>
      </c>
      <c r="D14" s="15">
        <f>Take_Rate_Customers!$E$14*Assumptions!$F$18*(1+Assumptions!$C$35)^($A14-1)*12*IF($A14&gt;Assumptions!$C$8,0,1)</f>
        <v/>
      </c>
      <c r="E14" s="15">
        <f>Take_Rate_Customers!$F$14*Assumptions!$F$19*(1+Assumptions!$C$35)^($A14-1)*12*IF($A14&gt;Assumptions!$C$8,0,1)</f>
        <v/>
      </c>
      <c r="F14" s="15">
        <f>Assumptions!$F$21*MIN(1,$A14/Assumptions!$C$31)*IF($A14&gt;Assumptions!$C$8,0,1)</f>
        <v/>
      </c>
      <c r="G14" s="15">
        <f>Take_Rate_Customers!$H$14*Assumptions!$C$34*IF($A14&gt;Assumptions!$C$8,0,1)</f>
        <v/>
      </c>
      <c r="H14" s="15">
        <f>SUM($B14:$F14)</f>
        <v/>
      </c>
      <c r="I14" s="17">
        <f>$H14+$G14</f>
        <v/>
      </c>
    </row>
    <row r="15">
      <c r="A15" s="32" t="n">
        <v>9</v>
      </c>
      <c r="B15" s="15">
        <f>Take_Rate_Customers!$C$15*Assumptions!$F$16*(1+Assumptions!$C$35)^($A15-1)*12*IF($A15&gt;Assumptions!$C$8,0,1)</f>
        <v/>
      </c>
      <c r="C15" s="15">
        <f>Take_Rate_Customers!$D$15*Assumptions!$F$17*(1+Assumptions!$C$35)^($A15-1)*12*IF($A15&gt;Assumptions!$C$8,0,1)</f>
        <v/>
      </c>
      <c r="D15" s="15">
        <f>Take_Rate_Customers!$E$15*Assumptions!$F$18*(1+Assumptions!$C$35)^($A15-1)*12*IF($A15&gt;Assumptions!$C$8,0,1)</f>
        <v/>
      </c>
      <c r="E15" s="15">
        <f>Take_Rate_Customers!$F$15*Assumptions!$F$19*(1+Assumptions!$C$35)^($A15-1)*12*IF($A15&gt;Assumptions!$C$8,0,1)</f>
        <v/>
      </c>
      <c r="F15" s="15">
        <f>Assumptions!$F$21*MIN(1,$A15/Assumptions!$C$31)*IF($A15&gt;Assumptions!$C$8,0,1)</f>
        <v/>
      </c>
      <c r="G15" s="15">
        <f>Take_Rate_Customers!$H$15*Assumptions!$C$34*IF($A15&gt;Assumptions!$C$8,0,1)</f>
        <v/>
      </c>
      <c r="H15" s="15">
        <f>SUM($B15:$F15)</f>
        <v/>
      </c>
      <c r="I15" s="17">
        <f>$H15+$G15</f>
        <v/>
      </c>
    </row>
    <row r="16">
      <c r="A16" s="32" t="n">
        <v>10</v>
      </c>
      <c r="B16" s="15">
        <f>Take_Rate_Customers!$C$16*Assumptions!$F$16*(1+Assumptions!$C$35)^($A16-1)*12*IF($A16&gt;Assumptions!$C$8,0,1)</f>
        <v/>
      </c>
      <c r="C16" s="15">
        <f>Take_Rate_Customers!$D$16*Assumptions!$F$17*(1+Assumptions!$C$35)^($A16-1)*12*IF($A16&gt;Assumptions!$C$8,0,1)</f>
        <v/>
      </c>
      <c r="D16" s="15">
        <f>Take_Rate_Customers!$E$16*Assumptions!$F$18*(1+Assumptions!$C$35)^($A16-1)*12*IF($A16&gt;Assumptions!$C$8,0,1)</f>
        <v/>
      </c>
      <c r="E16" s="15">
        <f>Take_Rate_Customers!$F$16*Assumptions!$F$19*(1+Assumptions!$C$35)^($A16-1)*12*IF($A16&gt;Assumptions!$C$8,0,1)</f>
        <v/>
      </c>
      <c r="F16" s="15">
        <f>Assumptions!$F$21*MIN(1,$A16/Assumptions!$C$31)*IF($A16&gt;Assumptions!$C$8,0,1)</f>
        <v/>
      </c>
      <c r="G16" s="15">
        <f>Take_Rate_Customers!$H$16*Assumptions!$C$34*IF($A16&gt;Assumptions!$C$8,0,1)</f>
        <v/>
      </c>
      <c r="H16" s="15">
        <f>SUM($B16:$F16)</f>
        <v/>
      </c>
      <c r="I16" s="17">
        <f>$H16+$G16</f>
        <v/>
      </c>
    </row>
    <row r="17">
      <c r="A17" s="32" t="n">
        <v>11</v>
      </c>
      <c r="B17" s="15">
        <f>Take_Rate_Customers!$C$17*Assumptions!$F$16*(1+Assumptions!$C$35)^($A17-1)*12*IF($A17&gt;Assumptions!$C$8,0,1)</f>
        <v/>
      </c>
      <c r="C17" s="15">
        <f>Take_Rate_Customers!$D$17*Assumptions!$F$17*(1+Assumptions!$C$35)^($A17-1)*12*IF($A17&gt;Assumptions!$C$8,0,1)</f>
        <v/>
      </c>
      <c r="D17" s="15">
        <f>Take_Rate_Customers!$E$17*Assumptions!$F$18*(1+Assumptions!$C$35)^($A17-1)*12*IF($A17&gt;Assumptions!$C$8,0,1)</f>
        <v/>
      </c>
      <c r="E17" s="15">
        <f>Take_Rate_Customers!$F$17*Assumptions!$F$19*(1+Assumptions!$C$35)^($A17-1)*12*IF($A17&gt;Assumptions!$C$8,0,1)</f>
        <v/>
      </c>
      <c r="F17" s="15">
        <f>Assumptions!$F$21*MIN(1,$A17/Assumptions!$C$31)*IF($A17&gt;Assumptions!$C$8,0,1)</f>
        <v/>
      </c>
      <c r="G17" s="15">
        <f>Take_Rate_Customers!$H$17*Assumptions!$C$34*IF($A17&gt;Assumptions!$C$8,0,1)</f>
        <v/>
      </c>
      <c r="H17" s="15">
        <f>SUM($B17:$F17)</f>
        <v/>
      </c>
      <c r="I17" s="17">
        <f>$H17+$G17</f>
        <v/>
      </c>
    </row>
    <row r="18">
      <c r="A18" s="32" t="n">
        <v>12</v>
      </c>
      <c r="B18" s="15">
        <f>Take_Rate_Customers!$C$18*Assumptions!$F$16*(1+Assumptions!$C$35)^($A18-1)*12*IF($A18&gt;Assumptions!$C$8,0,1)</f>
        <v/>
      </c>
      <c r="C18" s="15">
        <f>Take_Rate_Customers!$D$18*Assumptions!$F$17*(1+Assumptions!$C$35)^($A18-1)*12*IF($A18&gt;Assumptions!$C$8,0,1)</f>
        <v/>
      </c>
      <c r="D18" s="15">
        <f>Take_Rate_Customers!$E$18*Assumptions!$F$18*(1+Assumptions!$C$35)^($A18-1)*12*IF($A18&gt;Assumptions!$C$8,0,1)</f>
        <v/>
      </c>
      <c r="E18" s="15">
        <f>Take_Rate_Customers!$F$18*Assumptions!$F$19*(1+Assumptions!$C$35)^($A18-1)*12*IF($A18&gt;Assumptions!$C$8,0,1)</f>
        <v/>
      </c>
      <c r="F18" s="15">
        <f>Assumptions!$F$21*MIN(1,$A18/Assumptions!$C$31)*IF($A18&gt;Assumptions!$C$8,0,1)</f>
        <v/>
      </c>
      <c r="G18" s="15">
        <f>Take_Rate_Customers!$H$18*Assumptions!$C$34*IF($A18&gt;Assumptions!$C$8,0,1)</f>
        <v/>
      </c>
      <c r="H18" s="15">
        <f>SUM($B18:$F18)</f>
        <v/>
      </c>
      <c r="I18" s="17">
        <f>$H18+$G18</f>
        <v/>
      </c>
    </row>
    <row r="19">
      <c r="A19" s="32" t="n">
        <v>13</v>
      </c>
      <c r="B19" s="15">
        <f>Take_Rate_Customers!$C$19*Assumptions!$F$16*(1+Assumptions!$C$35)^($A19-1)*12*IF($A19&gt;Assumptions!$C$8,0,1)</f>
        <v/>
      </c>
      <c r="C19" s="15">
        <f>Take_Rate_Customers!$D$19*Assumptions!$F$17*(1+Assumptions!$C$35)^($A19-1)*12*IF($A19&gt;Assumptions!$C$8,0,1)</f>
        <v/>
      </c>
      <c r="D19" s="15">
        <f>Take_Rate_Customers!$E$19*Assumptions!$F$18*(1+Assumptions!$C$35)^($A19-1)*12*IF($A19&gt;Assumptions!$C$8,0,1)</f>
        <v/>
      </c>
      <c r="E19" s="15">
        <f>Take_Rate_Customers!$F$19*Assumptions!$F$19*(1+Assumptions!$C$35)^($A19-1)*12*IF($A19&gt;Assumptions!$C$8,0,1)</f>
        <v/>
      </c>
      <c r="F19" s="15">
        <f>Assumptions!$F$21*MIN(1,$A19/Assumptions!$C$31)*IF($A19&gt;Assumptions!$C$8,0,1)</f>
        <v/>
      </c>
      <c r="G19" s="15">
        <f>Take_Rate_Customers!$H$19*Assumptions!$C$34*IF($A19&gt;Assumptions!$C$8,0,1)</f>
        <v/>
      </c>
      <c r="H19" s="15">
        <f>SUM($B19:$F19)</f>
        <v/>
      </c>
      <c r="I19" s="17">
        <f>$H19+$G19</f>
        <v/>
      </c>
    </row>
    <row r="20">
      <c r="A20" s="32" t="n">
        <v>14</v>
      </c>
      <c r="B20" s="15">
        <f>Take_Rate_Customers!$C$20*Assumptions!$F$16*(1+Assumptions!$C$35)^($A20-1)*12*IF($A20&gt;Assumptions!$C$8,0,1)</f>
        <v/>
      </c>
      <c r="C20" s="15">
        <f>Take_Rate_Customers!$D$20*Assumptions!$F$17*(1+Assumptions!$C$35)^($A20-1)*12*IF($A20&gt;Assumptions!$C$8,0,1)</f>
        <v/>
      </c>
      <c r="D20" s="15">
        <f>Take_Rate_Customers!$E$20*Assumptions!$F$18*(1+Assumptions!$C$35)^($A20-1)*12*IF($A20&gt;Assumptions!$C$8,0,1)</f>
        <v/>
      </c>
      <c r="E20" s="15">
        <f>Take_Rate_Customers!$F$20*Assumptions!$F$19*(1+Assumptions!$C$35)^($A20-1)*12*IF($A20&gt;Assumptions!$C$8,0,1)</f>
        <v/>
      </c>
      <c r="F20" s="15">
        <f>Assumptions!$F$21*MIN(1,$A20/Assumptions!$C$31)*IF($A20&gt;Assumptions!$C$8,0,1)</f>
        <v/>
      </c>
      <c r="G20" s="15">
        <f>Take_Rate_Customers!$H$20*Assumptions!$C$34*IF($A20&gt;Assumptions!$C$8,0,1)</f>
        <v/>
      </c>
      <c r="H20" s="15">
        <f>SUM($B20:$F20)</f>
        <v/>
      </c>
      <c r="I20" s="17">
        <f>$H20+$G20</f>
        <v/>
      </c>
    </row>
    <row r="21">
      <c r="A21" s="32" t="n">
        <v>15</v>
      </c>
      <c r="B21" s="15">
        <f>Take_Rate_Customers!$C$21*Assumptions!$F$16*(1+Assumptions!$C$35)^($A21-1)*12*IF($A21&gt;Assumptions!$C$8,0,1)</f>
        <v/>
      </c>
      <c r="C21" s="15">
        <f>Take_Rate_Customers!$D$21*Assumptions!$F$17*(1+Assumptions!$C$35)^($A21-1)*12*IF($A21&gt;Assumptions!$C$8,0,1)</f>
        <v/>
      </c>
      <c r="D21" s="15">
        <f>Take_Rate_Customers!$E$21*Assumptions!$F$18*(1+Assumptions!$C$35)^($A21-1)*12*IF($A21&gt;Assumptions!$C$8,0,1)</f>
        <v/>
      </c>
      <c r="E21" s="15">
        <f>Take_Rate_Customers!$F$21*Assumptions!$F$19*(1+Assumptions!$C$35)^($A21-1)*12*IF($A21&gt;Assumptions!$C$8,0,1)</f>
        <v/>
      </c>
      <c r="F21" s="15">
        <f>Assumptions!$F$21*MIN(1,$A21/Assumptions!$C$31)*IF($A21&gt;Assumptions!$C$8,0,1)</f>
        <v/>
      </c>
      <c r="G21" s="15">
        <f>Take_Rate_Customers!$H$21*Assumptions!$C$34*IF($A21&gt;Assumptions!$C$8,0,1)</f>
        <v/>
      </c>
      <c r="H21" s="15">
        <f>SUM($B21:$F21)</f>
        <v/>
      </c>
      <c r="I21" s="17">
        <f>$H21+$G21</f>
        <v/>
      </c>
    </row>
    <row r="22">
      <c r="A22" s="32" t="n">
        <v>16</v>
      </c>
      <c r="B22" s="15">
        <f>Take_Rate_Customers!$C$22*Assumptions!$F$16*(1+Assumptions!$C$35)^($A22-1)*12*IF($A22&gt;Assumptions!$C$8,0,1)</f>
        <v/>
      </c>
      <c r="C22" s="15">
        <f>Take_Rate_Customers!$D$22*Assumptions!$F$17*(1+Assumptions!$C$35)^($A22-1)*12*IF($A22&gt;Assumptions!$C$8,0,1)</f>
        <v/>
      </c>
      <c r="D22" s="15">
        <f>Take_Rate_Customers!$E$22*Assumptions!$F$18*(1+Assumptions!$C$35)^($A22-1)*12*IF($A22&gt;Assumptions!$C$8,0,1)</f>
        <v/>
      </c>
      <c r="E22" s="15">
        <f>Take_Rate_Customers!$F$22*Assumptions!$F$19*(1+Assumptions!$C$35)^($A22-1)*12*IF($A22&gt;Assumptions!$C$8,0,1)</f>
        <v/>
      </c>
      <c r="F22" s="15">
        <f>Assumptions!$F$21*MIN(1,$A22/Assumptions!$C$31)*IF($A22&gt;Assumptions!$C$8,0,1)</f>
        <v/>
      </c>
      <c r="G22" s="15">
        <f>Take_Rate_Customers!$H$22*Assumptions!$C$34*IF($A22&gt;Assumptions!$C$8,0,1)</f>
        <v/>
      </c>
      <c r="H22" s="15">
        <f>SUM($B22:$F22)</f>
        <v/>
      </c>
      <c r="I22" s="17">
        <f>$H22+$G22</f>
        <v/>
      </c>
    </row>
    <row r="23">
      <c r="A23" s="32" t="n">
        <v>17</v>
      </c>
      <c r="B23" s="15">
        <f>Take_Rate_Customers!$C$23*Assumptions!$F$16*(1+Assumptions!$C$35)^($A23-1)*12*IF($A23&gt;Assumptions!$C$8,0,1)</f>
        <v/>
      </c>
      <c r="C23" s="15">
        <f>Take_Rate_Customers!$D$23*Assumptions!$F$17*(1+Assumptions!$C$35)^($A23-1)*12*IF($A23&gt;Assumptions!$C$8,0,1)</f>
        <v/>
      </c>
      <c r="D23" s="15">
        <f>Take_Rate_Customers!$E$23*Assumptions!$F$18*(1+Assumptions!$C$35)^($A23-1)*12*IF($A23&gt;Assumptions!$C$8,0,1)</f>
        <v/>
      </c>
      <c r="E23" s="15">
        <f>Take_Rate_Customers!$F$23*Assumptions!$F$19*(1+Assumptions!$C$35)^($A23-1)*12*IF($A23&gt;Assumptions!$C$8,0,1)</f>
        <v/>
      </c>
      <c r="F23" s="15">
        <f>Assumptions!$F$21*MIN(1,$A23/Assumptions!$C$31)*IF($A23&gt;Assumptions!$C$8,0,1)</f>
        <v/>
      </c>
      <c r="G23" s="15">
        <f>Take_Rate_Customers!$H$23*Assumptions!$C$34*IF($A23&gt;Assumptions!$C$8,0,1)</f>
        <v/>
      </c>
      <c r="H23" s="15">
        <f>SUM($B23:$F23)</f>
        <v/>
      </c>
      <c r="I23" s="17">
        <f>$H23+$G23</f>
        <v/>
      </c>
    </row>
    <row r="24">
      <c r="A24" s="32" t="n">
        <v>18</v>
      </c>
      <c r="B24" s="15">
        <f>Take_Rate_Customers!$C$24*Assumptions!$F$16*(1+Assumptions!$C$35)^($A24-1)*12*IF($A24&gt;Assumptions!$C$8,0,1)</f>
        <v/>
      </c>
      <c r="C24" s="15">
        <f>Take_Rate_Customers!$D$24*Assumptions!$F$17*(1+Assumptions!$C$35)^($A24-1)*12*IF($A24&gt;Assumptions!$C$8,0,1)</f>
        <v/>
      </c>
      <c r="D24" s="15">
        <f>Take_Rate_Customers!$E$24*Assumptions!$F$18*(1+Assumptions!$C$35)^($A24-1)*12*IF($A24&gt;Assumptions!$C$8,0,1)</f>
        <v/>
      </c>
      <c r="E24" s="15">
        <f>Take_Rate_Customers!$F$24*Assumptions!$F$19*(1+Assumptions!$C$35)^($A24-1)*12*IF($A24&gt;Assumptions!$C$8,0,1)</f>
        <v/>
      </c>
      <c r="F24" s="15">
        <f>Assumptions!$F$21*MIN(1,$A24/Assumptions!$C$31)*IF($A24&gt;Assumptions!$C$8,0,1)</f>
        <v/>
      </c>
      <c r="G24" s="15">
        <f>Take_Rate_Customers!$H$24*Assumptions!$C$34*IF($A24&gt;Assumptions!$C$8,0,1)</f>
        <v/>
      </c>
      <c r="H24" s="15">
        <f>SUM($B24:$F24)</f>
        <v/>
      </c>
      <c r="I24" s="17">
        <f>$H24+$G24</f>
        <v/>
      </c>
    </row>
    <row r="25">
      <c r="A25" s="32" t="n">
        <v>19</v>
      </c>
      <c r="B25" s="15">
        <f>Take_Rate_Customers!$C$25*Assumptions!$F$16*(1+Assumptions!$C$35)^($A25-1)*12*IF($A25&gt;Assumptions!$C$8,0,1)</f>
        <v/>
      </c>
      <c r="C25" s="15">
        <f>Take_Rate_Customers!$D$25*Assumptions!$F$17*(1+Assumptions!$C$35)^($A25-1)*12*IF($A25&gt;Assumptions!$C$8,0,1)</f>
        <v/>
      </c>
      <c r="D25" s="15">
        <f>Take_Rate_Customers!$E$25*Assumptions!$F$18*(1+Assumptions!$C$35)^($A25-1)*12*IF($A25&gt;Assumptions!$C$8,0,1)</f>
        <v/>
      </c>
      <c r="E25" s="15">
        <f>Take_Rate_Customers!$F$25*Assumptions!$F$19*(1+Assumptions!$C$35)^($A25-1)*12*IF($A25&gt;Assumptions!$C$8,0,1)</f>
        <v/>
      </c>
      <c r="F25" s="15">
        <f>Assumptions!$F$21*MIN(1,$A25/Assumptions!$C$31)*IF($A25&gt;Assumptions!$C$8,0,1)</f>
        <v/>
      </c>
      <c r="G25" s="15">
        <f>Take_Rate_Customers!$H$25*Assumptions!$C$34*IF($A25&gt;Assumptions!$C$8,0,1)</f>
        <v/>
      </c>
      <c r="H25" s="15">
        <f>SUM($B25:$F25)</f>
        <v/>
      </c>
      <c r="I25" s="17">
        <f>$H25+$G25</f>
        <v/>
      </c>
    </row>
    <row r="26">
      <c r="A26" s="32" t="n">
        <v>20</v>
      </c>
      <c r="B26" s="15">
        <f>Take_Rate_Customers!$C$26*Assumptions!$F$16*(1+Assumptions!$C$35)^($A26-1)*12*IF($A26&gt;Assumptions!$C$8,0,1)</f>
        <v/>
      </c>
      <c r="C26" s="15">
        <f>Take_Rate_Customers!$D$26*Assumptions!$F$17*(1+Assumptions!$C$35)^($A26-1)*12*IF($A26&gt;Assumptions!$C$8,0,1)</f>
        <v/>
      </c>
      <c r="D26" s="15">
        <f>Take_Rate_Customers!$E$26*Assumptions!$F$18*(1+Assumptions!$C$35)^($A26-1)*12*IF($A26&gt;Assumptions!$C$8,0,1)</f>
        <v/>
      </c>
      <c r="E26" s="15">
        <f>Take_Rate_Customers!$F$26*Assumptions!$F$19*(1+Assumptions!$C$35)^($A26-1)*12*IF($A26&gt;Assumptions!$C$8,0,1)</f>
        <v/>
      </c>
      <c r="F26" s="15">
        <f>Assumptions!$F$21*MIN(1,$A26/Assumptions!$C$31)*IF($A26&gt;Assumptions!$C$8,0,1)</f>
        <v/>
      </c>
      <c r="G26" s="15">
        <f>Take_Rate_Customers!$H$26*Assumptions!$C$34*IF($A26&gt;Assumptions!$C$8,0,1)</f>
        <v/>
      </c>
      <c r="H26" s="15">
        <f>SUM($B26:$F26)</f>
        <v/>
      </c>
      <c r="I26" s="17">
        <f>$H26+$G26</f>
        <v/>
      </c>
    </row>
    <row r="27">
      <c r="A27" s="32" t="n">
        <v>21</v>
      </c>
      <c r="B27" s="15">
        <f>Take_Rate_Customers!$C$27*Assumptions!$F$16*(1+Assumptions!$C$35)^($A27-1)*12*IF($A27&gt;Assumptions!$C$8,0,1)</f>
        <v/>
      </c>
      <c r="C27" s="15">
        <f>Take_Rate_Customers!$D$27*Assumptions!$F$17*(1+Assumptions!$C$35)^($A27-1)*12*IF($A27&gt;Assumptions!$C$8,0,1)</f>
        <v/>
      </c>
      <c r="D27" s="15">
        <f>Take_Rate_Customers!$E$27*Assumptions!$F$18*(1+Assumptions!$C$35)^($A27-1)*12*IF($A27&gt;Assumptions!$C$8,0,1)</f>
        <v/>
      </c>
      <c r="E27" s="15">
        <f>Take_Rate_Customers!$F$27*Assumptions!$F$19*(1+Assumptions!$C$35)^($A27-1)*12*IF($A27&gt;Assumptions!$C$8,0,1)</f>
        <v/>
      </c>
      <c r="F27" s="15">
        <f>Assumptions!$F$21*MIN(1,$A27/Assumptions!$C$31)*IF($A27&gt;Assumptions!$C$8,0,1)</f>
        <v/>
      </c>
      <c r="G27" s="15">
        <f>Take_Rate_Customers!$H$27*Assumptions!$C$34*IF($A27&gt;Assumptions!$C$8,0,1)</f>
        <v/>
      </c>
      <c r="H27" s="15">
        <f>SUM($B27:$F27)</f>
        <v/>
      </c>
      <c r="I27" s="17">
        <f>$H27+$G27</f>
        <v/>
      </c>
    </row>
    <row r="28">
      <c r="A28" s="32" t="n">
        <v>22</v>
      </c>
      <c r="B28" s="15">
        <f>Take_Rate_Customers!$C$28*Assumptions!$F$16*(1+Assumptions!$C$35)^($A28-1)*12*IF($A28&gt;Assumptions!$C$8,0,1)</f>
        <v/>
      </c>
      <c r="C28" s="15">
        <f>Take_Rate_Customers!$D$28*Assumptions!$F$17*(1+Assumptions!$C$35)^($A28-1)*12*IF($A28&gt;Assumptions!$C$8,0,1)</f>
        <v/>
      </c>
      <c r="D28" s="15">
        <f>Take_Rate_Customers!$E$28*Assumptions!$F$18*(1+Assumptions!$C$35)^($A28-1)*12*IF($A28&gt;Assumptions!$C$8,0,1)</f>
        <v/>
      </c>
      <c r="E28" s="15">
        <f>Take_Rate_Customers!$F$28*Assumptions!$F$19*(1+Assumptions!$C$35)^($A28-1)*12*IF($A28&gt;Assumptions!$C$8,0,1)</f>
        <v/>
      </c>
      <c r="F28" s="15">
        <f>Assumptions!$F$21*MIN(1,$A28/Assumptions!$C$31)*IF($A28&gt;Assumptions!$C$8,0,1)</f>
        <v/>
      </c>
      <c r="G28" s="15">
        <f>Take_Rate_Customers!$H$28*Assumptions!$C$34*IF($A28&gt;Assumptions!$C$8,0,1)</f>
        <v/>
      </c>
      <c r="H28" s="15">
        <f>SUM($B28:$F28)</f>
        <v/>
      </c>
      <c r="I28" s="17">
        <f>$H28+$G28</f>
        <v/>
      </c>
    </row>
    <row r="29">
      <c r="A29" s="32" t="n">
        <v>23</v>
      </c>
      <c r="B29" s="15">
        <f>Take_Rate_Customers!$C$29*Assumptions!$F$16*(1+Assumptions!$C$35)^($A29-1)*12*IF($A29&gt;Assumptions!$C$8,0,1)</f>
        <v/>
      </c>
      <c r="C29" s="15">
        <f>Take_Rate_Customers!$D$29*Assumptions!$F$17*(1+Assumptions!$C$35)^($A29-1)*12*IF($A29&gt;Assumptions!$C$8,0,1)</f>
        <v/>
      </c>
      <c r="D29" s="15">
        <f>Take_Rate_Customers!$E$29*Assumptions!$F$18*(1+Assumptions!$C$35)^($A29-1)*12*IF($A29&gt;Assumptions!$C$8,0,1)</f>
        <v/>
      </c>
      <c r="E29" s="15">
        <f>Take_Rate_Customers!$F$29*Assumptions!$F$19*(1+Assumptions!$C$35)^($A29-1)*12*IF($A29&gt;Assumptions!$C$8,0,1)</f>
        <v/>
      </c>
      <c r="F29" s="15">
        <f>Assumptions!$F$21*MIN(1,$A29/Assumptions!$C$31)*IF($A29&gt;Assumptions!$C$8,0,1)</f>
        <v/>
      </c>
      <c r="G29" s="15">
        <f>Take_Rate_Customers!$H$29*Assumptions!$C$34*IF($A29&gt;Assumptions!$C$8,0,1)</f>
        <v/>
      </c>
      <c r="H29" s="15">
        <f>SUM($B29:$F29)</f>
        <v/>
      </c>
      <c r="I29" s="17">
        <f>$H29+$G29</f>
        <v/>
      </c>
    </row>
    <row r="30">
      <c r="A30" s="32" t="n">
        <v>24</v>
      </c>
      <c r="B30" s="15">
        <f>Take_Rate_Customers!$C$30*Assumptions!$F$16*(1+Assumptions!$C$35)^($A30-1)*12*IF($A30&gt;Assumptions!$C$8,0,1)</f>
        <v/>
      </c>
      <c r="C30" s="15">
        <f>Take_Rate_Customers!$D$30*Assumptions!$F$17*(1+Assumptions!$C$35)^($A30-1)*12*IF($A30&gt;Assumptions!$C$8,0,1)</f>
        <v/>
      </c>
      <c r="D30" s="15">
        <f>Take_Rate_Customers!$E$30*Assumptions!$F$18*(1+Assumptions!$C$35)^($A30-1)*12*IF($A30&gt;Assumptions!$C$8,0,1)</f>
        <v/>
      </c>
      <c r="E30" s="15">
        <f>Take_Rate_Customers!$F$30*Assumptions!$F$19*(1+Assumptions!$C$35)^($A30-1)*12*IF($A30&gt;Assumptions!$C$8,0,1)</f>
        <v/>
      </c>
      <c r="F30" s="15">
        <f>Assumptions!$F$21*MIN(1,$A30/Assumptions!$C$31)*IF($A30&gt;Assumptions!$C$8,0,1)</f>
        <v/>
      </c>
      <c r="G30" s="15">
        <f>Take_Rate_Customers!$H$30*Assumptions!$C$34*IF($A30&gt;Assumptions!$C$8,0,1)</f>
        <v/>
      </c>
      <c r="H30" s="15">
        <f>SUM($B30:$F30)</f>
        <v/>
      </c>
      <c r="I30" s="17">
        <f>$H30+$G30</f>
        <v/>
      </c>
    </row>
    <row r="31">
      <c r="A31" s="32" t="n">
        <v>25</v>
      </c>
      <c r="B31" s="15">
        <f>Take_Rate_Customers!$C$31*Assumptions!$F$16*(1+Assumptions!$C$35)^($A31-1)*12*IF($A31&gt;Assumptions!$C$8,0,1)</f>
        <v/>
      </c>
      <c r="C31" s="15">
        <f>Take_Rate_Customers!$D$31*Assumptions!$F$17*(1+Assumptions!$C$35)^($A31-1)*12*IF($A31&gt;Assumptions!$C$8,0,1)</f>
        <v/>
      </c>
      <c r="D31" s="15">
        <f>Take_Rate_Customers!$E$31*Assumptions!$F$18*(1+Assumptions!$C$35)^($A31-1)*12*IF($A31&gt;Assumptions!$C$8,0,1)</f>
        <v/>
      </c>
      <c r="E31" s="15">
        <f>Take_Rate_Customers!$F$31*Assumptions!$F$19*(1+Assumptions!$C$35)^($A31-1)*12*IF($A31&gt;Assumptions!$C$8,0,1)</f>
        <v/>
      </c>
      <c r="F31" s="15">
        <f>Assumptions!$F$21*MIN(1,$A31/Assumptions!$C$31)*IF($A31&gt;Assumptions!$C$8,0,1)</f>
        <v/>
      </c>
      <c r="G31" s="15">
        <f>Take_Rate_Customers!$H$31*Assumptions!$C$34*IF($A31&gt;Assumptions!$C$8,0,1)</f>
        <v/>
      </c>
      <c r="H31" s="15">
        <f>SUM($B31:$F31)</f>
        <v/>
      </c>
      <c r="I31" s="17">
        <f>$H31+$G31</f>
        <v/>
      </c>
    </row>
    <row r="32">
      <c r="A32" s="32" t="n">
        <v>26</v>
      </c>
      <c r="B32" s="15">
        <f>Take_Rate_Customers!$C$32*Assumptions!$F$16*(1+Assumptions!$C$35)^($A32-1)*12*IF($A32&gt;Assumptions!$C$8,0,1)</f>
        <v/>
      </c>
      <c r="C32" s="15">
        <f>Take_Rate_Customers!$D$32*Assumptions!$F$17*(1+Assumptions!$C$35)^($A32-1)*12*IF($A32&gt;Assumptions!$C$8,0,1)</f>
        <v/>
      </c>
      <c r="D32" s="15">
        <f>Take_Rate_Customers!$E$32*Assumptions!$F$18*(1+Assumptions!$C$35)^($A32-1)*12*IF($A32&gt;Assumptions!$C$8,0,1)</f>
        <v/>
      </c>
      <c r="E32" s="15">
        <f>Take_Rate_Customers!$F$32*Assumptions!$F$19*(1+Assumptions!$C$35)^($A32-1)*12*IF($A32&gt;Assumptions!$C$8,0,1)</f>
        <v/>
      </c>
      <c r="F32" s="15">
        <f>Assumptions!$F$21*MIN(1,$A32/Assumptions!$C$31)*IF($A32&gt;Assumptions!$C$8,0,1)</f>
        <v/>
      </c>
      <c r="G32" s="15">
        <f>Take_Rate_Customers!$H$32*Assumptions!$C$34*IF($A32&gt;Assumptions!$C$8,0,1)</f>
        <v/>
      </c>
      <c r="H32" s="15">
        <f>SUM($B32:$F32)</f>
        <v/>
      </c>
      <c r="I32" s="17">
        <f>$H32+$G32</f>
        <v/>
      </c>
    </row>
    <row r="33">
      <c r="A33" s="32" t="n">
        <v>27</v>
      </c>
      <c r="B33" s="15">
        <f>Take_Rate_Customers!$C$33*Assumptions!$F$16*(1+Assumptions!$C$35)^($A33-1)*12*IF($A33&gt;Assumptions!$C$8,0,1)</f>
        <v/>
      </c>
      <c r="C33" s="15">
        <f>Take_Rate_Customers!$D$33*Assumptions!$F$17*(1+Assumptions!$C$35)^($A33-1)*12*IF($A33&gt;Assumptions!$C$8,0,1)</f>
        <v/>
      </c>
      <c r="D33" s="15">
        <f>Take_Rate_Customers!$E$33*Assumptions!$F$18*(1+Assumptions!$C$35)^($A33-1)*12*IF($A33&gt;Assumptions!$C$8,0,1)</f>
        <v/>
      </c>
      <c r="E33" s="15">
        <f>Take_Rate_Customers!$F$33*Assumptions!$F$19*(1+Assumptions!$C$35)^($A33-1)*12*IF($A33&gt;Assumptions!$C$8,0,1)</f>
        <v/>
      </c>
      <c r="F33" s="15">
        <f>Assumptions!$F$21*MIN(1,$A33/Assumptions!$C$31)*IF($A33&gt;Assumptions!$C$8,0,1)</f>
        <v/>
      </c>
      <c r="G33" s="15">
        <f>Take_Rate_Customers!$H$33*Assumptions!$C$34*IF($A33&gt;Assumptions!$C$8,0,1)</f>
        <v/>
      </c>
      <c r="H33" s="15">
        <f>SUM($B33:$F33)</f>
        <v/>
      </c>
      <c r="I33" s="17">
        <f>$H33+$G33</f>
        <v/>
      </c>
    </row>
    <row r="34">
      <c r="A34" s="32" t="n">
        <v>28</v>
      </c>
      <c r="B34" s="15">
        <f>Take_Rate_Customers!$C$34*Assumptions!$F$16*(1+Assumptions!$C$35)^($A34-1)*12*IF($A34&gt;Assumptions!$C$8,0,1)</f>
        <v/>
      </c>
      <c r="C34" s="15">
        <f>Take_Rate_Customers!$D$34*Assumptions!$F$17*(1+Assumptions!$C$35)^($A34-1)*12*IF($A34&gt;Assumptions!$C$8,0,1)</f>
        <v/>
      </c>
      <c r="D34" s="15">
        <f>Take_Rate_Customers!$E$34*Assumptions!$F$18*(1+Assumptions!$C$35)^($A34-1)*12*IF($A34&gt;Assumptions!$C$8,0,1)</f>
        <v/>
      </c>
      <c r="E34" s="15">
        <f>Take_Rate_Customers!$F$34*Assumptions!$F$19*(1+Assumptions!$C$35)^($A34-1)*12*IF($A34&gt;Assumptions!$C$8,0,1)</f>
        <v/>
      </c>
      <c r="F34" s="15">
        <f>Assumptions!$F$21*MIN(1,$A34/Assumptions!$C$31)*IF($A34&gt;Assumptions!$C$8,0,1)</f>
        <v/>
      </c>
      <c r="G34" s="15">
        <f>Take_Rate_Customers!$H$34*Assumptions!$C$34*IF($A34&gt;Assumptions!$C$8,0,1)</f>
        <v/>
      </c>
      <c r="H34" s="15">
        <f>SUM($B34:$F34)</f>
        <v/>
      </c>
      <c r="I34" s="17">
        <f>$H34+$G34</f>
        <v/>
      </c>
    </row>
    <row r="35">
      <c r="A35" s="32" t="n">
        <v>29</v>
      </c>
      <c r="B35" s="15">
        <f>Take_Rate_Customers!$C$35*Assumptions!$F$16*(1+Assumptions!$C$35)^($A35-1)*12*IF($A35&gt;Assumptions!$C$8,0,1)</f>
        <v/>
      </c>
      <c r="C35" s="15">
        <f>Take_Rate_Customers!$D$35*Assumptions!$F$17*(1+Assumptions!$C$35)^($A35-1)*12*IF($A35&gt;Assumptions!$C$8,0,1)</f>
        <v/>
      </c>
      <c r="D35" s="15">
        <f>Take_Rate_Customers!$E$35*Assumptions!$F$18*(1+Assumptions!$C$35)^($A35-1)*12*IF($A35&gt;Assumptions!$C$8,0,1)</f>
        <v/>
      </c>
      <c r="E35" s="15">
        <f>Take_Rate_Customers!$F$35*Assumptions!$F$19*(1+Assumptions!$C$35)^($A35-1)*12*IF($A35&gt;Assumptions!$C$8,0,1)</f>
        <v/>
      </c>
      <c r="F35" s="15">
        <f>Assumptions!$F$21*MIN(1,$A35/Assumptions!$C$31)*IF($A35&gt;Assumptions!$C$8,0,1)</f>
        <v/>
      </c>
      <c r="G35" s="15">
        <f>Take_Rate_Customers!$H$35*Assumptions!$C$34*IF($A35&gt;Assumptions!$C$8,0,1)</f>
        <v/>
      </c>
      <c r="H35" s="15">
        <f>SUM($B35:$F35)</f>
        <v/>
      </c>
      <c r="I35" s="17">
        <f>$H35+$G35</f>
        <v/>
      </c>
    </row>
    <row r="36">
      <c r="A36" s="32" t="n">
        <v>30</v>
      </c>
      <c r="B36" s="15">
        <f>Take_Rate_Customers!$C$36*Assumptions!$F$16*(1+Assumptions!$C$35)^($A36-1)*12*IF($A36&gt;Assumptions!$C$8,0,1)</f>
        <v/>
      </c>
      <c r="C36" s="15">
        <f>Take_Rate_Customers!$D$36*Assumptions!$F$17*(1+Assumptions!$C$35)^($A36-1)*12*IF($A36&gt;Assumptions!$C$8,0,1)</f>
        <v/>
      </c>
      <c r="D36" s="15">
        <f>Take_Rate_Customers!$E$36*Assumptions!$F$18*(1+Assumptions!$C$35)^($A36-1)*12*IF($A36&gt;Assumptions!$C$8,0,1)</f>
        <v/>
      </c>
      <c r="E36" s="15">
        <f>Take_Rate_Customers!$F$36*Assumptions!$F$19*(1+Assumptions!$C$35)^($A36-1)*12*IF($A36&gt;Assumptions!$C$8,0,1)</f>
        <v/>
      </c>
      <c r="F36" s="15">
        <f>Assumptions!$F$21*MIN(1,$A36/Assumptions!$C$31)*IF($A36&gt;Assumptions!$C$8,0,1)</f>
        <v/>
      </c>
      <c r="G36" s="15">
        <f>Take_Rate_Customers!$H$36*Assumptions!$C$34*IF($A36&gt;Assumptions!$C$8,0,1)</f>
        <v/>
      </c>
      <c r="H36" s="15">
        <f>SUM($B36:$F36)</f>
        <v/>
      </c>
      <c r="I36" s="17">
        <f>$H36+$G36</f>
        <v/>
      </c>
    </row>
    <row r="38">
      <c r="B38" s="30" t="inlineStr">
        <is>
          <t>CHECK: no #REF errors in total gross revenue column</t>
        </is>
      </c>
      <c r="F38" s="31">
        <f>IF(SUMPRODUCT(--ISERROR($I6:$I36))=0,"PASS","FAIL")</f>
        <v/>
      </c>
    </row>
  </sheetData>
  <autoFilter ref="A5:I5"/>
  <mergeCells count="3">
    <mergeCell ref="A1:I1"/>
    <mergeCell ref="A3:I3"/>
    <mergeCell ref="A2:I2"/>
  </mergeCells>
  <conditionalFormatting sqref="F38">
    <cfRule type="expression" priority="1" dxfId="0" stopIfTrue="1">
      <formula>ISNUMBER(SEARCH("PASS",F38))</formula>
    </cfRule>
    <cfRule type="expression" priority="2" dxfId="1">
      <formula>NOT(ISNUMBER(SEARCH("PASS",F38)))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OPERATING EXPENSES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Fixed components inflate; %-of-revenue components scale with revenue. Electronics replacement is a MEMO here — the capital charge lives in Capital_Replacement to avoid double counting.</t>
        </is>
      </c>
    </row>
    <row r="5">
      <c r="A5" s="24" t="inlineStr">
        <is>
          <t>Year</t>
        </is>
      </c>
      <c r="B5" s="24" t="inlineStr">
        <is>
          <t>Infl. Factor</t>
        </is>
      </c>
      <c r="C5" s="24" t="inlineStr">
        <is>
          <t>Network Ops</t>
        </is>
      </c>
      <c r="D5" s="24" t="inlineStr">
        <is>
          <t>Maintenance</t>
        </is>
      </c>
      <c r="E5" s="24" t="inlineStr">
        <is>
          <t>Staffing</t>
        </is>
      </c>
      <c r="F5" s="24" t="inlineStr">
        <is>
          <t>Marketing</t>
        </is>
      </c>
      <c r="G5" s="24" t="inlineStr">
        <is>
          <t>G&amp;A</t>
        </is>
      </c>
      <c r="H5" s="24" t="inlineStr">
        <is>
          <t>Bad Debt</t>
        </is>
      </c>
      <c r="I5" s="24" t="inlineStr">
        <is>
          <t>TOTAL OPEX</t>
        </is>
      </c>
      <c r="J5" s="24" t="inlineStr">
        <is>
          <t>Electronics (memo)</t>
        </is>
      </c>
    </row>
    <row r="6">
      <c r="A6" s="32" t="n">
        <v>0</v>
      </c>
      <c r="B6" s="28" t="n">
        <v>1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</row>
    <row r="7">
      <c r="A7" s="32" t="n">
        <v>1</v>
      </c>
      <c r="B7" s="28">
        <f>(1+Assumptions!$F$24)^($A7-1)</f>
        <v/>
      </c>
      <c r="C7" s="15">
        <f>Take_Rate_Customers!$G$7*Assumptions!$C$36*$B7</f>
        <v/>
      </c>
      <c r="D7" s="15">
        <f>Assumptions!$C$37*Construction_Budget!$E$17*$B7</f>
        <v/>
      </c>
      <c r="E7" s="15">
        <f>Assumptions!$C$38*Assumptions!$C$39*$B7</f>
        <v/>
      </c>
      <c r="F7" s="15">
        <f>Assumptions!$C$40*Revenue!$I$7</f>
        <v/>
      </c>
      <c r="G7" s="15">
        <f>Assumptions!$C$41*Revenue!$I$7</f>
        <v/>
      </c>
      <c r="H7" s="15">
        <f>Assumptions!$F$23*Revenue!$H$7</f>
        <v/>
      </c>
      <c r="I7" s="17">
        <f>SUM($C7:$H7)</f>
        <v/>
      </c>
      <c r="J7" s="15">
        <f>Construction_Budget!$E$19/Assumptions!$C$42*$B7</f>
        <v/>
      </c>
    </row>
    <row r="8">
      <c r="A8" s="32" t="n">
        <v>2</v>
      </c>
      <c r="B8" s="28">
        <f>(1+Assumptions!$F$24)^($A8-1)</f>
        <v/>
      </c>
      <c r="C8" s="15">
        <f>Take_Rate_Customers!$G$8*Assumptions!$C$36*$B8</f>
        <v/>
      </c>
      <c r="D8" s="15">
        <f>Assumptions!$C$37*Construction_Budget!$E$17*$B8</f>
        <v/>
      </c>
      <c r="E8" s="15">
        <f>Assumptions!$C$38*Assumptions!$C$39*$B8</f>
        <v/>
      </c>
      <c r="F8" s="15">
        <f>Assumptions!$C$40*Revenue!$I$8</f>
        <v/>
      </c>
      <c r="G8" s="15">
        <f>Assumptions!$C$41*Revenue!$I$8</f>
        <v/>
      </c>
      <c r="H8" s="15">
        <f>Assumptions!$F$23*Revenue!$H$8</f>
        <v/>
      </c>
      <c r="I8" s="17">
        <f>SUM($C8:$H8)</f>
        <v/>
      </c>
      <c r="J8" s="15">
        <f>Construction_Budget!$E$19/Assumptions!$C$42*$B8</f>
        <v/>
      </c>
    </row>
    <row r="9">
      <c r="A9" s="32" t="n">
        <v>3</v>
      </c>
      <c r="B9" s="28">
        <f>(1+Assumptions!$F$24)^($A9-1)</f>
        <v/>
      </c>
      <c r="C9" s="15">
        <f>Take_Rate_Customers!$G$9*Assumptions!$C$36*$B9</f>
        <v/>
      </c>
      <c r="D9" s="15">
        <f>Assumptions!$C$37*Construction_Budget!$E$17*$B9</f>
        <v/>
      </c>
      <c r="E9" s="15">
        <f>Assumptions!$C$38*Assumptions!$C$39*$B9</f>
        <v/>
      </c>
      <c r="F9" s="15">
        <f>Assumptions!$C$40*Revenue!$I$9</f>
        <v/>
      </c>
      <c r="G9" s="15">
        <f>Assumptions!$C$41*Revenue!$I$9</f>
        <v/>
      </c>
      <c r="H9" s="15">
        <f>Assumptions!$F$23*Revenue!$H$9</f>
        <v/>
      </c>
      <c r="I9" s="17">
        <f>SUM($C9:$H9)</f>
        <v/>
      </c>
      <c r="J9" s="15">
        <f>Construction_Budget!$E$19/Assumptions!$C$42*$B9</f>
        <v/>
      </c>
    </row>
    <row r="10">
      <c r="A10" s="32" t="n">
        <v>4</v>
      </c>
      <c r="B10" s="28">
        <f>(1+Assumptions!$F$24)^($A10-1)</f>
        <v/>
      </c>
      <c r="C10" s="15">
        <f>Take_Rate_Customers!$G$10*Assumptions!$C$36*$B10</f>
        <v/>
      </c>
      <c r="D10" s="15">
        <f>Assumptions!$C$37*Construction_Budget!$E$17*$B10</f>
        <v/>
      </c>
      <c r="E10" s="15">
        <f>Assumptions!$C$38*Assumptions!$C$39*$B10</f>
        <v/>
      </c>
      <c r="F10" s="15">
        <f>Assumptions!$C$40*Revenue!$I$10</f>
        <v/>
      </c>
      <c r="G10" s="15">
        <f>Assumptions!$C$41*Revenue!$I$10</f>
        <v/>
      </c>
      <c r="H10" s="15">
        <f>Assumptions!$F$23*Revenue!$H$10</f>
        <v/>
      </c>
      <c r="I10" s="17">
        <f>SUM($C10:$H10)</f>
        <v/>
      </c>
      <c r="J10" s="15">
        <f>Construction_Budget!$E$19/Assumptions!$C$42*$B10</f>
        <v/>
      </c>
    </row>
    <row r="11">
      <c r="A11" s="32" t="n">
        <v>5</v>
      </c>
      <c r="B11" s="28">
        <f>(1+Assumptions!$F$24)^($A11-1)</f>
        <v/>
      </c>
      <c r="C11" s="15">
        <f>Take_Rate_Customers!$G$11*Assumptions!$C$36*$B11</f>
        <v/>
      </c>
      <c r="D11" s="15">
        <f>Assumptions!$C$37*Construction_Budget!$E$17*$B11</f>
        <v/>
      </c>
      <c r="E11" s="15">
        <f>Assumptions!$C$38*Assumptions!$C$39*$B11</f>
        <v/>
      </c>
      <c r="F11" s="15">
        <f>Assumptions!$C$40*Revenue!$I$11</f>
        <v/>
      </c>
      <c r="G11" s="15">
        <f>Assumptions!$C$41*Revenue!$I$11</f>
        <v/>
      </c>
      <c r="H11" s="15">
        <f>Assumptions!$F$23*Revenue!$H$11</f>
        <v/>
      </c>
      <c r="I11" s="17">
        <f>SUM($C11:$H11)</f>
        <v/>
      </c>
      <c r="J11" s="15">
        <f>Construction_Budget!$E$19/Assumptions!$C$42*$B11</f>
        <v/>
      </c>
    </row>
    <row r="12">
      <c r="A12" s="32" t="n">
        <v>6</v>
      </c>
      <c r="B12" s="28">
        <f>(1+Assumptions!$F$24)^($A12-1)</f>
        <v/>
      </c>
      <c r="C12" s="15">
        <f>Take_Rate_Customers!$G$12*Assumptions!$C$36*$B12</f>
        <v/>
      </c>
      <c r="D12" s="15">
        <f>Assumptions!$C$37*Construction_Budget!$E$17*$B12</f>
        <v/>
      </c>
      <c r="E12" s="15">
        <f>Assumptions!$C$38*Assumptions!$C$39*$B12</f>
        <v/>
      </c>
      <c r="F12" s="15">
        <f>Assumptions!$C$40*Revenue!$I$12</f>
        <v/>
      </c>
      <c r="G12" s="15">
        <f>Assumptions!$C$41*Revenue!$I$12</f>
        <v/>
      </c>
      <c r="H12" s="15">
        <f>Assumptions!$F$23*Revenue!$H$12</f>
        <v/>
      </c>
      <c r="I12" s="17">
        <f>SUM($C12:$H12)</f>
        <v/>
      </c>
      <c r="J12" s="15">
        <f>Construction_Budget!$E$19/Assumptions!$C$42*$B12</f>
        <v/>
      </c>
    </row>
    <row r="13">
      <c r="A13" s="32" t="n">
        <v>7</v>
      </c>
      <c r="B13" s="28">
        <f>(1+Assumptions!$F$24)^($A13-1)</f>
        <v/>
      </c>
      <c r="C13" s="15">
        <f>Take_Rate_Customers!$G$13*Assumptions!$C$36*$B13</f>
        <v/>
      </c>
      <c r="D13" s="15">
        <f>Assumptions!$C$37*Construction_Budget!$E$17*$B13</f>
        <v/>
      </c>
      <c r="E13" s="15">
        <f>Assumptions!$C$38*Assumptions!$C$39*$B13</f>
        <v/>
      </c>
      <c r="F13" s="15">
        <f>Assumptions!$C$40*Revenue!$I$13</f>
        <v/>
      </c>
      <c r="G13" s="15">
        <f>Assumptions!$C$41*Revenue!$I$13</f>
        <v/>
      </c>
      <c r="H13" s="15">
        <f>Assumptions!$F$23*Revenue!$H$13</f>
        <v/>
      </c>
      <c r="I13" s="17">
        <f>SUM($C13:$H13)</f>
        <v/>
      </c>
      <c r="J13" s="15">
        <f>Construction_Budget!$E$19/Assumptions!$C$42*$B13</f>
        <v/>
      </c>
    </row>
    <row r="14">
      <c r="A14" s="32" t="n">
        <v>8</v>
      </c>
      <c r="B14" s="28">
        <f>(1+Assumptions!$F$24)^($A14-1)</f>
        <v/>
      </c>
      <c r="C14" s="15">
        <f>Take_Rate_Customers!$G$14*Assumptions!$C$36*$B14</f>
        <v/>
      </c>
      <c r="D14" s="15">
        <f>Assumptions!$C$37*Construction_Budget!$E$17*$B14</f>
        <v/>
      </c>
      <c r="E14" s="15">
        <f>Assumptions!$C$38*Assumptions!$C$39*$B14</f>
        <v/>
      </c>
      <c r="F14" s="15">
        <f>Assumptions!$C$40*Revenue!$I$14</f>
        <v/>
      </c>
      <c r="G14" s="15">
        <f>Assumptions!$C$41*Revenue!$I$14</f>
        <v/>
      </c>
      <c r="H14" s="15">
        <f>Assumptions!$F$23*Revenue!$H$14</f>
        <v/>
      </c>
      <c r="I14" s="17">
        <f>SUM($C14:$H14)</f>
        <v/>
      </c>
      <c r="J14" s="15">
        <f>Construction_Budget!$E$19/Assumptions!$C$42*$B14</f>
        <v/>
      </c>
    </row>
    <row r="15">
      <c r="A15" s="32" t="n">
        <v>9</v>
      </c>
      <c r="B15" s="28">
        <f>(1+Assumptions!$F$24)^($A15-1)</f>
        <v/>
      </c>
      <c r="C15" s="15">
        <f>Take_Rate_Customers!$G$15*Assumptions!$C$36*$B15</f>
        <v/>
      </c>
      <c r="D15" s="15">
        <f>Assumptions!$C$37*Construction_Budget!$E$17*$B15</f>
        <v/>
      </c>
      <c r="E15" s="15">
        <f>Assumptions!$C$38*Assumptions!$C$39*$B15</f>
        <v/>
      </c>
      <c r="F15" s="15">
        <f>Assumptions!$C$40*Revenue!$I$15</f>
        <v/>
      </c>
      <c r="G15" s="15">
        <f>Assumptions!$C$41*Revenue!$I$15</f>
        <v/>
      </c>
      <c r="H15" s="15">
        <f>Assumptions!$F$23*Revenue!$H$15</f>
        <v/>
      </c>
      <c r="I15" s="17">
        <f>SUM($C15:$H15)</f>
        <v/>
      </c>
      <c r="J15" s="15">
        <f>Construction_Budget!$E$19/Assumptions!$C$42*$B15</f>
        <v/>
      </c>
    </row>
    <row r="16">
      <c r="A16" s="32" t="n">
        <v>10</v>
      </c>
      <c r="B16" s="28">
        <f>(1+Assumptions!$F$24)^($A16-1)</f>
        <v/>
      </c>
      <c r="C16" s="15">
        <f>Take_Rate_Customers!$G$16*Assumptions!$C$36*$B16</f>
        <v/>
      </c>
      <c r="D16" s="15">
        <f>Assumptions!$C$37*Construction_Budget!$E$17*$B16</f>
        <v/>
      </c>
      <c r="E16" s="15">
        <f>Assumptions!$C$38*Assumptions!$C$39*$B16</f>
        <v/>
      </c>
      <c r="F16" s="15">
        <f>Assumptions!$C$40*Revenue!$I$16</f>
        <v/>
      </c>
      <c r="G16" s="15">
        <f>Assumptions!$C$41*Revenue!$I$16</f>
        <v/>
      </c>
      <c r="H16" s="15">
        <f>Assumptions!$F$23*Revenue!$H$16</f>
        <v/>
      </c>
      <c r="I16" s="17">
        <f>SUM($C16:$H16)</f>
        <v/>
      </c>
      <c r="J16" s="15">
        <f>Construction_Budget!$E$19/Assumptions!$C$42*$B16</f>
        <v/>
      </c>
    </row>
    <row r="17">
      <c r="A17" s="32" t="n">
        <v>11</v>
      </c>
      <c r="B17" s="28">
        <f>(1+Assumptions!$F$24)^($A17-1)</f>
        <v/>
      </c>
      <c r="C17" s="15">
        <f>Take_Rate_Customers!$G$17*Assumptions!$C$36*$B17</f>
        <v/>
      </c>
      <c r="D17" s="15">
        <f>Assumptions!$C$37*Construction_Budget!$E$17*$B17</f>
        <v/>
      </c>
      <c r="E17" s="15">
        <f>Assumptions!$C$38*Assumptions!$C$39*$B17</f>
        <v/>
      </c>
      <c r="F17" s="15">
        <f>Assumptions!$C$40*Revenue!$I$17</f>
        <v/>
      </c>
      <c r="G17" s="15">
        <f>Assumptions!$C$41*Revenue!$I$17</f>
        <v/>
      </c>
      <c r="H17" s="15">
        <f>Assumptions!$F$23*Revenue!$H$17</f>
        <v/>
      </c>
      <c r="I17" s="17">
        <f>SUM($C17:$H17)</f>
        <v/>
      </c>
      <c r="J17" s="15">
        <f>Construction_Budget!$E$19/Assumptions!$C$42*$B17</f>
        <v/>
      </c>
    </row>
    <row r="18">
      <c r="A18" s="32" t="n">
        <v>12</v>
      </c>
      <c r="B18" s="28">
        <f>(1+Assumptions!$F$24)^($A18-1)</f>
        <v/>
      </c>
      <c r="C18" s="15">
        <f>Take_Rate_Customers!$G$18*Assumptions!$C$36*$B18</f>
        <v/>
      </c>
      <c r="D18" s="15">
        <f>Assumptions!$C$37*Construction_Budget!$E$17*$B18</f>
        <v/>
      </c>
      <c r="E18" s="15">
        <f>Assumptions!$C$38*Assumptions!$C$39*$B18</f>
        <v/>
      </c>
      <c r="F18" s="15">
        <f>Assumptions!$C$40*Revenue!$I$18</f>
        <v/>
      </c>
      <c r="G18" s="15">
        <f>Assumptions!$C$41*Revenue!$I$18</f>
        <v/>
      </c>
      <c r="H18" s="15">
        <f>Assumptions!$F$23*Revenue!$H$18</f>
        <v/>
      </c>
      <c r="I18" s="17">
        <f>SUM($C18:$H18)</f>
        <v/>
      </c>
      <c r="J18" s="15">
        <f>Construction_Budget!$E$19/Assumptions!$C$42*$B18</f>
        <v/>
      </c>
    </row>
    <row r="19">
      <c r="A19" s="32" t="n">
        <v>13</v>
      </c>
      <c r="B19" s="28">
        <f>(1+Assumptions!$F$24)^($A19-1)</f>
        <v/>
      </c>
      <c r="C19" s="15">
        <f>Take_Rate_Customers!$G$19*Assumptions!$C$36*$B19</f>
        <v/>
      </c>
      <c r="D19" s="15">
        <f>Assumptions!$C$37*Construction_Budget!$E$17*$B19</f>
        <v/>
      </c>
      <c r="E19" s="15">
        <f>Assumptions!$C$38*Assumptions!$C$39*$B19</f>
        <v/>
      </c>
      <c r="F19" s="15">
        <f>Assumptions!$C$40*Revenue!$I$19</f>
        <v/>
      </c>
      <c r="G19" s="15">
        <f>Assumptions!$C$41*Revenue!$I$19</f>
        <v/>
      </c>
      <c r="H19" s="15">
        <f>Assumptions!$F$23*Revenue!$H$19</f>
        <v/>
      </c>
      <c r="I19" s="17">
        <f>SUM($C19:$H19)</f>
        <v/>
      </c>
      <c r="J19" s="15">
        <f>Construction_Budget!$E$19/Assumptions!$C$42*$B19</f>
        <v/>
      </c>
    </row>
    <row r="20">
      <c r="A20" s="32" t="n">
        <v>14</v>
      </c>
      <c r="B20" s="28">
        <f>(1+Assumptions!$F$24)^($A20-1)</f>
        <v/>
      </c>
      <c r="C20" s="15">
        <f>Take_Rate_Customers!$G$20*Assumptions!$C$36*$B20</f>
        <v/>
      </c>
      <c r="D20" s="15">
        <f>Assumptions!$C$37*Construction_Budget!$E$17*$B20</f>
        <v/>
      </c>
      <c r="E20" s="15">
        <f>Assumptions!$C$38*Assumptions!$C$39*$B20</f>
        <v/>
      </c>
      <c r="F20" s="15">
        <f>Assumptions!$C$40*Revenue!$I$20</f>
        <v/>
      </c>
      <c r="G20" s="15">
        <f>Assumptions!$C$41*Revenue!$I$20</f>
        <v/>
      </c>
      <c r="H20" s="15">
        <f>Assumptions!$F$23*Revenue!$H$20</f>
        <v/>
      </c>
      <c r="I20" s="17">
        <f>SUM($C20:$H20)</f>
        <v/>
      </c>
      <c r="J20" s="15">
        <f>Construction_Budget!$E$19/Assumptions!$C$42*$B20</f>
        <v/>
      </c>
    </row>
    <row r="21">
      <c r="A21" s="32" t="n">
        <v>15</v>
      </c>
      <c r="B21" s="28">
        <f>(1+Assumptions!$F$24)^($A21-1)</f>
        <v/>
      </c>
      <c r="C21" s="15">
        <f>Take_Rate_Customers!$G$21*Assumptions!$C$36*$B21</f>
        <v/>
      </c>
      <c r="D21" s="15">
        <f>Assumptions!$C$37*Construction_Budget!$E$17*$B21</f>
        <v/>
      </c>
      <c r="E21" s="15">
        <f>Assumptions!$C$38*Assumptions!$C$39*$B21</f>
        <v/>
      </c>
      <c r="F21" s="15">
        <f>Assumptions!$C$40*Revenue!$I$21</f>
        <v/>
      </c>
      <c r="G21" s="15">
        <f>Assumptions!$C$41*Revenue!$I$21</f>
        <v/>
      </c>
      <c r="H21" s="15">
        <f>Assumptions!$F$23*Revenue!$H$21</f>
        <v/>
      </c>
      <c r="I21" s="17">
        <f>SUM($C21:$H21)</f>
        <v/>
      </c>
      <c r="J21" s="15">
        <f>Construction_Budget!$E$19/Assumptions!$C$42*$B21</f>
        <v/>
      </c>
    </row>
    <row r="22">
      <c r="A22" s="32" t="n">
        <v>16</v>
      </c>
      <c r="B22" s="28">
        <f>(1+Assumptions!$F$24)^($A22-1)</f>
        <v/>
      </c>
      <c r="C22" s="15">
        <f>Take_Rate_Customers!$G$22*Assumptions!$C$36*$B22</f>
        <v/>
      </c>
      <c r="D22" s="15">
        <f>Assumptions!$C$37*Construction_Budget!$E$17*$B22</f>
        <v/>
      </c>
      <c r="E22" s="15">
        <f>Assumptions!$C$38*Assumptions!$C$39*$B22</f>
        <v/>
      </c>
      <c r="F22" s="15">
        <f>Assumptions!$C$40*Revenue!$I$22</f>
        <v/>
      </c>
      <c r="G22" s="15">
        <f>Assumptions!$C$41*Revenue!$I$22</f>
        <v/>
      </c>
      <c r="H22" s="15">
        <f>Assumptions!$F$23*Revenue!$H$22</f>
        <v/>
      </c>
      <c r="I22" s="17">
        <f>SUM($C22:$H22)</f>
        <v/>
      </c>
      <c r="J22" s="15">
        <f>Construction_Budget!$E$19/Assumptions!$C$42*$B22</f>
        <v/>
      </c>
    </row>
    <row r="23">
      <c r="A23" s="32" t="n">
        <v>17</v>
      </c>
      <c r="B23" s="28">
        <f>(1+Assumptions!$F$24)^($A23-1)</f>
        <v/>
      </c>
      <c r="C23" s="15">
        <f>Take_Rate_Customers!$G$23*Assumptions!$C$36*$B23</f>
        <v/>
      </c>
      <c r="D23" s="15">
        <f>Assumptions!$C$37*Construction_Budget!$E$17*$B23</f>
        <v/>
      </c>
      <c r="E23" s="15">
        <f>Assumptions!$C$38*Assumptions!$C$39*$B23</f>
        <v/>
      </c>
      <c r="F23" s="15">
        <f>Assumptions!$C$40*Revenue!$I$23</f>
        <v/>
      </c>
      <c r="G23" s="15">
        <f>Assumptions!$C$41*Revenue!$I$23</f>
        <v/>
      </c>
      <c r="H23" s="15">
        <f>Assumptions!$F$23*Revenue!$H$23</f>
        <v/>
      </c>
      <c r="I23" s="17">
        <f>SUM($C23:$H23)</f>
        <v/>
      </c>
      <c r="J23" s="15">
        <f>Construction_Budget!$E$19/Assumptions!$C$42*$B23</f>
        <v/>
      </c>
    </row>
    <row r="24">
      <c r="A24" s="32" t="n">
        <v>18</v>
      </c>
      <c r="B24" s="28">
        <f>(1+Assumptions!$F$24)^($A24-1)</f>
        <v/>
      </c>
      <c r="C24" s="15">
        <f>Take_Rate_Customers!$G$24*Assumptions!$C$36*$B24</f>
        <v/>
      </c>
      <c r="D24" s="15">
        <f>Assumptions!$C$37*Construction_Budget!$E$17*$B24</f>
        <v/>
      </c>
      <c r="E24" s="15">
        <f>Assumptions!$C$38*Assumptions!$C$39*$B24</f>
        <v/>
      </c>
      <c r="F24" s="15">
        <f>Assumptions!$C$40*Revenue!$I$24</f>
        <v/>
      </c>
      <c r="G24" s="15">
        <f>Assumptions!$C$41*Revenue!$I$24</f>
        <v/>
      </c>
      <c r="H24" s="15">
        <f>Assumptions!$F$23*Revenue!$H$24</f>
        <v/>
      </c>
      <c r="I24" s="17">
        <f>SUM($C24:$H24)</f>
        <v/>
      </c>
      <c r="J24" s="15">
        <f>Construction_Budget!$E$19/Assumptions!$C$42*$B24</f>
        <v/>
      </c>
    </row>
    <row r="25">
      <c r="A25" s="32" t="n">
        <v>19</v>
      </c>
      <c r="B25" s="28">
        <f>(1+Assumptions!$F$24)^($A25-1)</f>
        <v/>
      </c>
      <c r="C25" s="15">
        <f>Take_Rate_Customers!$G$25*Assumptions!$C$36*$B25</f>
        <v/>
      </c>
      <c r="D25" s="15">
        <f>Assumptions!$C$37*Construction_Budget!$E$17*$B25</f>
        <v/>
      </c>
      <c r="E25" s="15">
        <f>Assumptions!$C$38*Assumptions!$C$39*$B25</f>
        <v/>
      </c>
      <c r="F25" s="15">
        <f>Assumptions!$C$40*Revenue!$I$25</f>
        <v/>
      </c>
      <c r="G25" s="15">
        <f>Assumptions!$C$41*Revenue!$I$25</f>
        <v/>
      </c>
      <c r="H25" s="15">
        <f>Assumptions!$F$23*Revenue!$H$25</f>
        <v/>
      </c>
      <c r="I25" s="17">
        <f>SUM($C25:$H25)</f>
        <v/>
      </c>
      <c r="J25" s="15">
        <f>Construction_Budget!$E$19/Assumptions!$C$42*$B25</f>
        <v/>
      </c>
    </row>
    <row r="26">
      <c r="A26" s="32" t="n">
        <v>20</v>
      </c>
      <c r="B26" s="28">
        <f>(1+Assumptions!$F$24)^($A26-1)</f>
        <v/>
      </c>
      <c r="C26" s="15">
        <f>Take_Rate_Customers!$G$26*Assumptions!$C$36*$B26</f>
        <v/>
      </c>
      <c r="D26" s="15">
        <f>Assumptions!$C$37*Construction_Budget!$E$17*$B26</f>
        <v/>
      </c>
      <c r="E26" s="15">
        <f>Assumptions!$C$38*Assumptions!$C$39*$B26</f>
        <v/>
      </c>
      <c r="F26" s="15">
        <f>Assumptions!$C$40*Revenue!$I$26</f>
        <v/>
      </c>
      <c r="G26" s="15">
        <f>Assumptions!$C$41*Revenue!$I$26</f>
        <v/>
      </c>
      <c r="H26" s="15">
        <f>Assumptions!$F$23*Revenue!$H$26</f>
        <v/>
      </c>
      <c r="I26" s="17">
        <f>SUM($C26:$H26)</f>
        <v/>
      </c>
      <c r="J26" s="15">
        <f>Construction_Budget!$E$19/Assumptions!$C$42*$B26</f>
        <v/>
      </c>
    </row>
    <row r="27">
      <c r="A27" s="32" t="n">
        <v>21</v>
      </c>
      <c r="B27" s="28">
        <f>(1+Assumptions!$F$24)^($A27-1)</f>
        <v/>
      </c>
      <c r="C27" s="15">
        <f>Take_Rate_Customers!$G$27*Assumptions!$C$36*$B27</f>
        <v/>
      </c>
      <c r="D27" s="15">
        <f>Assumptions!$C$37*Construction_Budget!$E$17*$B27</f>
        <v/>
      </c>
      <c r="E27" s="15">
        <f>Assumptions!$C$38*Assumptions!$C$39*$B27</f>
        <v/>
      </c>
      <c r="F27" s="15">
        <f>Assumptions!$C$40*Revenue!$I$27</f>
        <v/>
      </c>
      <c r="G27" s="15">
        <f>Assumptions!$C$41*Revenue!$I$27</f>
        <v/>
      </c>
      <c r="H27" s="15">
        <f>Assumptions!$F$23*Revenue!$H$27</f>
        <v/>
      </c>
      <c r="I27" s="17">
        <f>SUM($C27:$H27)</f>
        <v/>
      </c>
      <c r="J27" s="15">
        <f>Construction_Budget!$E$19/Assumptions!$C$42*$B27</f>
        <v/>
      </c>
    </row>
    <row r="28">
      <c r="A28" s="32" t="n">
        <v>22</v>
      </c>
      <c r="B28" s="28">
        <f>(1+Assumptions!$F$24)^($A28-1)</f>
        <v/>
      </c>
      <c r="C28" s="15">
        <f>Take_Rate_Customers!$G$28*Assumptions!$C$36*$B28</f>
        <v/>
      </c>
      <c r="D28" s="15">
        <f>Assumptions!$C$37*Construction_Budget!$E$17*$B28</f>
        <v/>
      </c>
      <c r="E28" s="15">
        <f>Assumptions!$C$38*Assumptions!$C$39*$B28</f>
        <v/>
      </c>
      <c r="F28" s="15">
        <f>Assumptions!$C$40*Revenue!$I$28</f>
        <v/>
      </c>
      <c r="G28" s="15">
        <f>Assumptions!$C$41*Revenue!$I$28</f>
        <v/>
      </c>
      <c r="H28" s="15">
        <f>Assumptions!$F$23*Revenue!$H$28</f>
        <v/>
      </c>
      <c r="I28" s="17">
        <f>SUM($C28:$H28)</f>
        <v/>
      </c>
      <c r="J28" s="15">
        <f>Construction_Budget!$E$19/Assumptions!$C$42*$B28</f>
        <v/>
      </c>
    </row>
    <row r="29">
      <c r="A29" s="32" t="n">
        <v>23</v>
      </c>
      <c r="B29" s="28">
        <f>(1+Assumptions!$F$24)^($A29-1)</f>
        <v/>
      </c>
      <c r="C29" s="15">
        <f>Take_Rate_Customers!$G$29*Assumptions!$C$36*$B29</f>
        <v/>
      </c>
      <c r="D29" s="15">
        <f>Assumptions!$C$37*Construction_Budget!$E$17*$B29</f>
        <v/>
      </c>
      <c r="E29" s="15">
        <f>Assumptions!$C$38*Assumptions!$C$39*$B29</f>
        <v/>
      </c>
      <c r="F29" s="15">
        <f>Assumptions!$C$40*Revenue!$I$29</f>
        <v/>
      </c>
      <c r="G29" s="15">
        <f>Assumptions!$C$41*Revenue!$I$29</f>
        <v/>
      </c>
      <c r="H29" s="15">
        <f>Assumptions!$F$23*Revenue!$H$29</f>
        <v/>
      </c>
      <c r="I29" s="17">
        <f>SUM($C29:$H29)</f>
        <v/>
      </c>
      <c r="J29" s="15">
        <f>Construction_Budget!$E$19/Assumptions!$C$42*$B29</f>
        <v/>
      </c>
    </row>
    <row r="30">
      <c r="A30" s="32" t="n">
        <v>24</v>
      </c>
      <c r="B30" s="28">
        <f>(1+Assumptions!$F$24)^($A30-1)</f>
        <v/>
      </c>
      <c r="C30" s="15">
        <f>Take_Rate_Customers!$G$30*Assumptions!$C$36*$B30</f>
        <v/>
      </c>
      <c r="D30" s="15">
        <f>Assumptions!$C$37*Construction_Budget!$E$17*$B30</f>
        <v/>
      </c>
      <c r="E30" s="15">
        <f>Assumptions!$C$38*Assumptions!$C$39*$B30</f>
        <v/>
      </c>
      <c r="F30" s="15">
        <f>Assumptions!$C$40*Revenue!$I$30</f>
        <v/>
      </c>
      <c r="G30" s="15">
        <f>Assumptions!$C$41*Revenue!$I$30</f>
        <v/>
      </c>
      <c r="H30" s="15">
        <f>Assumptions!$F$23*Revenue!$H$30</f>
        <v/>
      </c>
      <c r="I30" s="17">
        <f>SUM($C30:$H30)</f>
        <v/>
      </c>
      <c r="J30" s="15">
        <f>Construction_Budget!$E$19/Assumptions!$C$42*$B30</f>
        <v/>
      </c>
    </row>
    <row r="31">
      <c r="A31" s="32" t="n">
        <v>25</v>
      </c>
      <c r="B31" s="28">
        <f>(1+Assumptions!$F$24)^($A31-1)</f>
        <v/>
      </c>
      <c r="C31" s="15">
        <f>Take_Rate_Customers!$G$31*Assumptions!$C$36*$B31</f>
        <v/>
      </c>
      <c r="D31" s="15">
        <f>Assumptions!$C$37*Construction_Budget!$E$17*$B31</f>
        <v/>
      </c>
      <c r="E31" s="15">
        <f>Assumptions!$C$38*Assumptions!$C$39*$B31</f>
        <v/>
      </c>
      <c r="F31" s="15">
        <f>Assumptions!$C$40*Revenue!$I$31</f>
        <v/>
      </c>
      <c r="G31" s="15">
        <f>Assumptions!$C$41*Revenue!$I$31</f>
        <v/>
      </c>
      <c r="H31" s="15">
        <f>Assumptions!$F$23*Revenue!$H$31</f>
        <v/>
      </c>
      <c r="I31" s="17">
        <f>SUM($C31:$H31)</f>
        <v/>
      </c>
      <c r="J31" s="15">
        <f>Construction_Budget!$E$19/Assumptions!$C$42*$B31</f>
        <v/>
      </c>
    </row>
    <row r="32">
      <c r="A32" s="32" t="n">
        <v>26</v>
      </c>
      <c r="B32" s="28">
        <f>(1+Assumptions!$F$24)^($A32-1)</f>
        <v/>
      </c>
      <c r="C32" s="15">
        <f>Take_Rate_Customers!$G$32*Assumptions!$C$36*$B32</f>
        <v/>
      </c>
      <c r="D32" s="15">
        <f>Assumptions!$C$37*Construction_Budget!$E$17*$B32</f>
        <v/>
      </c>
      <c r="E32" s="15">
        <f>Assumptions!$C$38*Assumptions!$C$39*$B32</f>
        <v/>
      </c>
      <c r="F32" s="15">
        <f>Assumptions!$C$40*Revenue!$I$32</f>
        <v/>
      </c>
      <c r="G32" s="15">
        <f>Assumptions!$C$41*Revenue!$I$32</f>
        <v/>
      </c>
      <c r="H32" s="15">
        <f>Assumptions!$F$23*Revenue!$H$32</f>
        <v/>
      </c>
      <c r="I32" s="17">
        <f>SUM($C32:$H32)</f>
        <v/>
      </c>
      <c r="J32" s="15">
        <f>Construction_Budget!$E$19/Assumptions!$C$42*$B32</f>
        <v/>
      </c>
    </row>
    <row r="33">
      <c r="A33" s="32" t="n">
        <v>27</v>
      </c>
      <c r="B33" s="28">
        <f>(1+Assumptions!$F$24)^($A33-1)</f>
        <v/>
      </c>
      <c r="C33" s="15">
        <f>Take_Rate_Customers!$G$33*Assumptions!$C$36*$B33</f>
        <v/>
      </c>
      <c r="D33" s="15">
        <f>Assumptions!$C$37*Construction_Budget!$E$17*$B33</f>
        <v/>
      </c>
      <c r="E33" s="15">
        <f>Assumptions!$C$38*Assumptions!$C$39*$B33</f>
        <v/>
      </c>
      <c r="F33" s="15">
        <f>Assumptions!$C$40*Revenue!$I$33</f>
        <v/>
      </c>
      <c r="G33" s="15">
        <f>Assumptions!$C$41*Revenue!$I$33</f>
        <v/>
      </c>
      <c r="H33" s="15">
        <f>Assumptions!$F$23*Revenue!$H$33</f>
        <v/>
      </c>
      <c r="I33" s="17">
        <f>SUM($C33:$H33)</f>
        <v/>
      </c>
      <c r="J33" s="15">
        <f>Construction_Budget!$E$19/Assumptions!$C$42*$B33</f>
        <v/>
      </c>
    </row>
    <row r="34">
      <c r="A34" s="32" t="n">
        <v>28</v>
      </c>
      <c r="B34" s="28">
        <f>(1+Assumptions!$F$24)^($A34-1)</f>
        <v/>
      </c>
      <c r="C34" s="15">
        <f>Take_Rate_Customers!$G$34*Assumptions!$C$36*$B34</f>
        <v/>
      </c>
      <c r="D34" s="15">
        <f>Assumptions!$C$37*Construction_Budget!$E$17*$B34</f>
        <v/>
      </c>
      <c r="E34" s="15">
        <f>Assumptions!$C$38*Assumptions!$C$39*$B34</f>
        <v/>
      </c>
      <c r="F34" s="15">
        <f>Assumptions!$C$40*Revenue!$I$34</f>
        <v/>
      </c>
      <c r="G34" s="15">
        <f>Assumptions!$C$41*Revenue!$I$34</f>
        <v/>
      </c>
      <c r="H34" s="15">
        <f>Assumptions!$F$23*Revenue!$H$34</f>
        <v/>
      </c>
      <c r="I34" s="17">
        <f>SUM($C34:$H34)</f>
        <v/>
      </c>
      <c r="J34" s="15">
        <f>Construction_Budget!$E$19/Assumptions!$C$42*$B34</f>
        <v/>
      </c>
    </row>
    <row r="35">
      <c r="A35" s="32" t="n">
        <v>29</v>
      </c>
      <c r="B35" s="28">
        <f>(1+Assumptions!$F$24)^($A35-1)</f>
        <v/>
      </c>
      <c r="C35" s="15">
        <f>Take_Rate_Customers!$G$35*Assumptions!$C$36*$B35</f>
        <v/>
      </c>
      <c r="D35" s="15">
        <f>Assumptions!$C$37*Construction_Budget!$E$17*$B35</f>
        <v/>
      </c>
      <c r="E35" s="15">
        <f>Assumptions!$C$38*Assumptions!$C$39*$B35</f>
        <v/>
      </c>
      <c r="F35" s="15">
        <f>Assumptions!$C$40*Revenue!$I$35</f>
        <v/>
      </c>
      <c r="G35" s="15">
        <f>Assumptions!$C$41*Revenue!$I$35</f>
        <v/>
      </c>
      <c r="H35" s="15">
        <f>Assumptions!$F$23*Revenue!$H$35</f>
        <v/>
      </c>
      <c r="I35" s="17">
        <f>SUM($C35:$H35)</f>
        <v/>
      </c>
      <c r="J35" s="15">
        <f>Construction_Budget!$E$19/Assumptions!$C$42*$B35</f>
        <v/>
      </c>
    </row>
    <row r="36">
      <c r="A36" s="32" t="n">
        <v>30</v>
      </c>
      <c r="B36" s="28">
        <f>(1+Assumptions!$F$24)^($A36-1)</f>
        <v/>
      </c>
      <c r="C36" s="15">
        <f>Take_Rate_Customers!$G$36*Assumptions!$C$36*$B36</f>
        <v/>
      </c>
      <c r="D36" s="15">
        <f>Assumptions!$C$37*Construction_Budget!$E$17*$B36</f>
        <v/>
      </c>
      <c r="E36" s="15">
        <f>Assumptions!$C$38*Assumptions!$C$39*$B36</f>
        <v/>
      </c>
      <c r="F36" s="15">
        <f>Assumptions!$C$40*Revenue!$I$36</f>
        <v/>
      </c>
      <c r="G36" s="15">
        <f>Assumptions!$C$41*Revenue!$I$36</f>
        <v/>
      </c>
      <c r="H36" s="15">
        <f>Assumptions!$F$23*Revenue!$H$36</f>
        <v/>
      </c>
      <c r="I36" s="17">
        <f>SUM($C36:$H36)</f>
        <v/>
      </c>
      <c r="J36" s="15">
        <f>Construction_Budget!$E$19/Assumptions!$C$42*$B36</f>
        <v/>
      </c>
    </row>
    <row r="38">
      <c r="B38" s="30" t="inlineStr">
        <is>
          <t>CHECK: total opex is non-negative and error-free</t>
        </is>
      </c>
      <c r="F38" s="31">
        <f>IF(AND(MIN($I6:$I36)&gt;=0,SUMPRODUCT(--ISERROR($I6:$I36))=0),"PASS","FAIL")</f>
        <v/>
      </c>
    </row>
  </sheetData>
  <autoFilter ref="A5:J5"/>
  <mergeCells count="3">
    <mergeCell ref="A1:J1"/>
    <mergeCell ref="A3:J3"/>
    <mergeCell ref="A2:J2"/>
  </mergeCells>
  <conditionalFormatting sqref="F38">
    <cfRule type="expression" priority="1" dxfId="0" stopIfTrue="1">
      <formula>ISNUMBER(SEARCH("PASS",F38))</formula>
    </cfRule>
    <cfRule type="expression" priority="2" dxfId="1">
      <formula>NOT(ISNUMBER(SEARCH("PASS",F38)))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CAPITAL REPLACEMENT — Electronics Refresh &amp; Reserve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Annualized charge flows to cash flow. Lumpy refresh + reserve funding test reserve adequacy.</t>
        </is>
      </c>
    </row>
    <row r="5">
      <c r="A5" s="24" t="inlineStr">
        <is>
          <t>Year</t>
        </is>
      </c>
      <c r="B5" s="24" t="inlineStr">
        <is>
          <t>Annualized Elec. Charge</t>
        </is>
      </c>
      <c r="C5" s="24" t="inlineStr">
        <is>
          <t>Lumpy Refresh (memo)</t>
        </is>
      </c>
      <c r="D5" s="24" t="inlineStr">
        <is>
          <t>Reserve Funding</t>
        </is>
      </c>
      <c r="E5" s="24" t="inlineStr">
        <is>
          <t>Cum. Reserve</t>
        </is>
      </c>
      <c r="F5" s="24" t="inlineStr">
        <is>
          <t>Cum. Refresh Spend</t>
        </is>
      </c>
    </row>
    <row r="6">
      <c r="A6" s="32" t="n">
        <v>0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</row>
    <row r="7">
      <c r="A7" s="32" t="n">
        <v>1</v>
      </c>
      <c r="B7" s="15">
        <f>Construction_Budget!$E$19/Assumptions!$C$42*(1+Assumptions!$F$24)^($A7-1)</f>
        <v/>
      </c>
      <c r="C7" s="15">
        <f>IF(AND($A7&gt;0,MOD($A7,Assumptions!$C$42)=0),Construction_Budget!$E$19*(1+Assumptions!$F$24)^$A7,0)</f>
        <v/>
      </c>
      <c r="D7" s="15">
        <f>Assumptions!$C$43*Revenue!$I$7</f>
        <v/>
      </c>
      <c r="E7" s="15">
        <f>0+$D7</f>
        <v/>
      </c>
      <c r="F7" s="15">
        <f>0+$C7</f>
        <v/>
      </c>
    </row>
    <row r="8">
      <c r="A8" s="32" t="n">
        <v>2</v>
      </c>
      <c r="B8" s="15">
        <f>Construction_Budget!$E$19/Assumptions!$C$42*(1+Assumptions!$F$24)^($A8-1)</f>
        <v/>
      </c>
      <c r="C8" s="15">
        <f>IF(AND($A8&gt;0,MOD($A8,Assumptions!$C$42)=0),Construction_Budget!$E$19*(1+Assumptions!$F$24)^$A8,0)</f>
        <v/>
      </c>
      <c r="D8" s="15">
        <f>Assumptions!$C$43*Revenue!$I$8</f>
        <v/>
      </c>
      <c r="E8" s="15">
        <f>$E7+$D8</f>
        <v/>
      </c>
      <c r="F8" s="15">
        <f>$F7+$C8</f>
        <v/>
      </c>
    </row>
    <row r="9">
      <c r="A9" s="32" t="n">
        <v>3</v>
      </c>
      <c r="B9" s="15">
        <f>Construction_Budget!$E$19/Assumptions!$C$42*(1+Assumptions!$F$24)^($A9-1)</f>
        <v/>
      </c>
      <c r="C9" s="15">
        <f>IF(AND($A9&gt;0,MOD($A9,Assumptions!$C$42)=0),Construction_Budget!$E$19*(1+Assumptions!$F$24)^$A9,0)</f>
        <v/>
      </c>
      <c r="D9" s="15">
        <f>Assumptions!$C$43*Revenue!$I$9</f>
        <v/>
      </c>
      <c r="E9" s="15">
        <f>$E8+$D9</f>
        <v/>
      </c>
      <c r="F9" s="15">
        <f>$F8+$C9</f>
        <v/>
      </c>
    </row>
    <row r="10">
      <c r="A10" s="32" t="n">
        <v>4</v>
      </c>
      <c r="B10" s="15">
        <f>Construction_Budget!$E$19/Assumptions!$C$42*(1+Assumptions!$F$24)^($A10-1)</f>
        <v/>
      </c>
      <c r="C10" s="15">
        <f>IF(AND($A10&gt;0,MOD($A10,Assumptions!$C$42)=0),Construction_Budget!$E$19*(1+Assumptions!$F$24)^$A10,0)</f>
        <v/>
      </c>
      <c r="D10" s="15">
        <f>Assumptions!$C$43*Revenue!$I$10</f>
        <v/>
      </c>
      <c r="E10" s="15">
        <f>$E9+$D10</f>
        <v/>
      </c>
      <c r="F10" s="15">
        <f>$F9+$C10</f>
        <v/>
      </c>
    </row>
    <row r="11">
      <c r="A11" s="32" t="n">
        <v>5</v>
      </c>
      <c r="B11" s="15">
        <f>Construction_Budget!$E$19/Assumptions!$C$42*(1+Assumptions!$F$24)^($A11-1)</f>
        <v/>
      </c>
      <c r="C11" s="15">
        <f>IF(AND($A11&gt;0,MOD($A11,Assumptions!$C$42)=0),Construction_Budget!$E$19*(1+Assumptions!$F$24)^$A11,0)</f>
        <v/>
      </c>
      <c r="D11" s="15">
        <f>Assumptions!$C$43*Revenue!$I$11</f>
        <v/>
      </c>
      <c r="E11" s="15">
        <f>$E10+$D11</f>
        <v/>
      </c>
      <c r="F11" s="15">
        <f>$F10+$C11</f>
        <v/>
      </c>
    </row>
    <row r="12">
      <c r="A12" s="32" t="n">
        <v>6</v>
      </c>
      <c r="B12" s="15">
        <f>Construction_Budget!$E$19/Assumptions!$C$42*(1+Assumptions!$F$24)^($A12-1)</f>
        <v/>
      </c>
      <c r="C12" s="15">
        <f>IF(AND($A12&gt;0,MOD($A12,Assumptions!$C$42)=0),Construction_Budget!$E$19*(1+Assumptions!$F$24)^$A12,0)</f>
        <v/>
      </c>
      <c r="D12" s="15">
        <f>Assumptions!$C$43*Revenue!$I$12</f>
        <v/>
      </c>
      <c r="E12" s="15">
        <f>$E11+$D12</f>
        <v/>
      </c>
      <c r="F12" s="15">
        <f>$F11+$C12</f>
        <v/>
      </c>
    </row>
    <row r="13">
      <c r="A13" s="32" t="n">
        <v>7</v>
      </c>
      <c r="B13" s="15">
        <f>Construction_Budget!$E$19/Assumptions!$C$42*(1+Assumptions!$F$24)^($A13-1)</f>
        <v/>
      </c>
      <c r="C13" s="15">
        <f>IF(AND($A13&gt;0,MOD($A13,Assumptions!$C$42)=0),Construction_Budget!$E$19*(1+Assumptions!$F$24)^$A13,0)</f>
        <v/>
      </c>
      <c r="D13" s="15">
        <f>Assumptions!$C$43*Revenue!$I$13</f>
        <v/>
      </c>
      <c r="E13" s="15">
        <f>$E12+$D13</f>
        <v/>
      </c>
      <c r="F13" s="15">
        <f>$F12+$C13</f>
        <v/>
      </c>
    </row>
    <row r="14">
      <c r="A14" s="32" t="n">
        <v>8</v>
      </c>
      <c r="B14" s="15">
        <f>Construction_Budget!$E$19/Assumptions!$C$42*(1+Assumptions!$F$24)^($A14-1)</f>
        <v/>
      </c>
      <c r="C14" s="15">
        <f>IF(AND($A14&gt;0,MOD($A14,Assumptions!$C$42)=0),Construction_Budget!$E$19*(1+Assumptions!$F$24)^$A14,0)</f>
        <v/>
      </c>
      <c r="D14" s="15">
        <f>Assumptions!$C$43*Revenue!$I$14</f>
        <v/>
      </c>
      <c r="E14" s="15">
        <f>$E13+$D14</f>
        <v/>
      </c>
      <c r="F14" s="15">
        <f>$F13+$C14</f>
        <v/>
      </c>
    </row>
    <row r="15">
      <c r="A15" s="32" t="n">
        <v>9</v>
      </c>
      <c r="B15" s="15">
        <f>Construction_Budget!$E$19/Assumptions!$C$42*(1+Assumptions!$F$24)^($A15-1)</f>
        <v/>
      </c>
      <c r="C15" s="15">
        <f>IF(AND($A15&gt;0,MOD($A15,Assumptions!$C$42)=0),Construction_Budget!$E$19*(1+Assumptions!$F$24)^$A15,0)</f>
        <v/>
      </c>
      <c r="D15" s="15">
        <f>Assumptions!$C$43*Revenue!$I$15</f>
        <v/>
      </c>
      <c r="E15" s="15">
        <f>$E14+$D15</f>
        <v/>
      </c>
      <c r="F15" s="15">
        <f>$F14+$C15</f>
        <v/>
      </c>
    </row>
    <row r="16">
      <c r="A16" s="32" t="n">
        <v>10</v>
      </c>
      <c r="B16" s="15">
        <f>Construction_Budget!$E$19/Assumptions!$C$42*(1+Assumptions!$F$24)^($A16-1)</f>
        <v/>
      </c>
      <c r="C16" s="15">
        <f>IF(AND($A16&gt;0,MOD($A16,Assumptions!$C$42)=0),Construction_Budget!$E$19*(1+Assumptions!$F$24)^$A16,0)</f>
        <v/>
      </c>
      <c r="D16" s="15">
        <f>Assumptions!$C$43*Revenue!$I$16</f>
        <v/>
      </c>
      <c r="E16" s="15">
        <f>$E15+$D16</f>
        <v/>
      </c>
      <c r="F16" s="15">
        <f>$F15+$C16</f>
        <v/>
      </c>
    </row>
    <row r="17">
      <c r="A17" s="32" t="n">
        <v>11</v>
      </c>
      <c r="B17" s="15">
        <f>Construction_Budget!$E$19/Assumptions!$C$42*(1+Assumptions!$F$24)^($A17-1)</f>
        <v/>
      </c>
      <c r="C17" s="15">
        <f>IF(AND($A17&gt;0,MOD($A17,Assumptions!$C$42)=0),Construction_Budget!$E$19*(1+Assumptions!$F$24)^$A17,0)</f>
        <v/>
      </c>
      <c r="D17" s="15">
        <f>Assumptions!$C$43*Revenue!$I$17</f>
        <v/>
      </c>
      <c r="E17" s="15">
        <f>$E16+$D17</f>
        <v/>
      </c>
      <c r="F17" s="15">
        <f>$F16+$C17</f>
        <v/>
      </c>
    </row>
    <row r="18">
      <c r="A18" s="32" t="n">
        <v>12</v>
      </c>
      <c r="B18" s="15">
        <f>Construction_Budget!$E$19/Assumptions!$C$42*(1+Assumptions!$F$24)^($A18-1)</f>
        <v/>
      </c>
      <c r="C18" s="15">
        <f>IF(AND($A18&gt;0,MOD($A18,Assumptions!$C$42)=0),Construction_Budget!$E$19*(1+Assumptions!$F$24)^$A18,0)</f>
        <v/>
      </c>
      <c r="D18" s="15">
        <f>Assumptions!$C$43*Revenue!$I$18</f>
        <v/>
      </c>
      <c r="E18" s="15">
        <f>$E17+$D18</f>
        <v/>
      </c>
      <c r="F18" s="15">
        <f>$F17+$C18</f>
        <v/>
      </c>
    </row>
    <row r="19">
      <c r="A19" s="32" t="n">
        <v>13</v>
      </c>
      <c r="B19" s="15">
        <f>Construction_Budget!$E$19/Assumptions!$C$42*(1+Assumptions!$F$24)^($A19-1)</f>
        <v/>
      </c>
      <c r="C19" s="15">
        <f>IF(AND($A19&gt;0,MOD($A19,Assumptions!$C$42)=0),Construction_Budget!$E$19*(1+Assumptions!$F$24)^$A19,0)</f>
        <v/>
      </c>
      <c r="D19" s="15">
        <f>Assumptions!$C$43*Revenue!$I$19</f>
        <v/>
      </c>
      <c r="E19" s="15">
        <f>$E18+$D19</f>
        <v/>
      </c>
      <c r="F19" s="15">
        <f>$F18+$C19</f>
        <v/>
      </c>
    </row>
    <row r="20">
      <c r="A20" s="32" t="n">
        <v>14</v>
      </c>
      <c r="B20" s="15">
        <f>Construction_Budget!$E$19/Assumptions!$C$42*(1+Assumptions!$F$24)^($A20-1)</f>
        <v/>
      </c>
      <c r="C20" s="15">
        <f>IF(AND($A20&gt;0,MOD($A20,Assumptions!$C$42)=0),Construction_Budget!$E$19*(1+Assumptions!$F$24)^$A20,0)</f>
        <v/>
      </c>
      <c r="D20" s="15">
        <f>Assumptions!$C$43*Revenue!$I$20</f>
        <v/>
      </c>
      <c r="E20" s="15">
        <f>$E19+$D20</f>
        <v/>
      </c>
      <c r="F20" s="15">
        <f>$F19+$C20</f>
        <v/>
      </c>
    </row>
    <row r="21">
      <c r="A21" s="32" t="n">
        <v>15</v>
      </c>
      <c r="B21" s="15">
        <f>Construction_Budget!$E$19/Assumptions!$C$42*(1+Assumptions!$F$24)^($A21-1)</f>
        <v/>
      </c>
      <c r="C21" s="15">
        <f>IF(AND($A21&gt;0,MOD($A21,Assumptions!$C$42)=0),Construction_Budget!$E$19*(1+Assumptions!$F$24)^$A21,0)</f>
        <v/>
      </c>
      <c r="D21" s="15">
        <f>Assumptions!$C$43*Revenue!$I$21</f>
        <v/>
      </c>
      <c r="E21" s="15">
        <f>$E20+$D21</f>
        <v/>
      </c>
      <c r="F21" s="15">
        <f>$F20+$C21</f>
        <v/>
      </c>
    </row>
    <row r="22">
      <c r="A22" s="32" t="n">
        <v>16</v>
      </c>
      <c r="B22" s="15">
        <f>Construction_Budget!$E$19/Assumptions!$C$42*(1+Assumptions!$F$24)^($A22-1)</f>
        <v/>
      </c>
      <c r="C22" s="15">
        <f>IF(AND($A22&gt;0,MOD($A22,Assumptions!$C$42)=0),Construction_Budget!$E$19*(1+Assumptions!$F$24)^$A22,0)</f>
        <v/>
      </c>
      <c r="D22" s="15">
        <f>Assumptions!$C$43*Revenue!$I$22</f>
        <v/>
      </c>
      <c r="E22" s="15">
        <f>$E21+$D22</f>
        <v/>
      </c>
      <c r="F22" s="15">
        <f>$F21+$C22</f>
        <v/>
      </c>
    </row>
    <row r="23">
      <c r="A23" s="32" t="n">
        <v>17</v>
      </c>
      <c r="B23" s="15">
        <f>Construction_Budget!$E$19/Assumptions!$C$42*(1+Assumptions!$F$24)^($A23-1)</f>
        <v/>
      </c>
      <c r="C23" s="15">
        <f>IF(AND($A23&gt;0,MOD($A23,Assumptions!$C$42)=0),Construction_Budget!$E$19*(1+Assumptions!$F$24)^$A23,0)</f>
        <v/>
      </c>
      <c r="D23" s="15">
        <f>Assumptions!$C$43*Revenue!$I$23</f>
        <v/>
      </c>
      <c r="E23" s="15">
        <f>$E22+$D23</f>
        <v/>
      </c>
      <c r="F23" s="15">
        <f>$F22+$C23</f>
        <v/>
      </c>
    </row>
    <row r="24">
      <c r="A24" s="32" t="n">
        <v>18</v>
      </c>
      <c r="B24" s="15">
        <f>Construction_Budget!$E$19/Assumptions!$C$42*(1+Assumptions!$F$24)^($A24-1)</f>
        <v/>
      </c>
      <c r="C24" s="15">
        <f>IF(AND($A24&gt;0,MOD($A24,Assumptions!$C$42)=0),Construction_Budget!$E$19*(1+Assumptions!$F$24)^$A24,0)</f>
        <v/>
      </c>
      <c r="D24" s="15">
        <f>Assumptions!$C$43*Revenue!$I$24</f>
        <v/>
      </c>
      <c r="E24" s="15">
        <f>$E23+$D24</f>
        <v/>
      </c>
      <c r="F24" s="15">
        <f>$F23+$C24</f>
        <v/>
      </c>
    </row>
    <row r="25">
      <c r="A25" s="32" t="n">
        <v>19</v>
      </c>
      <c r="B25" s="15">
        <f>Construction_Budget!$E$19/Assumptions!$C$42*(1+Assumptions!$F$24)^($A25-1)</f>
        <v/>
      </c>
      <c r="C25" s="15">
        <f>IF(AND($A25&gt;0,MOD($A25,Assumptions!$C$42)=0),Construction_Budget!$E$19*(1+Assumptions!$F$24)^$A25,0)</f>
        <v/>
      </c>
      <c r="D25" s="15">
        <f>Assumptions!$C$43*Revenue!$I$25</f>
        <v/>
      </c>
      <c r="E25" s="15">
        <f>$E24+$D25</f>
        <v/>
      </c>
      <c r="F25" s="15">
        <f>$F24+$C25</f>
        <v/>
      </c>
    </row>
    <row r="26">
      <c r="A26" s="32" t="n">
        <v>20</v>
      </c>
      <c r="B26" s="15">
        <f>Construction_Budget!$E$19/Assumptions!$C$42*(1+Assumptions!$F$24)^($A26-1)</f>
        <v/>
      </c>
      <c r="C26" s="15">
        <f>IF(AND($A26&gt;0,MOD($A26,Assumptions!$C$42)=0),Construction_Budget!$E$19*(1+Assumptions!$F$24)^$A26,0)</f>
        <v/>
      </c>
      <c r="D26" s="15">
        <f>Assumptions!$C$43*Revenue!$I$26</f>
        <v/>
      </c>
      <c r="E26" s="15">
        <f>$E25+$D26</f>
        <v/>
      </c>
      <c r="F26" s="15">
        <f>$F25+$C26</f>
        <v/>
      </c>
    </row>
    <row r="27">
      <c r="A27" s="32" t="n">
        <v>21</v>
      </c>
      <c r="B27" s="15">
        <f>Construction_Budget!$E$19/Assumptions!$C$42*(1+Assumptions!$F$24)^($A27-1)</f>
        <v/>
      </c>
      <c r="C27" s="15">
        <f>IF(AND($A27&gt;0,MOD($A27,Assumptions!$C$42)=0),Construction_Budget!$E$19*(1+Assumptions!$F$24)^$A27,0)</f>
        <v/>
      </c>
      <c r="D27" s="15">
        <f>Assumptions!$C$43*Revenue!$I$27</f>
        <v/>
      </c>
      <c r="E27" s="15">
        <f>$E26+$D27</f>
        <v/>
      </c>
      <c r="F27" s="15">
        <f>$F26+$C27</f>
        <v/>
      </c>
    </row>
    <row r="28">
      <c r="A28" s="32" t="n">
        <v>22</v>
      </c>
      <c r="B28" s="15">
        <f>Construction_Budget!$E$19/Assumptions!$C$42*(1+Assumptions!$F$24)^($A28-1)</f>
        <v/>
      </c>
      <c r="C28" s="15">
        <f>IF(AND($A28&gt;0,MOD($A28,Assumptions!$C$42)=0),Construction_Budget!$E$19*(1+Assumptions!$F$24)^$A28,0)</f>
        <v/>
      </c>
      <c r="D28" s="15">
        <f>Assumptions!$C$43*Revenue!$I$28</f>
        <v/>
      </c>
      <c r="E28" s="15">
        <f>$E27+$D28</f>
        <v/>
      </c>
      <c r="F28" s="15">
        <f>$F27+$C28</f>
        <v/>
      </c>
    </row>
    <row r="29">
      <c r="A29" s="32" t="n">
        <v>23</v>
      </c>
      <c r="B29" s="15">
        <f>Construction_Budget!$E$19/Assumptions!$C$42*(1+Assumptions!$F$24)^($A29-1)</f>
        <v/>
      </c>
      <c r="C29" s="15">
        <f>IF(AND($A29&gt;0,MOD($A29,Assumptions!$C$42)=0),Construction_Budget!$E$19*(1+Assumptions!$F$24)^$A29,0)</f>
        <v/>
      </c>
      <c r="D29" s="15">
        <f>Assumptions!$C$43*Revenue!$I$29</f>
        <v/>
      </c>
      <c r="E29" s="15">
        <f>$E28+$D29</f>
        <v/>
      </c>
      <c r="F29" s="15">
        <f>$F28+$C29</f>
        <v/>
      </c>
    </row>
    <row r="30">
      <c r="A30" s="32" t="n">
        <v>24</v>
      </c>
      <c r="B30" s="15">
        <f>Construction_Budget!$E$19/Assumptions!$C$42*(1+Assumptions!$F$24)^($A30-1)</f>
        <v/>
      </c>
      <c r="C30" s="15">
        <f>IF(AND($A30&gt;0,MOD($A30,Assumptions!$C$42)=0),Construction_Budget!$E$19*(1+Assumptions!$F$24)^$A30,0)</f>
        <v/>
      </c>
      <c r="D30" s="15">
        <f>Assumptions!$C$43*Revenue!$I$30</f>
        <v/>
      </c>
      <c r="E30" s="15">
        <f>$E29+$D30</f>
        <v/>
      </c>
      <c r="F30" s="15">
        <f>$F29+$C30</f>
        <v/>
      </c>
    </row>
    <row r="31">
      <c r="A31" s="32" t="n">
        <v>25</v>
      </c>
      <c r="B31" s="15">
        <f>Construction_Budget!$E$19/Assumptions!$C$42*(1+Assumptions!$F$24)^($A31-1)</f>
        <v/>
      </c>
      <c r="C31" s="15">
        <f>IF(AND($A31&gt;0,MOD($A31,Assumptions!$C$42)=0),Construction_Budget!$E$19*(1+Assumptions!$F$24)^$A31,0)</f>
        <v/>
      </c>
      <c r="D31" s="15">
        <f>Assumptions!$C$43*Revenue!$I$31</f>
        <v/>
      </c>
      <c r="E31" s="15">
        <f>$E30+$D31</f>
        <v/>
      </c>
      <c r="F31" s="15">
        <f>$F30+$C31</f>
        <v/>
      </c>
    </row>
    <row r="32">
      <c r="A32" s="32" t="n">
        <v>26</v>
      </c>
      <c r="B32" s="15">
        <f>Construction_Budget!$E$19/Assumptions!$C$42*(1+Assumptions!$F$24)^($A32-1)</f>
        <v/>
      </c>
      <c r="C32" s="15">
        <f>IF(AND($A32&gt;0,MOD($A32,Assumptions!$C$42)=0),Construction_Budget!$E$19*(1+Assumptions!$F$24)^$A32,0)</f>
        <v/>
      </c>
      <c r="D32" s="15">
        <f>Assumptions!$C$43*Revenue!$I$32</f>
        <v/>
      </c>
      <c r="E32" s="15">
        <f>$E31+$D32</f>
        <v/>
      </c>
      <c r="F32" s="15">
        <f>$F31+$C32</f>
        <v/>
      </c>
    </row>
    <row r="33">
      <c r="A33" s="32" t="n">
        <v>27</v>
      </c>
      <c r="B33" s="15">
        <f>Construction_Budget!$E$19/Assumptions!$C$42*(1+Assumptions!$F$24)^($A33-1)</f>
        <v/>
      </c>
      <c r="C33" s="15">
        <f>IF(AND($A33&gt;0,MOD($A33,Assumptions!$C$42)=0),Construction_Budget!$E$19*(1+Assumptions!$F$24)^$A33,0)</f>
        <v/>
      </c>
      <c r="D33" s="15">
        <f>Assumptions!$C$43*Revenue!$I$33</f>
        <v/>
      </c>
      <c r="E33" s="15">
        <f>$E32+$D33</f>
        <v/>
      </c>
      <c r="F33" s="15">
        <f>$F32+$C33</f>
        <v/>
      </c>
    </row>
    <row r="34">
      <c r="A34" s="32" t="n">
        <v>28</v>
      </c>
      <c r="B34" s="15">
        <f>Construction_Budget!$E$19/Assumptions!$C$42*(1+Assumptions!$F$24)^($A34-1)</f>
        <v/>
      </c>
      <c r="C34" s="15">
        <f>IF(AND($A34&gt;0,MOD($A34,Assumptions!$C$42)=0),Construction_Budget!$E$19*(1+Assumptions!$F$24)^$A34,0)</f>
        <v/>
      </c>
      <c r="D34" s="15">
        <f>Assumptions!$C$43*Revenue!$I$34</f>
        <v/>
      </c>
      <c r="E34" s="15">
        <f>$E33+$D34</f>
        <v/>
      </c>
      <c r="F34" s="15">
        <f>$F33+$C34</f>
        <v/>
      </c>
    </row>
    <row r="35">
      <c r="A35" s="32" t="n">
        <v>29</v>
      </c>
      <c r="B35" s="15">
        <f>Construction_Budget!$E$19/Assumptions!$C$42*(1+Assumptions!$F$24)^($A35-1)</f>
        <v/>
      </c>
      <c r="C35" s="15">
        <f>IF(AND($A35&gt;0,MOD($A35,Assumptions!$C$42)=0),Construction_Budget!$E$19*(1+Assumptions!$F$24)^$A35,0)</f>
        <v/>
      </c>
      <c r="D35" s="15">
        <f>Assumptions!$C$43*Revenue!$I$35</f>
        <v/>
      </c>
      <c r="E35" s="15">
        <f>$E34+$D35</f>
        <v/>
      </c>
      <c r="F35" s="15">
        <f>$F34+$C35</f>
        <v/>
      </c>
    </row>
    <row r="36">
      <c r="A36" s="32" t="n">
        <v>30</v>
      </c>
      <c r="B36" s="15">
        <f>Construction_Budget!$E$19/Assumptions!$C$42*(1+Assumptions!$F$24)^($A36-1)</f>
        <v/>
      </c>
      <c r="C36" s="15">
        <f>IF(AND($A36&gt;0,MOD($A36,Assumptions!$C$42)=0),Construction_Budget!$E$19*(1+Assumptions!$F$24)^$A36,0)</f>
        <v/>
      </c>
      <c r="D36" s="15">
        <f>Assumptions!$C$43*Revenue!$I$36</f>
        <v/>
      </c>
      <c r="E36" s="15">
        <f>$E35+$D36</f>
        <v/>
      </c>
      <c r="F36" s="15">
        <f>$F35+$C36</f>
        <v/>
      </c>
    </row>
    <row r="38">
      <c r="B38" s="30" t="inlineStr">
        <is>
          <t>CHECK: reserve funding covers cumulative refresh spend at horizon</t>
        </is>
      </c>
      <c r="F38" s="31">
        <f>IF($E36&gt;=$F36,"PASS","FAIL — under-reserved")</f>
        <v/>
      </c>
    </row>
  </sheetData>
  <autoFilter ref="A5:F5"/>
  <mergeCells count="3">
    <mergeCell ref="A3:F3"/>
    <mergeCell ref="A2:F2"/>
    <mergeCell ref="A1:F1"/>
  </mergeCells>
  <conditionalFormatting sqref="F38">
    <cfRule type="expression" priority="1" dxfId="0" stopIfTrue="1">
      <formula>ISNUMBER(SEARCH("PASS",F38))</formula>
    </cfRule>
    <cfRule type="expression" priority="2" dxfId="1">
      <formula>NOT(ISNUMBER(SEARCH("PASS",F38)))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REVENUE-SHARE OPTIONS — Tribal Payment by Option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All five computed every year; SELECTED follows the option switch. Payments beyond term = 0.</t>
        </is>
      </c>
    </row>
    <row r="5">
      <c r="A5" s="24" t="inlineStr">
        <is>
          <t>Year</t>
        </is>
      </c>
      <c r="B5" s="24" t="inlineStr">
        <is>
          <t>Gross Revenue</t>
        </is>
      </c>
      <c r="C5" s="24" t="inlineStr">
        <is>
          <t>Adj. Op. Cash Flow</t>
        </is>
      </c>
      <c r="D5" s="24" t="inlineStr">
        <is>
          <t>A: Fixed</t>
        </is>
      </c>
      <c r="E5" s="24" t="inlineStr">
        <is>
          <t>B: % Gross</t>
        </is>
      </c>
      <c r="F5" s="24" t="inlineStr">
        <is>
          <t>C: % Op CF</t>
        </is>
      </c>
      <c r="G5" s="24" t="inlineStr">
        <is>
          <t>D: Hybrid</t>
        </is>
      </c>
      <c r="H5" s="24" t="inlineStr">
        <is>
          <t>E: Holiday/Step</t>
        </is>
      </c>
      <c r="I5" s="24" t="inlineStr">
        <is>
          <t>SELECTED (active option)</t>
        </is>
      </c>
    </row>
    <row r="6">
      <c r="A6" s="32" t="n">
        <v>0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</row>
    <row r="7">
      <c r="A7" s="32" t="n">
        <v>1</v>
      </c>
      <c r="B7" s="15">
        <f>Revenue!$I$7</f>
        <v/>
      </c>
      <c r="C7" s="15">
        <f>Revenue!$I$7-Operating_Expenses!$I$7-Capital_Replacement!$B$7</f>
        <v/>
      </c>
      <c r="D7" s="15">
        <f>Assumptions!$C$49*(1+Assumptions!$C$50)^($A7-1)*IF($A7&gt;Assumptions!$C$8,0,1)</f>
        <v/>
      </c>
      <c r="E7" s="15">
        <f>Assumptions!$C$51*$B7*IF($A7&gt;Assumptions!$C$8,0,1)</f>
        <v/>
      </c>
      <c r="F7" s="15">
        <f>Assumptions!$C$52*MAX(0,$C7)*IF($A7&gt;Assumptions!$C$8,0,1)</f>
        <v/>
      </c>
      <c r="G7" s="15">
        <f>(Assumptions!$C$53+Assumptions!$C$54*$B7)*IF($A7&gt;Assumptions!$C$8,0,1)</f>
        <v/>
      </c>
      <c r="H7" s="15">
        <f>IF($A7&lt;=Assumptions!$C$55,0,Assumptions!$C$56*(1+Assumptions!$C$57)^($A7-Assumptions!$C$55-1))*IF($A7&gt;Assumptions!$C$8,0,1)</f>
        <v/>
      </c>
      <c r="I7" s="17">
        <f>CHOOSE(Assumptions!$C$9,$D7,$E7,$F7,$G7,$H7)</f>
        <v/>
      </c>
    </row>
    <row r="8">
      <c r="A8" s="32" t="n">
        <v>2</v>
      </c>
      <c r="B8" s="15">
        <f>Revenue!$I$8</f>
        <v/>
      </c>
      <c r="C8" s="15">
        <f>Revenue!$I$8-Operating_Expenses!$I$8-Capital_Replacement!$B$8</f>
        <v/>
      </c>
      <c r="D8" s="15">
        <f>Assumptions!$C$49*(1+Assumptions!$C$50)^($A8-1)*IF($A8&gt;Assumptions!$C$8,0,1)</f>
        <v/>
      </c>
      <c r="E8" s="15">
        <f>Assumptions!$C$51*$B8*IF($A8&gt;Assumptions!$C$8,0,1)</f>
        <v/>
      </c>
      <c r="F8" s="15">
        <f>Assumptions!$C$52*MAX(0,$C8)*IF($A8&gt;Assumptions!$C$8,0,1)</f>
        <v/>
      </c>
      <c r="G8" s="15">
        <f>(Assumptions!$C$53+Assumptions!$C$54*$B8)*IF($A8&gt;Assumptions!$C$8,0,1)</f>
        <v/>
      </c>
      <c r="H8" s="15">
        <f>IF($A8&lt;=Assumptions!$C$55,0,Assumptions!$C$56*(1+Assumptions!$C$57)^($A8-Assumptions!$C$55-1))*IF($A8&gt;Assumptions!$C$8,0,1)</f>
        <v/>
      </c>
      <c r="I8" s="17">
        <f>CHOOSE(Assumptions!$C$9,$D8,$E8,$F8,$G8,$H8)</f>
        <v/>
      </c>
    </row>
    <row r="9">
      <c r="A9" s="32" t="n">
        <v>3</v>
      </c>
      <c r="B9" s="15">
        <f>Revenue!$I$9</f>
        <v/>
      </c>
      <c r="C9" s="15">
        <f>Revenue!$I$9-Operating_Expenses!$I$9-Capital_Replacement!$B$9</f>
        <v/>
      </c>
      <c r="D9" s="15">
        <f>Assumptions!$C$49*(1+Assumptions!$C$50)^($A9-1)*IF($A9&gt;Assumptions!$C$8,0,1)</f>
        <v/>
      </c>
      <c r="E9" s="15">
        <f>Assumptions!$C$51*$B9*IF($A9&gt;Assumptions!$C$8,0,1)</f>
        <v/>
      </c>
      <c r="F9" s="15">
        <f>Assumptions!$C$52*MAX(0,$C9)*IF($A9&gt;Assumptions!$C$8,0,1)</f>
        <v/>
      </c>
      <c r="G9" s="15">
        <f>(Assumptions!$C$53+Assumptions!$C$54*$B9)*IF($A9&gt;Assumptions!$C$8,0,1)</f>
        <v/>
      </c>
      <c r="H9" s="15">
        <f>IF($A9&lt;=Assumptions!$C$55,0,Assumptions!$C$56*(1+Assumptions!$C$57)^($A9-Assumptions!$C$55-1))*IF($A9&gt;Assumptions!$C$8,0,1)</f>
        <v/>
      </c>
      <c r="I9" s="17">
        <f>CHOOSE(Assumptions!$C$9,$D9,$E9,$F9,$G9,$H9)</f>
        <v/>
      </c>
    </row>
    <row r="10">
      <c r="A10" s="32" t="n">
        <v>4</v>
      </c>
      <c r="B10" s="15">
        <f>Revenue!$I$10</f>
        <v/>
      </c>
      <c r="C10" s="15">
        <f>Revenue!$I$10-Operating_Expenses!$I$10-Capital_Replacement!$B$10</f>
        <v/>
      </c>
      <c r="D10" s="15">
        <f>Assumptions!$C$49*(1+Assumptions!$C$50)^($A10-1)*IF($A10&gt;Assumptions!$C$8,0,1)</f>
        <v/>
      </c>
      <c r="E10" s="15">
        <f>Assumptions!$C$51*$B10*IF($A10&gt;Assumptions!$C$8,0,1)</f>
        <v/>
      </c>
      <c r="F10" s="15">
        <f>Assumptions!$C$52*MAX(0,$C10)*IF($A10&gt;Assumptions!$C$8,0,1)</f>
        <v/>
      </c>
      <c r="G10" s="15">
        <f>(Assumptions!$C$53+Assumptions!$C$54*$B10)*IF($A10&gt;Assumptions!$C$8,0,1)</f>
        <v/>
      </c>
      <c r="H10" s="15">
        <f>IF($A10&lt;=Assumptions!$C$55,0,Assumptions!$C$56*(1+Assumptions!$C$57)^($A10-Assumptions!$C$55-1))*IF($A10&gt;Assumptions!$C$8,0,1)</f>
        <v/>
      </c>
      <c r="I10" s="17">
        <f>CHOOSE(Assumptions!$C$9,$D10,$E10,$F10,$G10,$H10)</f>
        <v/>
      </c>
    </row>
    <row r="11">
      <c r="A11" s="32" t="n">
        <v>5</v>
      </c>
      <c r="B11" s="15">
        <f>Revenue!$I$11</f>
        <v/>
      </c>
      <c r="C11" s="15">
        <f>Revenue!$I$11-Operating_Expenses!$I$11-Capital_Replacement!$B$11</f>
        <v/>
      </c>
      <c r="D11" s="15">
        <f>Assumptions!$C$49*(1+Assumptions!$C$50)^($A11-1)*IF($A11&gt;Assumptions!$C$8,0,1)</f>
        <v/>
      </c>
      <c r="E11" s="15">
        <f>Assumptions!$C$51*$B11*IF($A11&gt;Assumptions!$C$8,0,1)</f>
        <v/>
      </c>
      <c r="F11" s="15">
        <f>Assumptions!$C$52*MAX(0,$C11)*IF($A11&gt;Assumptions!$C$8,0,1)</f>
        <v/>
      </c>
      <c r="G11" s="15">
        <f>(Assumptions!$C$53+Assumptions!$C$54*$B11)*IF($A11&gt;Assumptions!$C$8,0,1)</f>
        <v/>
      </c>
      <c r="H11" s="15">
        <f>IF($A11&lt;=Assumptions!$C$55,0,Assumptions!$C$56*(1+Assumptions!$C$57)^($A11-Assumptions!$C$55-1))*IF($A11&gt;Assumptions!$C$8,0,1)</f>
        <v/>
      </c>
      <c r="I11" s="17">
        <f>CHOOSE(Assumptions!$C$9,$D11,$E11,$F11,$G11,$H11)</f>
        <v/>
      </c>
    </row>
    <row r="12">
      <c r="A12" s="32" t="n">
        <v>6</v>
      </c>
      <c r="B12" s="15">
        <f>Revenue!$I$12</f>
        <v/>
      </c>
      <c r="C12" s="15">
        <f>Revenue!$I$12-Operating_Expenses!$I$12-Capital_Replacement!$B$12</f>
        <v/>
      </c>
      <c r="D12" s="15">
        <f>Assumptions!$C$49*(1+Assumptions!$C$50)^($A12-1)*IF($A12&gt;Assumptions!$C$8,0,1)</f>
        <v/>
      </c>
      <c r="E12" s="15">
        <f>Assumptions!$C$51*$B12*IF($A12&gt;Assumptions!$C$8,0,1)</f>
        <v/>
      </c>
      <c r="F12" s="15">
        <f>Assumptions!$C$52*MAX(0,$C12)*IF($A12&gt;Assumptions!$C$8,0,1)</f>
        <v/>
      </c>
      <c r="G12" s="15">
        <f>(Assumptions!$C$53+Assumptions!$C$54*$B12)*IF($A12&gt;Assumptions!$C$8,0,1)</f>
        <v/>
      </c>
      <c r="H12" s="15">
        <f>IF($A12&lt;=Assumptions!$C$55,0,Assumptions!$C$56*(1+Assumptions!$C$57)^($A12-Assumptions!$C$55-1))*IF($A12&gt;Assumptions!$C$8,0,1)</f>
        <v/>
      </c>
      <c r="I12" s="17">
        <f>CHOOSE(Assumptions!$C$9,$D12,$E12,$F12,$G12,$H12)</f>
        <v/>
      </c>
    </row>
    <row r="13">
      <c r="A13" s="32" t="n">
        <v>7</v>
      </c>
      <c r="B13" s="15">
        <f>Revenue!$I$13</f>
        <v/>
      </c>
      <c r="C13" s="15">
        <f>Revenue!$I$13-Operating_Expenses!$I$13-Capital_Replacement!$B$13</f>
        <v/>
      </c>
      <c r="D13" s="15">
        <f>Assumptions!$C$49*(1+Assumptions!$C$50)^($A13-1)*IF($A13&gt;Assumptions!$C$8,0,1)</f>
        <v/>
      </c>
      <c r="E13" s="15">
        <f>Assumptions!$C$51*$B13*IF($A13&gt;Assumptions!$C$8,0,1)</f>
        <v/>
      </c>
      <c r="F13" s="15">
        <f>Assumptions!$C$52*MAX(0,$C13)*IF($A13&gt;Assumptions!$C$8,0,1)</f>
        <v/>
      </c>
      <c r="G13" s="15">
        <f>(Assumptions!$C$53+Assumptions!$C$54*$B13)*IF($A13&gt;Assumptions!$C$8,0,1)</f>
        <v/>
      </c>
      <c r="H13" s="15">
        <f>IF($A13&lt;=Assumptions!$C$55,0,Assumptions!$C$56*(1+Assumptions!$C$57)^($A13-Assumptions!$C$55-1))*IF($A13&gt;Assumptions!$C$8,0,1)</f>
        <v/>
      </c>
      <c r="I13" s="17">
        <f>CHOOSE(Assumptions!$C$9,$D13,$E13,$F13,$G13,$H13)</f>
        <v/>
      </c>
    </row>
    <row r="14">
      <c r="A14" s="32" t="n">
        <v>8</v>
      </c>
      <c r="B14" s="15">
        <f>Revenue!$I$14</f>
        <v/>
      </c>
      <c r="C14" s="15">
        <f>Revenue!$I$14-Operating_Expenses!$I$14-Capital_Replacement!$B$14</f>
        <v/>
      </c>
      <c r="D14" s="15">
        <f>Assumptions!$C$49*(1+Assumptions!$C$50)^($A14-1)*IF($A14&gt;Assumptions!$C$8,0,1)</f>
        <v/>
      </c>
      <c r="E14" s="15">
        <f>Assumptions!$C$51*$B14*IF($A14&gt;Assumptions!$C$8,0,1)</f>
        <v/>
      </c>
      <c r="F14" s="15">
        <f>Assumptions!$C$52*MAX(0,$C14)*IF($A14&gt;Assumptions!$C$8,0,1)</f>
        <v/>
      </c>
      <c r="G14" s="15">
        <f>(Assumptions!$C$53+Assumptions!$C$54*$B14)*IF($A14&gt;Assumptions!$C$8,0,1)</f>
        <v/>
      </c>
      <c r="H14" s="15">
        <f>IF($A14&lt;=Assumptions!$C$55,0,Assumptions!$C$56*(1+Assumptions!$C$57)^($A14-Assumptions!$C$55-1))*IF($A14&gt;Assumptions!$C$8,0,1)</f>
        <v/>
      </c>
      <c r="I14" s="17">
        <f>CHOOSE(Assumptions!$C$9,$D14,$E14,$F14,$G14,$H14)</f>
        <v/>
      </c>
    </row>
    <row r="15">
      <c r="A15" s="32" t="n">
        <v>9</v>
      </c>
      <c r="B15" s="15">
        <f>Revenue!$I$15</f>
        <v/>
      </c>
      <c r="C15" s="15">
        <f>Revenue!$I$15-Operating_Expenses!$I$15-Capital_Replacement!$B$15</f>
        <v/>
      </c>
      <c r="D15" s="15">
        <f>Assumptions!$C$49*(1+Assumptions!$C$50)^($A15-1)*IF($A15&gt;Assumptions!$C$8,0,1)</f>
        <v/>
      </c>
      <c r="E15" s="15">
        <f>Assumptions!$C$51*$B15*IF($A15&gt;Assumptions!$C$8,0,1)</f>
        <v/>
      </c>
      <c r="F15" s="15">
        <f>Assumptions!$C$52*MAX(0,$C15)*IF($A15&gt;Assumptions!$C$8,0,1)</f>
        <v/>
      </c>
      <c r="G15" s="15">
        <f>(Assumptions!$C$53+Assumptions!$C$54*$B15)*IF($A15&gt;Assumptions!$C$8,0,1)</f>
        <v/>
      </c>
      <c r="H15" s="15">
        <f>IF($A15&lt;=Assumptions!$C$55,0,Assumptions!$C$56*(1+Assumptions!$C$57)^($A15-Assumptions!$C$55-1))*IF($A15&gt;Assumptions!$C$8,0,1)</f>
        <v/>
      </c>
      <c r="I15" s="17">
        <f>CHOOSE(Assumptions!$C$9,$D15,$E15,$F15,$G15,$H15)</f>
        <v/>
      </c>
    </row>
    <row r="16">
      <c r="A16" s="32" t="n">
        <v>10</v>
      </c>
      <c r="B16" s="15">
        <f>Revenue!$I$16</f>
        <v/>
      </c>
      <c r="C16" s="15">
        <f>Revenue!$I$16-Operating_Expenses!$I$16-Capital_Replacement!$B$16</f>
        <v/>
      </c>
      <c r="D16" s="15">
        <f>Assumptions!$C$49*(1+Assumptions!$C$50)^($A16-1)*IF($A16&gt;Assumptions!$C$8,0,1)</f>
        <v/>
      </c>
      <c r="E16" s="15">
        <f>Assumptions!$C$51*$B16*IF($A16&gt;Assumptions!$C$8,0,1)</f>
        <v/>
      </c>
      <c r="F16" s="15">
        <f>Assumptions!$C$52*MAX(0,$C16)*IF($A16&gt;Assumptions!$C$8,0,1)</f>
        <v/>
      </c>
      <c r="G16" s="15">
        <f>(Assumptions!$C$53+Assumptions!$C$54*$B16)*IF($A16&gt;Assumptions!$C$8,0,1)</f>
        <v/>
      </c>
      <c r="H16" s="15">
        <f>IF($A16&lt;=Assumptions!$C$55,0,Assumptions!$C$56*(1+Assumptions!$C$57)^($A16-Assumptions!$C$55-1))*IF($A16&gt;Assumptions!$C$8,0,1)</f>
        <v/>
      </c>
      <c r="I16" s="17">
        <f>CHOOSE(Assumptions!$C$9,$D16,$E16,$F16,$G16,$H16)</f>
        <v/>
      </c>
    </row>
    <row r="17">
      <c r="A17" s="32" t="n">
        <v>11</v>
      </c>
      <c r="B17" s="15">
        <f>Revenue!$I$17</f>
        <v/>
      </c>
      <c r="C17" s="15">
        <f>Revenue!$I$17-Operating_Expenses!$I$17-Capital_Replacement!$B$17</f>
        <v/>
      </c>
      <c r="D17" s="15">
        <f>Assumptions!$C$49*(1+Assumptions!$C$50)^($A17-1)*IF($A17&gt;Assumptions!$C$8,0,1)</f>
        <v/>
      </c>
      <c r="E17" s="15">
        <f>Assumptions!$C$51*$B17*IF($A17&gt;Assumptions!$C$8,0,1)</f>
        <v/>
      </c>
      <c r="F17" s="15">
        <f>Assumptions!$C$52*MAX(0,$C17)*IF($A17&gt;Assumptions!$C$8,0,1)</f>
        <v/>
      </c>
      <c r="G17" s="15">
        <f>(Assumptions!$C$53+Assumptions!$C$54*$B17)*IF($A17&gt;Assumptions!$C$8,0,1)</f>
        <v/>
      </c>
      <c r="H17" s="15">
        <f>IF($A17&lt;=Assumptions!$C$55,0,Assumptions!$C$56*(1+Assumptions!$C$57)^($A17-Assumptions!$C$55-1))*IF($A17&gt;Assumptions!$C$8,0,1)</f>
        <v/>
      </c>
      <c r="I17" s="17">
        <f>CHOOSE(Assumptions!$C$9,$D17,$E17,$F17,$G17,$H17)</f>
        <v/>
      </c>
    </row>
    <row r="18">
      <c r="A18" s="32" t="n">
        <v>12</v>
      </c>
      <c r="B18" s="15">
        <f>Revenue!$I$18</f>
        <v/>
      </c>
      <c r="C18" s="15">
        <f>Revenue!$I$18-Operating_Expenses!$I$18-Capital_Replacement!$B$18</f>
        <v/>
      </c>
      <c r="D18" s="15">
        <f>Assumptions!$C$49*(1+Assumptions!$C$50)^($A18-1)*IF($A18&gt;Assumptions!$C$8,0,1)</f>
        <v/>
      </c>
      <c r="E18" s="15">
        <f>Assumptions!$C$51*$B18*IF($A18&gt;Assumptions!$C$8,0,1)</f>
        <v/>
      </c>
      <c r="F18" s="15">
        <f>Assumptions!$C$52*MAX(0,$C18)*IF($A18&gt;Assumptions!$C$8,0,1)</f>
        <v/>
      </c>
      <c r="G18" s="15">
        <f>(Assumptions!$C$53+Assumptions!$C$54*$B18)*IF($A18&gt;Assumptions!$C$8,0,1)</f>
        <v/>
      </c>
      <c r="H18" s="15">
        <f>IF($A18&lt;=Assumptions!$C$55,0,Assumptions!$C$56*(1+Assumptions!$C$57)^($A18-Assumptions!$C$55-1))*IF($A18&gt;Assumptions!$C$8,0,1)</f>
        <v/>
      </c>
      <c r="I18" s="17">
        <f>CHOOSE(Assumptions!$C$9,$D18,$E18,$F18,$G18,$H18)</f>
        <v/>
      </c>
    </row>
    <row r="19">
      <c r="A19" s="32" t="n">
        <v>13</v>
      </c>
      <c r="B19" s="15">
        <f>Revenue!$I$19</f>
        <v/>
      </c>
      <c r="C19" s="15">
        <f>Revenue!$I$19-Operating_Expenses!$I$19-Capital_Replacement!$B$19</f>
        <v/>
      </c>
      <c r="D19" s="15">
        <f>Assumptions!$C$49*(1+Assumptions!$C$50)^($A19-1)*IF($A19&gt;Assumptions!$C$8,0,1)</f>
        <v/>
      </c>
      <c r="E19" s="15">
        <f>Assumptions!$C$51*$B19*IF($A19&gt;Assumptions!$C$8,0,1)</f>
        <v/>
      </c>
      <c r="F19" s="15">
        <f>Assumptions!$C$52*MAX(0,$C19)*IF($A19&gt;Assumptions!$C$8,0,1)</f>
        <v/>
      </c>
      <c r="G19" s="15">
        <f>(Assumptions!$C$53+Assumptions!$C$54*$B19)*IF($A19&gt;Assumptions!$C$8,0,1)</f>
        <v/>
      </c>
      <c r="H19" s="15">
        <f>IF($A19&lt;=Assumptions!$C$55,0,Assumptions!$C$56*(1+Assumptions!$C$57)^($A19-Assumptions!$C$55-1))*IF($A19&gt;Assumptions!$C$8,0,1)</f>
        <v/>
      </c>
      <c r="I19" s="17">
        <f>CHOOSE(Assumptions!$C$9,$D19,$E19,$F19,$G19,$H19)</f>
        <v/>
      </c>
    </row>
    <row r="20">
      <c r="A20" s="32" t="n">
        <v>14</v>
      </c>
      <c r="B20" s="15">
        <f>Revenue!$I$20</f>
        <v/>
      </c>
      <c r="C20" s="15">
        <f>Revenue!$I$20-Operating_Expenses!$I$20-Capital_Replacement!$B$20</f>
        <v/>
      </c>
      <c r="D20" s="15">
        <f>Assumptions!$C$49*(1+Assumptions!$C$50)^($A20-1)*IF($A20&gt;Assumptions!$C$8,0,1)</f>
        <v/>
      </c>
      <c r="E20" s="15">
        <f>Assumptions!$C$51*$B20*IF($A20&gt;Assumptions!$C$8,0,1)</f>
        <v/>
      </c>
      <c r="F20" s="15">
        <f>Assumptions!$C$52*MAX(0,$C20)*IF($A20&gt;Assumptions!$C$8,0,1)</f>
        <v/>
      </c>
      <c r="G20" s="15">
        <f>(Assumptions!$C$53+Assumptions!$C$54*$B20)*IF($A20&gt;Assumptions!$C$8,0,1)</f>
        <v/>
      </c>
      <c r="H20" s="15">
        <f>IF($A20&lt;=Assumptions!$C$55,0,Assumptions!$C$56*(1+Assumptions!$C$57)^($A20-Assumptions!$C$55-1))*IF($A20&gt;Assumptions!$C$8,0,1)</f>
        <v/>
      </c>
      <c r="I20" s="17">
        <f>CHOOSE(Assumptions!$C$9,$D20,$E20,$F20,$G20,$H20)</f>
        <v/>
      </c>
    </row>
    <row r="21">
      <c r="A21" s="32" t="n">
        <v>15</v>
      </c>
      <c r="B21" s="15">
        <f>Revenue!$I$21</f>
        <v/>
      </c>
      <c r="C21" s="15">
        <f>Revenue!$I$21-Operating_Expenses!$I$21-Capital_Replacement!$B$21</f>
        <v/>
      </c>
      <c r="D21" s="15">
        <f>Assumptions!$C$49*(1+Assumptions!$C$50)^($A21-1)*IF($A21&gt;Assumptions!$C$8,0,1)</f>
        <v/>
      </c>
      <c r="E21" s="15">
        <f>Assumptions!$C$51*$B21*IF($A21&gt;Assumptions!$C$8,0,1)</f>
        <v/>
      </c>
      <c r="F21" s="15">
        <f>Assumptions!$C$52*MAX(0,$C21)*IF($A21&gt;Assumptions!$C$8,0,1)</f>
        <v/>
      </c>
      <c r="G21" s="15">
        <f>(Assumptions!$C$53+Assumptions!$C$54*$B21)*IF($A21&gt;Assumptions!$C$8,0,1)</f>
        <v/>
      </c>
      <c r="H21" s="15">
        <f>IF($A21&lt;=Assumptions!$C$55,0,Assumptions!$C$56*(1+Assumptions!$C$57)^($A21-Assumptions!$C$55-1))*IF($A21&gt;Assumptions!$C$8,0,1)</f>
        <v/>
      </c>
      <c r="I21" s="17">
        <f>CHOOSE(Assumptions!$C$9,$D21,$E21,$F21,$G21,$H21)</f>
        <v/>
      </c>
    </row>
    <row r="22">
      <c r="A22" s="32" t="n">
        <v>16</v>
      </c>
      <c r="B22" s="15">
        <f>Revenue!$I$22</f>
        <v/>
      </c>
      <c r="C22" s="15">
        <f>Revenue!$I$22-Operating_Expenses!$I$22-Capital_Replacement!$B$22</f>
        <v/>
      </c>
      <c r="D22" s="15">
        <f>Assumptions!$C$49*(1+Assumptions!$C$50)^($A22-1)*IF($A22&gt;Assumptions!$C$8,0,1)</f>
        <v/>
      </c>
      <c r="E22" s="15">
        <f>Assumptions!$C$51*$B22*IF($A22&gt;Assumptions!$C$8,0,1)</f>
        <v/>
      </c>
      <c r="F22" s="15">
        <f>Assumptions!$C$52*MAX(0,$C22)*IF($A22&gt;Assumptions!$C$8,0,1)</f>
        <v/>
      </c>
      <c r="G22" s="15">
        <f>(Assumptions!$C$53+Assumptions!$C$54*$B22)*IF($A22&gt;Assumptions!$C$8,0,1)</f>
        <v/>
      </c>
      <c r="H22" s="15">
        <f>IF($A22&lt;=Assumptions!$C$55,0,Assumptions!$C$56*(1+Assumptions!$C$57)^($A22-Assumptions!$C$55-1))*IF($A22&gt;Assumptions!$C$8,0,1)</f>
        <v/>
      </c>
      <c r="I22" s="17">
        <f>CHOOSE(Assumptions!$C$9,$D22,$E22,$F22,$G22,$H22)</f>
        <v/>
      </c>
    </row>
    <row r="23">
      <c r="A23" s="32" t="n">
        <v>17</v>
      </c>
      <c r="B23" s="15">
        <f>Revenue!$I$23</f>
        <v/>
      </c>
      <c r="C23" s="15">
        <f>Revenue!$I$23-Operating_Expenses!$I$23-Capital_Replacement!$B$23</f>
        <v/>
      </c>
      <c r="D23" s="15">
        <f>Assumptions!$C$49*(1+Assumptions!$C$50)^($A23-1)*IF($A23&gt;Assumptions!$C$8,0,1)</f>
        <v/>
      </c>
      <c r="E23" s="15">
        <f>Assumptions!$C$51*$B23*IF($A23&gt;Assumptions!$C$8,0,1)</f>
        <v/>
      </c>
      <c r="F23" s="15">
        <f>Assumptions!$C$52*MAX(0,$C23)*IF($A23&gt;Assumptions!$C$8,0,1)</f>
        <v/>
      </c>
      <c r="G23" s="15">
        <f>(Assumptions!$C$53+Assumptions!$C$54*$B23)*IF($A23&gt;Assumptions!$C$8,0,1)</f>
        <v/>
      </c>
      <c r="H23" s="15">
        <f>IF($A23&lt;=Assumptions!$C$55,0,Assumptions!$C$56*(1+Assumptions!$C$57)^($A23-Assumptions!$C$55-1))*IF($A23&gt;Assumptions!$C$8,0,1)</f>
        <v/>
      </c>
      <c r="I23" s="17">
        <f>CHOOSE(Assumptions!$C$9,$D23,$E23,$F23,$G23,$H23)</f>
        <v/>
      </c>
    </row>
    <row r="24">
      <c r="A24" s="32" t="n">
        <v>18</v>
      </c>
      <c r="B24" s="15">
        <f>Revenue!$I$24</f>
        <v/>
      </c>
      <c r="C24" s="15">
        <f>Revenue!$I$24-Operating_Expenses!$I$24-Capital_Replacement!$B$24</f>
        <v/>
      </c>
      <c r="D24" s="15">
        <f>Assumptions!$C$49*(1+Assumptions!$C$50)^($A24-1)*IF($A24&gt;Assumptions!$C$8,0,1)</f>
        <v/>
      </c>
      <c r="E24" s="15">
        <f>Assumptions!$C$51*$B24*IF($A24&gt;Assumptions!$C$8,0,1)</f>
        <v/>
      </c>
      <c r="F24" s="15">
        <f>Assumptions!$C$52*MAX(0,$C24)*IF($A24&gt;Assumptions!$C$8,0,1)</f>
        <v/>
      </c>
      <c r="G24" s="15">
        <f>(Assumptions!$C$53+Assumptions!$C$54*$B24)*IF($A24&gt;Assumptions!$C$8,0,1)</f>
        <v/>
      </c>
      <c r="H24" s="15">
        <f>IF($A24&lt;=Assumptions!$C$55,0,Assumptions!$C$56*(1+Assumptions!$C$57)^($A24-Assumptions!$C$55-1))*IF($A24&gt;Assumptions!$C$8,0,1)</f>
        <v/>
      </c>
      <c r="I24" s="17">
        <f>CHOOSE(Assumptions!$C$9,$D24,$E24,$F24,$G24,$H24)</f>
        <v/>
      </c>
    </row>
    <row r="25">
      <c r="A25" s="32" t="n">
        <v>19</v>
      </c>
      <c r="B25" s="15">
        <f>Revenue!$I$25</f>
        <v/>
      </c>
      <c r="C25" s="15">
        <f>Revenue!$I$25-Operating_Expenses!$I$25-Capital_Replacement!$B$25</f>
        <v/>
      </c>
      <c r="D25" s="15">
        <f>Assumptions!$C$49*(1+Assumptions!$C$50)^($A25-1)*IF($A25&gt;Assumptions!$C$8,0,1)</f>
        <v/>
      </c>
      <c r="E25" s="15">
        <f>Assumptions!$C$51*$B25*IF($A25&gt;Assumptions!$C$8,0,1)</f>
        <v/>
      </c>
      <c r="F25" s="15">
        <f>Assumptions!$C$52*MAX(0,$C25)*IF($A25&gt;Assumptions!$C$8,0,1)</f>
        <v/>
      </c>
      <c r="G25" s="15">
        <f>(Assumptions!$C$53+Assumptions!$C$54*$B25)*IF($A25&gt;Assumptions!$C$8,0,1)</f>
        <v/>
      </c>
      <c r="H25" s="15">
        <f>IF($A25&lt;=Assumptions!$C$55,0,Assumptions!$C$56*(1+Assumptions!$C$57)^($A25-Assumptions!$C$55-1))*IF($A25&gt;Assumptions!$C$8,0,1)</f>
        <v/>
      </c>
      <c r="I25" s="17">
        <f>CHOOSE(Assumptions!$C$9,$D25,$E25,$F25,$G25,$H25)</f>
        <v/>
      </c>
    </row>
    <row r="26">
      <c r="A26" s="32" t="n">
        <v>20</v>
      </c>
      <c r="B26" s="15">
        <f>Revenue!$I$26</f>
        <v/>
      </c>
      <c r="C26" s="15">
        <f>Revenue!$I$26-Operating_Expenses!$I$26-Capital_Replacement!$B$26</f>
        <v/>
      </c>
      <c r="D26" s="15">
        <f>Assumptions!$C$49*(1+Assumptions!$C$50)^($A26-1)*IF($A26&gt;Assumptions!$C$8,0,1)</f>
        <v/>
      </c>
      <c r="E26" s="15">
        <f>Assumptions!$C$51*$B26*IF($A26&gt;Assumptions!$C$8,0,1)</f>
        <v/>
      </c>
      <c r="F26" s="15">
        <f>Assumptions!$C$52*MAX(0,$C26)*IF($A26&gt;Assumptions!$C$8,0,1)</f>
        <v/>
      </c>
      <c r="G26" s="15">
        <f>(Assumptions!$C$53+Assumptions!$C$54*$B26)*IF($A26&gt;Assumptions!$C$8,0,1)</f>
        <v/>
      </c>
      <c r="H26" s="15">
        <f>IF($A26&lt;=Assumptions!$C$55,0,Assumptions!$C$56*(1+Assumptions!$C$57)^($A26-Assumptions!$C$55-1))*IF($A26&gt;Assumptions!$C$8,0,1)</f>
        <v/>
      </c>
      <c r="I26" s="17">
        <f>CHOOSE(Assumptions!$C$9,$D26,$E26,$F26,$G26,$H26)</f>
        <v/>
      </c>
    </row>
    <row r="27">
      <c r="A27" s="32" t="n">
        <v>21</v>
      </c>
      <c r="B27" s="15">
        <f>Revenue!$I$27</f>
        <v/>
      </c>
      <c r="C27" s="15">
        <f>Revenue!$I$27-Operating_Expenses!$I$27-Capital_Replacement!$B$27</f>
        <v/>
      </c>
      <c r="D27" s="15">
        <f>Assumptions!$C$49*(1+Assumptions!$C$50)^($A27-1)*IF($A27&gt;Assumptions!$C$8,0,1)</f>
        <v/>
      </c>
      <c r="E27" s="15">
        <f>Assumptions!$C$51*$B27*IF($A27&gt;Assumptions!$C$8,0,1)</f>
        <v/>
      </c>
      <c r="F27" s="15">
        <f>Assumptions!$C$52*MAX(0,$C27)*IF($A27&gt;Assumptions!$C$8,0,1)</f>
        <v/>
      </c>
      <c r="G27" s="15">
        <f>(Assumptions!$C$53+Assumptions!$C$54*$B27)*IF($A27&gt;Assumptions!$C$8,0,1)</f>
        <v/>
      </c>
      <c r="H27" s="15">
        <f>IF($A27&lt;=Assumptions!$C$55,0,Assumptions!$C$56*(1+Assumptions!$C$57)^($A27-Assumptions!$C$55-1))*IF($A27&gt;Assumptions!$C$8,0,1)</f>
        <v/>
      </c>
      <c r="I27" s="17">
        <f>CHOOSE(Assumptions!$C$9,$D27,$E27,$F27,$G27,$H27)</f>
        <v/>
      </c>
    </row>
    <row r="28">
      <c r="A28" s="32" t="n">
        <v>22</v>
      </c>
      <c r="B28" s="15">
        <f>Revenue!$I$28</f>
        <v/>
      </c>
      <c r="C28" s="15">
        <f>Revenue!$I$28-Operating_Expenses!$I$28-Capital_Replacement!$B$28</f>
        <v/>
      </c>
      <c r="D28" s="15">
        <f>Assumptions!$C$49*(1+Assumptions!$C$50)^($A28-1)*IF($A28&gt;Assumptions!$C$8,0,1)</f>
        <v/>
      </c>
      <c r="E28" s="15">
        <f>Assumptions!$C$51*$B28*IF($A28&gt;Assumptions!$C$8,0,1)</f>
        <v/>
      </c>
      <c r="F28" s="15">
        <f>Assumptions!$C$52*MAX(0,$C28)*IF($A28&gt;Assumptions!$C$8,0,1)</f>
        <v/>
      </c>
      <c r="G28" s="15">
        <f>(Assumptions!$C$53+Assumptions!$C$54*$B28)*IF($A28&gt;Assumptions!$C$8,0,1)</f>
        <v/>
      </c>
      <c r="H28" s="15">
        <f>IF($A28&lt;=Assumptions!$C$55,0,Assumptions!$C$56*(1+Assumptions!$C$57)^($A28-Assumptions!$C$55-1))*IF($A28&gt;Assumptions!$C$8,0,1)</f>
        <v/>
      </c>
      <c r="I28" s="17">
        <f>CHOOSE(Assumptions!$C$9,$D28,$E28,$F28,$G28,$H28)</f>
        <v/>
      </c>
    </row>
    <row r="29">
      <c r="A29" s="32" t="n">
        <v>23</v>
      </c>
      <c r="B29" s="15">
        <f>Revenue!$I$29</f>
        <v/>
      </c>
      <c r="C29" s="15">
        <f>Revenue!$I$29-Operating_Expenses!$I$29-Capital_Replacement!$B$29</f>
        <v/>
      </c>
      <c r="D29" s="15">
        <f>Assumptions!$C$49*(1+Assumptions!$C$50)^($A29-1)*IF($A29&gt;Assumptions!$C$8,0,1)</f>
        <v/>
      </c>
      <c r="E29" s="15">
        <f>Assumptions!$C$51*$B29*IF($A29&gt;Assumptions!$C$8,0,1)</f>
        <v/>
      </c>
      <c r="F29" s="15">
        <f>Assumptions!$C$52*MAX(0,$C29)*IF($A29&gt;Assumptions!$C$8,0,1)</f>
        <v/>
      </c>
      <c r="G29" s="15">
        <f>(Assumptions!$C$53+Assumptions!$C$54*$B29)*IF($A29&gt;Assumptions!$C$8,0,1)</f>
        <v/>
      </c>
      <c r="H29" s="15">
        <f>IF($A29&lt;=Assumptions!$C$55,0,Assumptions!$C$56*(1+Assumptions!$C$57)^($A29-Assumptions!$C$55-1))*IF($A29&gt;Assumptions!$C$8,0,1)</f>
        <v/>
      </c>
      <c r="I29" s="17">
        <f>CHOOSE(Assumptions!$C$9,$D29,$E29,$F29,$G29,$H29)</f>
        <v/>
      </c>
    </row>
    <row r="30">
      <c r="A30" s="32" t="n">
        <v>24</v>
      </c>
      <c r="B30" s="15">
        <f>Revenue!$I$30</f>
        <v/>
      </c>
      <c r="C30" s="15">
        <f>Revenue!$I$30-Operating_Expenses!$I$30-Capital_Replacement!$B$30</f>
        <v/>
      </c>
      <c r="D30" s="15">
        <f>Assumptions!$C$49*(1+Assumptions!$C$50)^($A30-1)*IF($A30&gt;Assumptions!$C$8,0,1)</f>
        <v/>
      </c>
      <c r="E30" s="15">
        <f>Assumptions!$C$51*$B30*IF($A30&gt;Assumptions!$C$8,0,1)</f>
        <v/>
      </c>
      <c r="F30" s="15">
        <f>Assumptions!$C$52*MAX(0,$C30)*IF($A30&gt;Assumptions!$C$8,0,1)</f>
        <v/>
      </c>
      <c r="G30" s="15">
        <f>(Assumptions!$C$53+Assumptions!$C$54*$B30)*IF($A30&gt;Assumptions!$C$8,0,1)</f>
        <v/>
      </c>
      <c r="H30" s="15">
        <f>IF($A30&lt;=Assumptions!$C$55,0,Assumptions!$C$56*(1+Assumptions!$C$57)^($A30-Assumptions!$C$55-1))*IF($A30&gt;Assumptions!$C$8,0,1)</f>
        <v/>
      </c>
      <c r="I30" s="17">
        <f>CHOOSE(Assumptions!$C$9,$D30,$E30,$F30,$G30,$H30)</f>
        <v/>
      </c>
    </row>
    <row r="31">
      <c r="A31" s="32" t="n">
        <v>25</v>
      </c>
      <c r="B31" s="15">
        <f>Revenue!$I$31</f>
        <v/>
      </c>
      <c r="C31" s="15">
        <f>Revenue!$I$31-Operating_Expenses!$I$31-Capital_Replacement!$B$31</f>
        <v/>
      </c>
      <c r="D31" s="15">
        <f>Assumptions!$C$49*(1+Assumptions!$C$50)^($A31-1)*IF($A31&gt;Assumptions!$C$8,0,1)</f>
        <v/>
      </c>
      <c r="E31" s="15">
        <f>Assumptions!$C$51*$B31*IF($A31&gt;Assumptions!$C$8,0,1)</f>
        <v/>
      </c>
      <c r="F31" s="15">
        <f>Assumptions!$C$52*MAX(0,$C31)*IF($A31&gt;Assumptions!$C$8,0,1)</f>
        <v/>
      </c>
      <c r="G31" s="15">
        <f>(Assumptions!$C$53+Assumptions!$C$54*$B31)*IF($A31&gt;Assumptions!$C$8,0,1)</f>
        <v/>
      </c>
      <c r="H31" s="15">
        <f>IF($A31&lt;=Assumptions!$C$55,0,Assumptions!$C$56*(1+Assumptions!$C$57)^($A31-Assumptions!$C$55-1))*IF($A31&gt;Assumptions!$C$8,0,1)</f>
        <v/>
      </c>
      <c r="I31" s="17">
        <f>CHOOSE(Assumptions!$C$9,$D31,$E31,$F31,$G31,$H31)</f>
        <v/>
      </c>
    </row>
    <row r="32">
      <c r="A32" s="32" t="n">
        <v>26</v>
      </c>
      <c r="B32" s="15">
        <f>Revenue!$I$32</f>
        <v/>
      </c>
      <c r="C32" s="15">
        <f>Revenue!$I$32-Operating_Expenses!$I$32-Capital_Replacement!$B$32</f>
        <v/>
      </c>
      <c r="D32" s="15">
        <f>Assumptions!$C$49*(1+Assumptions!$C$50)^($A32-1)*IF($A32&gt;Assumptions!$C$8,0,1)</f>
        <v/>
      </c>
      <c r="E32" s="15">
        <f>Assumptions!$C$51*$B32*IF($A32&gt;Assumptions!$C$8,0,1)</f>
        <v/>
      </c>
      <c r="F32" s="15">
        <f>Assumptions!$C$52*MAX(0,$C32)*IF($A32&gt;Assumptions!$C$8,0,1)</f>
        <v/>
      </c>
      <c r="G32" s="15">
        <f>(Assumptions!$C$53+Assumptions!$C$54*$B32)*IF($A32&gt;Assumptions!$C$8,0,1)</f>
        <v/>
      </c>
      <c r="H32" s="15">
        <f>IF($A32&lt;=Assumptions!$C$55,0,Assumptions!$C$56*(1+Assumptions!$C$57)^($A32-Assumptions!$C$55-1))*IF($A32&gt;Assumptions!$C$8,0,1)</f>
        <v/>
      </c>
      <c r="I32" s="17">
        <f>CHOOSE(Assumptions!$C$9,$D32,$E32,$F32,$G32,$H32)</f>
        <v/>
      </c>
    </row>
    <row r="33">
      <c r="A33" s="32" t="n">
        <v>27</v>
      </c>
      <c r="B33" s="15">
        <f>Revenue!$I$33</f>
        <v/>
      </c>
      <c r="C33" s="15">
        <f>Revenue!$I$33-Operating_Expenses!$I$33-Capital_Replacement!$B$33</f>
        <v/>
      </c>
      <c r="D33" s="15">
        <f>Assumptions!$C$49*(1+Assumptions!$C$50)^($A33-1)*IF($A33&gt;Assumptions!$C$8,0,1)</f>
        <v/>
      </c>
      <c r="E33" s="15">
        <f>Assumptions!$C$51*$B33*IF($A33&gt;Assumptions!$C$8,0,1)</f>
        <v/>
      </c>
      <c r="F33" s="15">
        <f>Assumptions!$C$52*MAX(0,$C33)*IF($A33&gt;Assumptions!$C$8,0,1)</f>
        <v/>
      </c>
      <c r="G33" s="15">
        <f>(Assumptions!$C$53+Assumptions!$C$54*$B33)*IF($A33&gt;Assumptions!$C$8,0,1)</f>
        <v/>
      </c>
      <c r="H33" s="15">
        <f>IF($A33&lt;=Assumptions!$C$55,0,Assumptions!$C$56*(1+Assumptions!$C$57)^($A33-Assumptions!$C$55-1))*IF($A33&gt;Assumptions!$C$8,0,1)</f>
        <v/>
      </c>
      <c r="I33" s="17">
        <f>CHOOSE(Assumptions!$C$9,$D33,$E33,$F33,$G33,$H33)</f>
        <v/>
      </c>
    </row>
    <row r="34">
      <c r="A34" s="32" t="n">
        <v>28</v>
      </c>
      <c r="B34" s="15">
        <f>Revenue!$I$34</f>
        <v/>
      </c>
      <c r="C34" s="15">
        <f>Revenue!$I$34-Operating_Expenses!$I$34-Capital_Replacement!$B$34</f>
        <v/>
      </c>
      <c r="D34" s="15">
        <f>Assumptions!$C$49*(1+Assumptions!$C$50)^($A34-1)*IF($A34&gt;Assumptions!$C$8,0,1)</f>
        <v/>
      </c>
      <c r="E34" s="15">
        <f>Assumptions!$C$51*$B34*IF($A34&gt;Assumptions!$C$8,0,1)</f>
        <v/>
      </c>
      <c r="F34" s="15">
        <f>Assumptions!$C$52*MAX(0,$C34)*IF($A34&gt;Assumptions!$C$8,0,1)</f>
        <v/>
      </c>
      <c r="G34" s="15">
        <f>(Assumptions!$C$53+Assumptions!$C$54*$B34)*IF($A34&gt;Assumptions!$C$8,0,1)</f>
        <v/>
      </c>
      <c r="H34" s="15">
        <f>IF($A34&lt;=Assumptions!$C$55,0,Assumptions!$C$56*(1+Assumptions!$C$57)^($A34-Assumptions!$C$55-1))*IF($A34&gt;Assumptions!$C$8,0,1)</f>
        <v/>
      </c>
      <c r="I34" s="17">
        <f>CHOOSE(Assumptions!$C$9,$D34,$E34,$F34,$G34,$H34)</f>
        <v/>
      </c>
    </row>
    <row r="35">
      <c r="A35" s="32" t="n">
        <v>29</v>
      </c>
      <c r="B35" s="15">
        <f>Revenue!$I$35</f>
        <v/>
      </c>
      <c r="C35" s="15">
        <f>Revenue!$I$35-Operating_Expenses!$I$35-Capital_Replacement!$B$35</f>
        <v/>
      </c>
      <c r="D35" s="15">
        <f>Assumptions!$C$49*(1+Assumptions!$C$50)^($A35-1)*IF($A35&gt;Assumptions!$C$8,0,1)</f>
        <v/>
      </c>
      <c r="E35" s="15">
        <f>Assumptions!$C$51*$B35*IF($A35&gt;Assumptions!$C$8,0,1)</f>
        <v/>
      </c>
      <c r="F35" s="15">
        <f>Assumptions!$C$52*MAX(0,$C35)*IF($A35&gt;Assumptions!$C$8,0,1)</f>
        <v/>
      </c>
      <c r="G35" s="15">
        <f>(Assumptions!$C$53+Assumptions!$C$54*$B35)*IF($A35&gt;Assumptions!$C$8,0,1)</f>
        <v/>
      </c>
      <c r="H35" s="15">
        <f>IF($A35&lt;=Assumptions!$C$55,0,Assumptions!$C$56*(1+Assumptions!$C$57)^($A35-Assumptions!$C$55-1))*IF($A35&gt;Assumptions!$C$8,0,1)</f>
        <v/>
      </c>
      <c r="I35" s="17">
        <f>CHOOSE(Assumptions!$C$9,$D35,$E35,$F35,$G35,$H35)</f>
        <v/>
      </c>
    </row>
    <row r="36">
      <c r="A36" s="32" t="n">
        <v>30</v>
      </c>
      <c r="B36" s="15">
        <f>Revenue!$I$36</f>
        <v/>
      </c>
      <c r="C36" s="15">
        <f>Revenue!$I$36-Operating_Expenses!$I$36-Capital_Replacement!$B$36</f>
        <v/>
      </c>
      <c r="D36" s="15">
        <f>Assumptions!$C$49*(1+Assumptions!$C$50)^($A36-1)*IF($A36&gt;Assumptions!$C$8,0,1)</f>
        <v/>
      </c>
      <c r="E36" s="15">
        <f>Assumptions!$C$51*$B36*IF($A36&gt;Assumptions!$C$8,0,1)</f>
        <v/>
      </c>
      <c r="F36" s="15">
        <f>Assumptions!$C$52*MAX(0,$C36)*IF($A36&gt;Assumptions!$C$8,0,1)</f>
        <v/>
      </c>
      <c r="G36" s="15">
        <f>(Assumptions!$C$53+Assumptions!$C$54*$B36)*IF($A36&gt;Assumptions!$C$8,0,1)</f>
        <v/>
      </c>
      <c r="H36" s="15">
        <f>IF($A36&lt;=Assumptions!$C$55,0,Assumptions!$C$56*(1+Assumptions!$C$57)^($A36-Assumptions!$C$55-1))*IF($A36&gt;Assumptions!$C$8,0,1)</f>
        <v/>
      </c>
      <c r="I36" s="17">
        <f>CHOOSE(Assumptions!$C$9,$D36,$E36,$F36,$G36,$H36)</f>
        <v/>
      </c>
    </row>
    <row r="38">
      <c r="B38" s="30" t="inlineStr">
        <is>
          <t>CHECK: SELECTED equals the option chosen by the switch</t>
        </is>
      </c>
      <c r="F38" s="31">
        <f>IF(SUMPRODUCT(--(ABS($I6:$I36-CHOOSE(Assumptions!$C$9,$D6:$D36,$E6:$E36,$F6:$F36,$G6:$G36,$H6:$H36))&gt;0.5))=0,"PASS","FAIL")</f>
        <v/>
      </c>
    </row>
  </sheetData>
  <autoFilter ref="A5:I5"/>
  <mergeCells count="3">
    <mergeCell ref="A1:I1"/>
    <mergeCell ref="A3:I3"/>
    <mergeCell ref="A2:I2"/>
  </mergeCells>
  <conditionalFormatting sqref="F38">
    <cfRule type="expression" priority="1" dxfId="0" stopIfTrue="1">
      <formula>ISNUMBER(SEARCH("PASS",F38))</formula>
    </cfRule>
    <cfRule type="expression" priority="2" dxfId="1">
      <formula>NOT(ISNUMBER(SEARCH("PASS",F38)))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ANNUAL CASH FLOW — Consolidated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Gross revenue - opex - capital replacement - Tribal payment = RIVR net. Year 0 = RIVR upfront investment.</t>
        </is>
      </c>
    </row>
    <row r="5">
      <c r="A5" s="24" t="inlineStr">
        <is>
          <t>Year</t>
        </is>
      </c>
      <c r="B5" s="24" t="inlineStr">
        <is>
          <t>Gross Revenue</t>
        </is>
      </c>
      <c r="C5" s="24" t="inlineStr">
        <is>
          <t>Operating Expenses</t>
        </is>
      </c>
      <c r="D5" s="24" t="inlineStr">
        <is>
          <t>Capital Replacement</t>
        </is>
      </c>
      <c r="E5" s="24" t="inlineStr">
        <is>
          <t>Adj. Operating CF</t>
        </is>
      </c>
      <c r="F5" s="24" t="inlineStr">
        <is>
          <t>Tribal Payment</t>
        </is>
      </c>
      <c r="G5" s="24" t="inlineStr">
        <is>
          <t>RIVR Net Cash Flow</t>
        </is>
      </c>
      <c r="H5" s="24" t="inlineStr">
        <is>
          <t>RIVR Cumulative</t>
        </is>
      </c>
    </row>
    <row r="6">
      <c r="A6" s="32" t="n">
        <v>0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7">
        <f>-Assumptions!$C$45</f>
        <v/>
      </c>
      <c r="H6" s="15">
        <f>$G6</f>
        <v/>
      </c>
    </row>
    <row r="7">
      <c r="A7" s="32" t="n">
        <v>1</v>
      </c>
      <c r="B7" s="15">
        <f>Revenue!$I$7</f>
        <v/>
      </c>
      <c r="C7" s="15">
        <f>Operating_Expenses!$I$7</f>
        <v/>
      </c>
      <c r="D7" s="15">
        <f>Capital_Replacement!$B$7</f>
        <v/>
      </c>
      <c r="E7" s="15">
        <f>$B7-$C7-$D7</f>
        <v/>
      </c>
      <c r="F7" s="15">
        <f>Revenue_Share_Options!$I$7</f>
        <v/>
      </c>
      <c r="G7" s="17">
        <f>$E7-$F7</f>
        <v/>
      </c>
      <c r="H7" s="15">
        <f>$H6+$G7</f>
        <v/>
      </c>
    </row>
    <row r="8">
      <c r="A8" s="32" t="n">
        <v>2</v>
      </c>
      <c r="B8" s="15">
        <f>Revenue!$I$8</f>
        <v/>
      </c>
      <c r="C8" s="15">
        <f>Operating_Expenses!$I$8</f>
        <v/>
      </c>
      <c r="D8" s="15">
        <f>Capital_Replacement!$B$8</f>
        <v/>
      </c>
      <c r="E8" s="15">
        <f>$B8-$C8-$D8</f>
        <v/>
      </c>
      <c r="F8" s="15">
        <f>Revenue_Share_Options!$I$8</f>
        <v/>
      </c>
      <c r="G8" s="17">
        <f>$E8-$F8</f>
        <v/>
      </c>
      <c r="H8" s="15">
        <f>$H7+$G8</f>
        <v/>
      </c>
    </row>
    <row r="9">
      <c r="A9" s="32" t="n">
        <v>3</v>
      </c>
      <c r="B9" s="15">
        <f>Revenue!$I$9</f>
        <v/>
      </c>
      <c r="C9" s="15">
        <f>Operating_Expenses!$I$9</f>
        <v/>
      </c>
      <c r="D9" s="15">
        <f>Capital_Replacement!$B$9</f>
        <v/>
      </c>
      <c r="E9" s="15">
        <f>$B9-$C9-$D9</f>
        <v/>
      </c>
      <c r="F9" s="15">
        <f>Revenue_Share_Options!$I$9</f>
        <v/>
      </c>
      <c r="G9" s="17">
        <f>$E9-$F9</f>
        <v/>
      </c>
      <c r="H9" s="15">
        <f>$H8+$G9</f>
        <v/>
      </c>
    </row>
    <row r="10">
      <c r="A10" s="32" t="n">
        <v>4</v>
      </c>
      <c r="B10" s="15">
        <f>Revenue!$I$10</f>
        <v/>
      </c>
      <c r="C10" s="15">
        <f>Operating_Expenses!$I$10</f>
        <v/>
      </c>
      <c r="D10" s="15">
        <f>Capital_Replacement!$B$10</f>
        <v/>
      </c>
      <c r="E10" s="15">
        <f>$B10-$C10-$D10</f>
        <v/>
      </c>
      <c r="F10" s="15">
        <f>Revenue_Share_Options!$I$10</f>
        <v/>
      </c>
      <c r="G10" s="17">
        <f>$E10-$F10</f>
        <v/>
      </c>
      <c r="H10" s="15">
        <f>$H9+$G10</f>
        <v/>
      </c>
    </row>
    <row r="11">
      <c r="A11" s="32" t="n">
        <v>5</v>
      </c>
      <c r="B11" s="15">
        <f>Revenue!$I$11</f>
        <v/>
      </c>
      <c r="C11" s="15">
        <f>Operating_Expenses!$I$11</f>
        <v/>
      </c>
      <c r="D11" s="15">
        <f>Capital_Replacement!$B$11</f>
        <v/>
      </c>
      <c r="E11" s="15">
        <f>$B11-$C11-$D11</f>
        <v/>
      </c>
      <c r="F11" s="15">
        <f>Revenue_Share_Options!$I$11</f>
        <v/>
      </c>
      <c r="G11" s="17">
        <f>$E11-$F11</f>
        <v/>
      </c>
      <c r="H11" s="15">
        <f>$H10+$G11</f>
        <v/>
      </c>
    </row>
    <row r="12">
      <c r="A12" s="32" t="n">
        <v>6</v>
      </c>
      <c r="B12" s="15">
        <f>Revenue!$I$12</f>
        <v/>
      </c>
      <c r="C12" s="15">
        <f>Operating_Expenses!$I$12</f>
        <v/>
      </c>
      <c r="D12" s="15">
        <f>Capital_Replacement!$B$12</f>
        <v/>
      </c>
      <c r="E12" s="15">
        <f>$B12-$C12-$D12</f>
        <v/>
      </c>
      <c r="F12" s="15">
        <f>Revenue_Share_Options!$I$12</f>
        <v/>
      </c>
      <c r="G12" s="17">
        <f>$E12-$F12</f>
        <v/>
      </c>
      <c r="H12" s="15">
        <f>$H11+$G12</f>
        <v/>
      </c>
    </row>
    <row r="13">
      <c r="A13" s="32" t="n">
        <v>7</v>
      </c>
      <c r="B13" s="15">
        <f>Revenue!$I$13</f>
        <v/>
      </c>
      <c r="C13" s="15">
        <f>Operating_Expenses!$I$13</f>
        <v/>
      </c>
      <c r="D13" s="15">
        <f>Capital_Replacement!$B$13</f>
        <v/>
      </c>
      <c r="E13" s="15">
        <f>$B13-$C13-$D13</f>
        <v/>
      </c>
      <c r="F13" s="15">
        <f>Revenue_Share_Options!$I$13</f>
        <v/>
      </c>
      <c r="G13" s="17">
        <f>$E13-$F13</f>
        <v/>
      </c>
      <c r="H13" s="15">
        <f>$H12+$G13</f>
        <v/>
      </c>
    </row>
    <row r="14">
      <c r="A14" s="32" t="n">
        <v>8</v>
      </c>
      <c r="B14" s="15">
        <f>Revenue!$I$14</f>
        <v/>
      </c>
      <c r="C14" s="15">
        <f>Operating_Expenses!$I$14</f>
        <v/>
      </c>
      <c r="D14" s="15">
        <f>Capital_Replacement!$B$14</f>
        <v/>
      </c>
      <c r="E14" s="15">
        <f>$B14-$C14-$D14</f>
        <v/>
      </c>
      <c r="F14" s="15">
        <f>Revenue_Share_Options!$I$14</f>
        <v/>
      </c>
      <c r="G14" s="17">
        <f>$E14-$F14</f>
        <v/>
      </c>
      <c r="H14" s="15">
        <f>$H13+$G14</f>
        <v/>
      </c>
    </row>
    <row r="15">
      <c r="A15" s="32" t="n">
        <v>9</v>
      </c>
      <c r="B15" s="15">
        <f>Revenue!$I$15</f>
        <v/>
      </c>
      <c r="C15" s="15">
        <f>Operating_Expenses!$I$15</f>
        <v/>
      </c>
      <c r="D15" s="15">
        <f>Capital_Replacement!$B$15</f>
        <v/>
      </c>
      <c r="E15" s="15">
        <f>$B15-$C15-$D15</f>
        <v/>
      </c>
      <c r="F15" s="15">
        <f>Revenue_Share_Options!$I$15</f>
        <v/>
      </c>
      <c r="G15" s="17">
        <f>$E15-$F15</f>
        <v/>
      </c>
      <c r="H15" s="15">
        <f>$H14+$G15</f>
        <v/>
      </c>
    </row>
    <row r="16">
      <c r="A16" s="32" t="n">
        <v>10</v>
      </c>
      <c r="B16" s="15">
        <f>Revenue!$I$16</f>
        <v/>
      </c>
      <c r="C16" s="15">
        <f>Operating_Expenses!$I$16</f>
        <v/>
      </c>
      <c r="D16" s="15">
        <f>Capital_Replacement!$B$16</f>
        <v/>
      </c>
      <c r="E16" s="15">
        <f>$B16-$C16-$D16</f>
        <v/>
      </c>
      <c r="F16" s="15">
        <f>Revenue_Share_Options!$I$16</f>
        <v/>
      </c>
      <c r="G16" s="17">
        <f>$E16-$F16</f>
        <v/>
      </c>
      <c r="H16" s="15">
        <f>$H15+$G16</f>
        <v/>
      </c>
    </row>
    <row r="17">
      <c r="A17" s="32" t="n">
        <v>11</v>
      </c>
      <c r="B17" s="15">
        <f>Revenue!$I$17</f>
        <v/>
      </c>
      <c r="C17" s="15">
        <f>Operating_Expenses!$I$17</f>
        <v/>
      </c>
      <c r="D17" s="15">
        <f>Capital_Replacement!$B$17</f>
        <v/>
      </c>
      <c r="E17" s="15">
        <f>$B17-$C17-$D17</f>
        <v/>
      </c>
      <c r="F17" s="15">
        <f>Revenue_Share_Options!$I$17</f>
        <v/>
      </c>
      <c r="G17" s="17">
        <f>$E17-$F17</f>
        <v/>
      </c>
      <c r="H17" s="15">
        <f>$H16+$G17</f>
        <v/>
      </c>
    </row>
    <row r="18">
      <c r="A18" s="32" t="n">
        <v>12</v>
      </c>
      <c r="B18" s="15">
        <f>Revenue!$I$18</f>
        <v/>
      </c>
      <c r="C18" s="15">
        <f>Operating_Expenses!$I$18</f>
        <v/>
      </c>
      <c r="D18" s="15">
        <f>Capital_Replacement!$B$18</f>
        <v/>
      </c>
      <c r="E18" s="15">
        <f>$B18-$C18-$D18</f>
        <v/>
      </c>
      <c r="F18" s="15">
        <f>Revenue_Share_Options!$I$18</f>
        <v/>
      </c>
      <c r="G18" s="17">
        <f>$E18-$F18</f>
        <v/>
      </c>
      <c r="H18" s="15">
        <f>$H17+$G18</f>
        <v/>
      </c>
    </row>
    <row r="19">
      <c r="A19" s="32" t="n">
        <v>13</v>
      </c>
      <c r="B19" s="15">
        <f>Revenue!$I$19</f>
        <v/>
      </c>
      <c r="C19" s="15">
        <f>Operating_Expenses!$I$19</f>
        <v/>
      </c>
      <c r="D19" s="15">
        <f>Capital_Replacement!$B$19</f>
        <v/>
      </c>
      <c r="E19" s="15">
        <f>$B19-$C19-$D19</f>
        <v/>
      </c>
      <c r="F19" s="15">
        <f>Revenue_Share_Options!$I$19</f>
        <v/>
      </c>
      <c r="G19" s="17">
        <f>$E19-$F19</f>
        <v/>
      </c>
      <c r="H19" s="15">
        <f>$H18+$G19</f>
        <v/>
      </c>
    </row>
    <row r="20">
      <c r="A20" s="32" t="n">
        <v>14</v>
      </c>
      <c r="B20" s="15">
        <f>Revenue!$I$20</f>
        <v/>
      </c>
      <c r="C20" s="15">
        <f>Operating_Expenses!$I$20</f>
        <v/>
      </c>
      <c r="D20" s="15">
        <f>Capital_Replacement!$B$20</f>
        <v/>
      </c>
      <c r="E20" s="15">
        <f>$B20-$C20-$D20</f>
        <v/>
      </c>
      <c r="F20" s="15">
        <f>Revenue_Share_Options!$I$20</f>
        <v/>
      </c>
      <c r="G20" s="17">
        <f>$E20-$F20</f>
        <v/>
      </c>
      <c r="H20" s="15">
        <f>$H19+$G20</f>
        <v/>
      </c>
    </row>
    <row r="21">
      <c r="A21" s="32" t="n">
        <v>15</v>
      </c>
      <c r="B21" s="15">
        <f>Revenue!$I$21</f>
        <v/>
      </c>
      <c r="C21" s="15">
        <f>Operating_Expenses!$I$21</f>
        <v/>
      </c>
      <c r="D21" s="15">
        <f>Capital_Replacement!$B$21</f>
        <v/>
      </c>
      <c r="E21" s="15">
        <f>$B21-$C21-$D21</f>
        <v/>
      </c>
      <c r="F21" s="15">
        <f>Revenue_Share_Options!$I$21</f>
        <v/>
      </c>
      <c r="G21" s="17">
        <f>$E21-$F21</f>
        <v/>
      </c>
      <c r="H21" s="15">
        <f>$H20+$G21</f>
        <v/>
      </c>
    </row>
    <row r="22">
      <c r="A22" s="32" t="n">
        <v>16</v>
      </c>
      <c r="B22" s="15">
        <f>Revenue!$I$22</f>
        <v/>
      </c>
      <c r="C22" s="15">
        <f>Operating_Expenses!$I$22</f>
        <v/>
      </c>
      <c r="D22" s="15">
        <f>Capital_Replacement!$B$22</f>
        <v/>
      </c>
      <c r="E22" s="15">
        <f>$B22-$C22-$D22</f>
        <v/>
      </c>
      <c r="F22" s="15">
        <f>Revenue_Share_Options!$I$22</f>
        <v/>
      </c>
      <c r="G22" s="17">
        <f>$E22-$F22</f>
        <v/>
      </c>
      <c r="H22" s="15">
        <f>$H21+$G22</f>
        <v/>
      </c>
    </row>
    <row r="23">
      <c r="A23" s="32" t="n">
        <v>17</v>
      </c>
      <c r="B23" s="15">
        <f>Revenue!$I$23</f>
        <v/>
      </c>
      <c r="C23" s="15">
        <f>Operating_Expenses!$I$23</f>
        <v/>
      </c>
      <c r="D23" s="15">
        <f>Capital_Replacement!$B$23</f>
        <v/>
      </c>
      <c r="E23" s="15">
        <f>$B23-$C23-$D23</f>
        <v/>
      </c>
      <c r="F23" s="15">
        <f>Revenue_Share_Options!$I$23</f>
        <v/>
      </c>
      <c r="G23" s="17">
        <f>$E23-$F23</f>
        <v/>
      </c>
      <c r="H23" s="15">
        <f>$H22+$G23</f>
        <v/>
      </c>
    </row>
    <row r="24">
      <c r="A24" s="32" t="n">
        <v>18</v>
      </c>
      <c r="B24" s="15">
        <f>Revenue!$I$24</f>
        <v/>
      </c>
      <c r="C24" s="15">
        <f>Operating_Expenses!$I$24</f>
        <v/>
      </c>
      <c r="D24" s="15">
        <f>Capital_Replacement!$B$24</f>
        <v/>
      </c>
      <c r="E24" s="15">
        <f>$B24-$C24-$D24</f>
        <v/>
      </c>
      <c r="F24" s="15">
        <f>Revenue_Share_Options!$I$24</f>
        <v/>
      </c>
      <c r="G24" s="17">
        <f>$E24-$F24</f>
        <v/>
      </c>
      <c r="H24" s="15">
        <f>$H23+$G24</f>
        <v/>
      </c>
    </row>
    <row r="25">
      <c r="A25" s="32" t="n">
        <v>19</v>
      </c>
      <c r="B25" s="15">
        <f>Revenue!$I$25</f>
        <v/>
      </c>
      <c r="C25" s="15">
        <f>Operating_Expenses!$I$25</f>
        <v/>
      </c>
      <c r="D25" s="15">
        <f>Capital_Replacement!$B$25</f>
        <v/>
      </c>
      <c r="E25" s="15">
        <f>$B25-$C25-$D25</f>
        <v/>
      </c>
      <c r="F25" s="15">
        <f>Revenue_Share_Options!$I$25</f>
        <v/>
      </c>
      <c r="G25" s="17">
        <f>$E25-$F25</f>
        <v/>
      </c>
      <c r="H25" s="15">
        <f>$H24+$G25</f>
        <v/>
      </c>
    </row>
    <row r="26">
      <c r="A26" s="32" t="n">
        <v>20</v>
      </c>
      <c r="B26" s="15">
        <f>Revenue!$I$26</f>
        <v/>
      </c>
      <c r="C26" s="15">
        <f>Operating_Expenses!$I$26</f>
        <v/>
      </c>
      <c r="D26" s="15">
        <f>Capital_Replacement!$B$26</f>
        <v/>
      </c>
      <c r="E26" s="15">
        <f>$B26-$C26-$D26</f>
        <v/>
      </c>
      <c r="F26" s="15">
        <f>Revenue_Share_Options!$I$26</f>
        <v/>
      </c>
      <c r="G26" s="17">
        <f>$E26-$F26</f>
        <v/>
      </c>
      <c r="H26" s="15">
        <f>$H25+$G26</f>
        <v/>
      </c>
    </row>
    <row r="27">
      <c r="A27" s="32" t="n">
        <v>21</v>
      </c>
      <c r="B27" s="15">
        <f>Revenue!$I$27</f>
        <v/>
      </c>
      <c r="C27" s="15">
        <f>Operating_Expenses!$I$27</f>
        <v/>
      </c>
      <c r="D27" s="15">
        <f>Capital_Replacement!$B$27</f>
        <v/>
      </c>
      <c r="E27" s="15">
        <f>$B27-$C27-$D27</f>
        <v/>
      </c>
      <c r="F27" s="15">
        <f>Revenue_Share_Options!$I$27</f>
        <v/>
      </c>
      <c r="G27" s="17">
        <f>$E27-$F27</f>
        <v/>
      </c>
      <c r="H27" s="15">
        <f>$H26+$G27</f>
        <v/>
      </c>
    </row>
    <row r="28">
      <c r="A28" s="32" t="n">
        <v>22</v>
      </c>
      <c r="B28" s="15">
        <f>Revenue!$I$28</f>
        <v/>
      </c>
      <c r="C28" s="15">
        <f>Operating_Expenses!$I$28</f>
        <v/>
      </c>
      <c r="D28" s="15">
        <f>Capital_Replacement!$B$28</f>
        <v/>
      </c>
      <c r="E28" s="15">
        <f>$B28-$C28-$D28</f>
        <v/>
      </c>
      <c r="F28" s="15">
        <f>Revenue_Share_Options!$I$28</f>
        <v/>
      </c>
      <c r="G28" s="17">
        <f>$E28-$F28</f>
        <v/>
      </c>
      <c r="H28" s="15">
        <f>$H27+$G28</f>
        <v/>
      </c>
    </row>
    <row r="29">
      <c r="A29" s="32" t="n">
        <v>23</v>
      </c>
      <c r="B29" s="15">
        <f>Revenue!$I$29</f>
        <v/>
      </c>
      <c r="C29" s="15">
        <f>Operating_Expenses!$I$29</f>
        <v/>
      </c>
      <c r="D29" s="15">
        <f>Capital_Replacement!$B$29</f>
        <v/>
      </c>
      <c r="E29" s="15">
        <f>$B29-$C29-$D29</f>
        <v/>
      </c>
      <c r="F29" s="15">
        <f>Revenue_Share_Options!$I$29</f>
        <v/>
      </c>
      <c r="G29" s="17">
        <f>$E29-$F29</f>
        <v/>
      </c>
      <c r="H29" s="15">
        <f>$H28+$G29</f>
        <v/>
      </c>
    </row>
    <row r="30">
      <c r="A30" s="32" t="n">
        <v>24</v>
      </c>
      <c r="B30" s="15">
        <f>Revenue!$I$30</f>
        <v/>
      </c>
      <c r="C30" s="15">
        <f>Operating_Expenses!$I$30</f>
        <v/>
      </c>
      <c r="D30" s="15">
        <f>Capital_Replacement!$B$30</f>
        <v/>
      </c>
      <c r="E30" s="15">
        <f>$B30-$C30-$D30</f>
        <v/>
      </c>
      <c r="F30" s="15">
        <f>Revenue_Share_Options!$I$30</f>
        <v/>
      </c>
      <c r="G30" s="17">
        <f>$E30-$F30</f>
        <v/>
      </c>
      <c r="H30" s="15">
        <f>$H29+$G30</f>
        <v/>
      </c>
    </row>
    <row r="31">
      <c r="A31" s="32" t="n">
        <v>25</v>
      </c>
      <c r="B31" s="15">
        <f>Revenue!$I$31</f>
        <v/>
      </c>
      <c r="C31" s="15">
        <f>Operating_Expenses!$I$31</f>
        <v/>
      </c>
      <c r="D31" s="15">
        <f>Capital_Replacement!$B$31</f>
        <v/>
      </c>
      <c r="E31" s="15">
        <f>$B31-$C31-$D31</f>
        <v/>
      </c>
      <c r="F31" s="15">
        <f>Revenue_Share_Options!$I$31</f>
        <v/>
      </c>
      <c r="G31" s="17">
        <f>$E31-$F31</f>
        <v/>
      </c>
      <c r="H31" s="15">
        <f>$H30+$G31</f>
        <v/>
      </c>
    </row>
    <row r="32">
      <c r="A32" s="32" t="n">
        <v>26</v>
      </c>
      <c r="B32" s="15">
        <f>Revenue!$I$32</f>
        <v/>
      </c>
      <c r="C32" s="15">
        <f>Operating_Expenses!$I$32</f>
        <v/>
      </c>
      <c r="D32" s="15">
        <f>Capital_Replacement!$B$32</f>
        <v/>
      </c>
      <c r="E32" s="15">
        <f>$B32-$C32-$D32</f>
        <v/>
      </c>
      <c r="F32" s="15">
        <f>Revenue_Share_Options!$I$32</f>
        <v/>
      </c>
      <c r="G32" s="17">
        <f>$E32-$F32</f>
        <v/>
      </c>
      <c r="H32" s="15">
        <f>$H31+$G32</f>
        <v/>
      </c>
    </row>
    <row r="33">
      <c r="A33" s="32" t="n">
        <v>27</v>
      </c>
      <c r="B33" s="15">
        <f>Revenue!$I$33</f>
        <v/>
      </c>
      <c r="C33" s="15">
        <f>Operating_Expenses!$I$33</f>
        <v/>
      </c>
      <c r="D33" s="15">
        <f>Capital_Replacement!$B$33</f>
        <v/>
      </c>
      <c r="E33" s="15">
        <f>$B33-$C33-$D33</f>
        <v/>
      </c>
      <c r="F33" s="15">
        <f>Revenue_Share_Options!$I$33</f>
        <v/>
      </c>
      <c r="G33" s="17">
        <f>$E33-$F33</f>
        <v/>
      </c>
      <c r="H33" s="15">
        <f>$H32+$G33</f>
        <v/>
      </c>
    </row>
    <row r="34">
      <c r="A34" s="32" t="n">
        <v>28</v>
      </c>
      <c r="B34" s="15">
        <f>Revenue!$I$34</f>
        <v/>
      </c>
      <c r="C34" s="15">
        <f>Operating_Expenses!$I$34</f>
        <v/>
      </c>
      <c r="D34" s="15">
        <f>Capital_Replacement!$B$34</f>
        <v/>
      </c>
      <c r="E34" s="15">
        <f>$B34-$C34-$D34</f>
        <v/>
      </c>
      <c r="F34" s="15">
        <f>Revenue_Share_Options!$I$34</f>
        <v/>
      </c>
      <c r="G34" s="17">
        <f>$E34-$F34</f>
        <v/>
      </c>
      <c r="H34" s="15">
        <f>$H33+$G34</f>
        <v/>
      </c>
    </row>
    <row r="35">
      <c r="A35" s="32" t="n">
        <v>29</v>
      </c>
      <c r="B35" s="15">
        <f>Revenue!$I$35</f>
        <v/>
      </c>
      <c r="C35" s="15">
        <f>Operating_Expenses!$I$35</f>
        <v/>
      </c>
      <c r="D35" s="15">
        <f>Capital_Replacement!$B$35</f>
        <v/>
      </c>
      <c r="E35" s="15">
        <f>$B35-$C35-$D35</f>
        <v/>
      </c>
      <c r="F35" s="15">
        <f>Revenue_Share_Options!$I$35</f>
        <v/>
      </c>
      <c r="G35" s="17">
        <f>$E35-$F35</f>
        <v/>
      </c>
      <c r="H35" s="15">
        <f>$H34+$G35</f>
        <v/>
      </c>
    </row>
    <row r="36">
      <c r="A36" s="32" t="n">
        <v>30</v>
      </c>
      <c r="B36" s="15">
        <f>Revenue!$I$36</f>
        <v/>
      </c>
      <c r="C36" s="15">
        <f>Operating_Expenses!$I$36</f>
        <v/>
      </c>
      <c r="D36" s="15">
        <f>Capital_Replacement!$B$36</f>
        <v/>
      </c>
      <c r="E36" s="15">
        <f>$B36-$C36-$D36</f>
        <v/>
      </c>
      <c r="F36" s="15">
        <f>Revenue_Share_Options!$I$36</f>
        <v/>
      </c>
      <c r="G36" s="17">
        <f>$E36-$F36</f>
        <v/>
      </c>
      <c r="H36" s="15">
        <f>$H35+$G36</f>
        <v/>
      </c>
    </row>
    <row r="38">
      <c r="B38" s="30" t="inlineStr">
        <is>
          <t>CHECK: RIVR net = adj op CF - Tribal payment (identity holds)</t>
        </is>
      </c>
      <c r="F38" s="31">
        <f>IF(SUMPRODUCT(--(ABS($G7:$G36-($E7:$E36-$F7:$F36))&gt;0.5))=0,"PASS","FAIL")</f>
        <v/>
      </c>
    </row>
  </sheetData>
  <autoFilter ref="A5:H5"/>
  <mergeCells count="3">
    <mergeCell ref="A3:H3"/>
    <mergeCell ref="A2:H2"/>
    <mergeCell ref="A1:H1"/>
  </mergeCells>
  <conditionalFormatting sqref="F38">
    <cfRule type="expression" priority="1" dxfId="0" stopIfTrue="1">
      <formula>ISNUMBER(SEARCH("PASS",F38))</formula>
    </cfRule>
    <cfRule type="expression" priority="2" dxfId="1">
      <formula>NOT(ISNUMBER(SEARCH("PASS",F38)))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</cols>
  <sheetData>
    <row r="1">
      <c r="A1" s="1" t="inlineStr">
        <is>
          <t>RIVR TECH ECONOMICS — Cash Flow, NPV, IRR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From the active scenario / term / option. NPV discounts Years 1-30; Year 0 at time zero.</t>
        </is>
      </c>
    </row>
    <row r="5">
      <c r="A5" s="24" t="inlineStr">
        <is>
          <t>Year</t>
        </is>
      </c>
      <c r="B5" s="24" t="inlineStr">
        <is>
          <t>RIVR Net Cash Flow</t>
        </is>
      </c>
      <c r="C5" s="24" t="inlineStr">
        <is>
          <t>Cumulative</t>
        </is>
      </c>
      <c r="D5" s="24" t="inlineStr">
        <is>
          <t>Payback Helper</t>
        </is>
      </c>
    </row>
    <row r="6">
      <c r="A6" s="32" t="n">
        <v>0</v>
      </c>
      <c r="B6" s="15">
        <f>Annual_Cash_Flow!$G$6</f>
        <v/>
      </c>
      <c r="C6" s="15">
        <f>0+$B6</f>
        <v/>
      </c>
      <c r="D6" s="13">
        <f>IF($C6&gt;=0,$A6,9999)</f>
        <v/>
      </c>
    </row>
    <row r="7">
      <c r="A7" s="32" t="n">
        <v>1</v>
      </c>
      <c r="B7" s="15">
        <f>Annual_Cash_Flow!$G$7</f>
        <v/>
      </c>
      <c r="C7" s="15">
        <f>$C6+$B7</f>
        <v/>
      </c>
      <c r="D7" s="13">
        <f>IF($C7&gt;=0,$A7,9999)</f>
        <v/>
      </c>
    </row>
    <row r="8">
      <c r="A8" s="32" t="n">
        <v>2</v>
      </c>
      <c r="B8" s="15">
        <f>Annual_Cash_Flow!$G$8</f>
        <v/>
      </c>
      <c r="C8" s="15">
        <f>$C7+$B8</f>
        <v/>
      </c>
      <c r="D8" s="13">
        <f>IF($C8&gt;=0,$A8,9999)</f>
        <v/>
      </c>
    </row>
    <row r="9">
      <c r="A9" s="32" t="n">
        <v>3</v>
      </c>
      <c r="B9" s="15">
        <f>Annual_Cash_Flow!$G$9</f>
        <v/>
      </c>
      <c r="C9" s="15">
        <f>$C8+$B9</f>
        <v/>
      </c>
      <c r="D9" s="13">
        <f>IF($C9&gt;=0,$A9,9999)</f>
        <v/>
      </c>
    </row>
    <row r="10">
      <c r="A10" s="32" t="n">
        <v>4</v>
      </c>
      <c r="B10" s="15">
        <f>Annual_Cash_Flow!$G$10</f>
        <v/>
      </c>
      <c r="C10" s="15">
        <f>$C9+$B10</f>
        <v/>
      </c>
      <c r="D10" s="13">
        <f>IF($C10&gt;=0,$A10,9999)</f>
        <v/>
      </c>
    </row>
    <row r="11">
      <c r="A11" s="32" t="n">
        <v>5</v>
      </c>
      <c r="B11" s="15">
        <f>Annual_Cash_Flow!$G$11</f>
        <v/>
      </c>
      <c r="C11" s="15">
        <f>$C10+$B11</f>
        <v/>
      </c>
      <c r="D11" s="13">
        <f>IF($C11&gt;=0,$A11,9999)</f>
        <v/>
      </c>
    </row>
    <row r="12">
      <c r="A12" s="32" t="n">
        <v>6</v>
      </c>
      <c r="B12" s="15">
        <f>Annual_Cash_Flow!$G$12</f>
        <v/>
      </c>
      <c r="C12" s="15">
        <f>$C11+$B12</f>
        <v/>
      </c>
      <c r="D12" s="13">
        <f>IF($C12&gt;=0,$A12,9999)</f>
        <v/>
      </c>
    </row>
    <row r="13">
      <c r="A13" s="32" t="n">
        <v>7</v>
      </c>
      <c r="B13" s="15">
        <f>Annual_Cash_Flow!$G$13</f>
        <v/>
      </c>
      <c r="C13" s="15">
        <f>$C12+$B13</f>
        <v/>
      </c>
      <c r="D13" s="13">
        <f>IF($C13&gt;=0,$A13,9999)</f>
        <v/>
      </c>
    </row>
    <row r="14">
      <c r="A14" s="32" t="n">
        <v>8</v>
      </c>
      <c r="B14" s="15">
        <f>Annual_Cash_Flow!$G$14</f>
        <v/>
      </c>
      <c r="C14" s="15">
        <f>$C13+$B14</f>
        <v/>
      </c>
      <c r="D14" s="13">
        <f>IF($C14&gt;=0,$A14,9999)</f>
        <v/>
      </c>
    </row>
    <row r="15">
      <c r="A15" s="32" t="n">
        <v>9</v>
      </c>
      <c r="B15" s="15">
        <f>Annual_Cash_Flow!$G$15</f>
        <v/>
      </c>
      <c r="C15" s="15">
        <f>$C14+$B15</f>
        <v/>
      </c>
      <c r="D15" s="13">
        <f>IF($C15&gt;=0,$A15,9999)</f>
        <v/>
      </c>
    </row>
    <row r="16">
      <c r="A16" s="32" t="n">
        <v>10</v>
      </c>
      <c r="B16" s="15">
        <f>Annual_Cash_Flow!$G$16</f>
        <v/>
      </c>
      <c r="C16" s="15">
        <f>$C15+$B16</f>
        <v/>
      </c>
      <c r="D16" s="13">
        <f>IF($C16&gt;=0,$A16,9999)</f>
        <v/>
      </c>
    </row>
    <row r="17">
      <c r="A17" s="32" t="n">
        <v>11</v>
      </c>
      <c r="B17" s="15">
        <f>Annual_Cash_Flow!$G$17</f>
        <v/>
      </c>
      <c r="C17" s="15">
        <f>$C16+$B17</f>
        <v/>
      </c>
      <c r="D17" s="13">
        <f>IF($C17&gt;=0,$A17,9999)</f>
        <v/>
      </c>
    </row>
    <row r="18">
      <c r="A18" s="32" t="n">
        <v>12</v>
      </c>
      <c r="B18" s="15">
        <f>Annual_Cash_Flow!$G$18</f>
        <v/>
      </c>
      <c r="C18" s="15">
        <f>$C17+$B18</f>
        <v/>
      </c>
      <c r="D18" s="13">
        <f>IF($C18&gt;=0,$A18,9999)</f>
        <v/>
      </c>
    </row>
    <row r="19">
      <c r="A19" s="32" t="n">
        <v>13</v>
      </c>
      <c r="B19" s="15">
        <f>Annual_Cash_Flow!$G$19</f>
        <v/>
      </c>
      <c r="C19" s="15">
        <f>$C18+$B19</f>
        <v/>
      </c>
      <c r="D19" s="13">
        <f>IF($C19&gt;=0,$A19,9999)</f>
        <v/>
      </c>
    </row>
    <row r="20">
      <c r="A20" s="32" t="n">
        <v>14</v>
      </c>
      <c r="B20" s="15">
        <f>Annual_Cash_Flow!$G$20</f>
        <v/>
      </c>
      <c r="C20" s="15">
        <f>$C19+$B20</f>
        <v/>
      </c>
      <c r="D20" s="13">
        <f>IF($C20&gt;=0,$A20,9999)</f>
        <v/>
      </c>
    </row>
    <row r="21">
      <c r="A21" s="32" t="n">
        <v>15</v>
      </c>
      <c r="B21" s="15">
        <f>Annual_Cash_Flow!$G$21</f>
        <v/>
      </c>
      <c r="C21" s="15">
        <f>$C20+$B21</f>
        <v/>
      </c>
      <c r="D21" s="13">
        <f>IF($C21&gt;=0,$A21,9999)</f>
        <v/>
      </c>
    </row>
    <row r="22">
      <c r="A22" s="32" t="n">
        <v>16</v>
      </c>
      <c r="B22" s="15">
        <f>Annual_Cash_Flow!$G$22</f>
        <v/>
      </c>
      <c r="C22" s="15">
        <f>$C21+$B22</f>
        <v/>
      </c>
      <c r="D22" s="13">
        <f>IF($C22&gt;=0,$A22,9999)</f>
        <v/>
      </c>
    </row>
    <row r="23">
      <c r="A23" s="32" t="n">
        <v>17</v>
      </c>
      <c r="B23" s="15">
        <f>Annual_Cash_Flow!$G$23</f>
        <v/>
      </c>
      <c r="C23" s="15">
        <f>$C22+$B23</f>
        <v/>
      </c>
      <c r="D23" s="13">
        <f>IF($C23&gt;=0,$A23,9999)</f>
        <v/>
      </c>
    </row>
    <row r="24">
      <c r="A24" s="32" t="n">
        <v>18</v>
      </c>
      <c r="B24" s="15">
        <f>Annual_Cash_Flow!$G$24</f>
        <v/>
      </c>
      <c r="C24" s="15">
        <f>$C23+$B24</f>
        <v/>
      </c>
      <c r="D24" s="13">
        <f>IF($C24&gt;=0,$A24,9999)</f>
        <v/>
      </c>
    </row>
    <row r="25">
      <c r="A25" s="32" t="n">
        <v>19</v>
      </c>
      <c r="B25" s="15">
        <f>Annual_Cash_Flow!$G$25</f>
        <v/>
      </c>
      <c r="C25" s="15">
        <f>$C24+$B25</f>
        <v/>
      </c>
      <c r="D25" s="13">
        <f>IF($C25&gt;=0,$A25,9999)</f>
        <v/>
      </c>
    </row>
    <row r="26">
      <c r="A26" s="32" t="n">
        <v>20</v>
      </c>
      <c r="B26" s="15">
        <f>Annual_Cash_Flow!$G$26</f>
        <v/>
      </c>
      <c r="C26" s="15">
        <f>$C25+$B26</f>
        <v/>
      </c>
      <c r="D26" s="13">
        <f>IF($C26&gt;=0,$A26,9999)</f>
        <v/>
      </c>
    </row>
    <row r="27">
      <c r="A27" s="32" t="n">
        <v>21</v>
      </c>
      <c r="B27" s="15">
        <f>Annual_Cash_Flow!$G$27</f>
        <v/>
      </c>
      <c r="C27" s="15">
        <f>$C26+$B27</f>
        <v/>
      </c>
      <c r="D27" s="13">
        <f>IF($C27&gt;=0,$A27,9999)</f>
        <v/>
      </c>
    </row>
    <row r="28">
      <c r="A28" s="32" t="n">
        <v>22</v>
      </c>
      <c r="B28" s="15">
        <f>Annual_Cash_Flow!$G$28</f>
        <v/>
      </c>
      <c r="C28" s="15">
        <f>$C27+$B28</f>
        <v/>
      </c>
      <c r="D28" s="13">
        <f>IF($C28&gt;=0,$A28,9999)</f>
        <v/>
      </c>
    </row>
    <row r="29">
      <c r="A29" s="32" t="n">
        <v>23</v>
      </c>
      <c r="B29" s="15">
        <f>Annual_Cash_Flow!$G$29</f>
        <v/>
      </c>
      <c r="C29" s="15">
        <f>$C28+$B29</f>
        <v/>
      </c>
      <c r="D29" s="13">
        <f>IF($C29&gt;=0,$A29,9999)</f>
        <v/>
      </c>
    </row>
    <row r="30">
      <c r="A30" s="32" t="n">
        <v>24</v>
      </c>
      <c r="B30" s="15">
        <f>Annual_Cash_Flow!$G$30</f>
        <v/>
      </c>
      <c r="C30" s="15">
        <f>$C29+$B30</f>
        <v/>
      </c>
      <c r="D30" s="13">
        <f>IF($C30&gt;=0,$A30,9999)</f>
        <v/>
      </c>
    </row>
    <row r="31">
      <c r="A31" s="32" t="n">
        <v>25</v>
      </c>
      <c r="B31" s="15">
        <f>Annual_Cash_Flow!$G$31</f>
        <v/>
      </c>
      <c r="C31" s="15">
        <f>$C30+$B31</f>
        <v/>
      </c>
      <c r="D31" s="13">
        <f>IF($C31&gt;=0,$A31,9999)</f>
        <v/>
      </c>
    </row>
    <row r="32">
      <c r="A32" s="32" t="n">
        <v>26</v>
      </c>
      <c r="B32" s="15">
        <f>Annual_Cash_Flow!$G$32</f>
        <v/>
      </c>
      <c r="C32" s="15">
        <f>$C31+$B32</f>
        <v/>
      </c>
      <c r="D32" s="13">
        <f>IF($C32&gt;=0,$A32,9999)</f>
        <v/>
      </c>
    </row>
    <row r="33">
      <c r="A33" s="32" t="n">
        <v>27</v>
      </c>
      <c r="B33" s="15">
        <f>Annual_Cash_Flow!$G$33</f>
        <v/>
      </c>
      <c r="C33" s="15">
        <f>$C32+$B33</f>
        <v/>
      </c>
      <c r="D33" s="13">
        <f>IF($C33&gt;=0,$A33,9999)</f>
        <v/>
      </c>
    </row>
    <row r="34">
      <c r="A34" s="32" t="n">
        <v>28</v>
      </c>
      <c r="B34" s="15">
        <f>Annual_Cash_Flow!$G$34</f>
        <v/>
      </c>
      <c r="C34" s="15">
        <f>$C33+$B34</f>
        <v/>
      </c>
      <c r="D34" s="13">
        <f>IF($C34&gt;=0,$A34,9999)</f>
        <v/>
      </c>
    </row>
    <row r="35">
      <c r="A35" s="32" t="n">
        <v>29</v>
      </c>
      <c r="B35" s="15">
        <f>Annual_Cash_Flow!$G$35</f>
        <v/>
      </c>
      <c r="C35" s="15">
        <f>$C34+$B35</f>
        <v/>
      </c>
      <c r="D35" s="13">
        <f>IF($C35&gt;=0,$A35,9999)</f>
        <v/>
      </c>
    </row>
    <row r="36">
      <c r="A36" s="32" t="n">
        <v>30</v>
      </c>
      <c r="B36" s="15">
        <f>Annual_Cash_Flow!$G$36</f>
        <v/>
      </c>
      <c r="C36" s="15">
        <f>$C35+$B36</f>
        <v/>
      </c>
      <c r="D36" s="13">
        <f>IF($C36&gt;=0,$A36,9999)</f>
        <v/>
      </c>
    </row>
    <row r="38">
      <c r="A38" s="10" t="inlineStr">
        <is>
          <t>SUMMARY</t>
        </is>
      </c>
      <c r="B38" s="10" t="n"/>
      <c r="C38" s="10" t="n"/>
      <c r="D38" s="10" t="n"/>
    </row>
    <row r="39">
      <c r="A39" s="11" t="inlineStr">
        <is>
          <t>RIVR NPV (active)</t>
        </is>
      </c>
      <c r="B39" s="17">
        <f>$B6+NPV(Assumptions!$C$44,$B7:$B36)</f>
        <v/>
      </c>
    </row>
    <row r="40">
      <c r="A40" s="11" t="inlineStr">
        <is>
          <t>RIVR IRR (active)</t>
        </is>
      </c>
      <c r="B40" s="18">
        <f>IFERROR(IRR($B6:$B36),"n/m")</f>
        <v/>
      </c>
    </row>
    <row r="41">
      <c r="A41" s="11" t="inlineStr">
        <is>
          <t>Payback (year cum. &gt;= 0)</t>
        </is>
      </c>
      <c r="B41" s="19">
        <f>IF(MIN($D6:$D36)=9999,"beyond horizon",MIN($D6:$D36))</f>
        <v/>
      </c>
    </row>
  </sheetData>
  <autoFilter ref="A5:D5"/>
  <mergeCells count="3">
    <mergeCell ref="A1:D1"/>
    <mergeCell ref="A3:D3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TRIBAL ECONOMICS — Receipts, NPV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IRU/revenue-share payment plus reserved-capacity in-kind value. Grant funds the asset (no Tribal cash outlay).</t>
        </is>
      </c>
    </row>
    <row r="5">
      <c r="A5" s="24" t="inlineStr">
        <is>
          <t>Year</t>
        </is>
      </c>
      <c r="B5" s="24" t="inlineStr">
        <is>
          <t>Tribal Payment</t>
        </is>
      </c>
      <c r="C5" s="24" t="inlineStr">
        <is>
          <t>Reserved-Capacity Value</t>
        </is>
      </c>
      <c r="D5" s="24" t="inlineStr">
        <is>
          <t>Total Tribal Receipts</t>
        </is>
      </c>
      <c r="E5" s="24" t="inlineStr">
        <is>
          <t>Cumulative</t>
        </is>
      </c>
    </row>
    <row r="6">
      <c r="A6" s="32" t="n">
        <v>0</v>
      </c>
      <c r="B6" s="15">
        <f>Revenue_Share_Options!$I$6</f>
        <v/>
      </c>
      <c r="C6" s="15" t="n">
        <v>0</v>
      </c>
      <c r="D6" s="15">
        <f>$B6+$C6</f>
        <v/>
      </c>
      <c r="E6" s="33">
        <f>0+$D6</f>
        <v/>
      </c>
    </row>
    <row r="7">
      <c r="A7" s="32" t="n">
        <v>1</v>
      </c>
      <c r="B7" s="15">
        <f>Revenue_Share_Options!$I$7</f>
        <v/>
      </c>
      <c r="C7" s="15">
        <f>Assumptions!$C$46*IF($A7&gt;Assumptions!$C$8,0,1)*MIN(1,$A7/Assumptions!$C$31)</f>
        <v/>
      </c>
      <c r="D7" s="15">
        <f>$B7+$C7</f>
        <v/>
      </c>
      <c r="E7" s="33">
        <f>$E6+$D7</f>
        <v/>
      </c>
    </row>
    <row r="8">
      <c r="A8" s="32" t="n">
        <v>2</v>
      </c>
      <c r="B8" s="15">
        <f>Revenue_Share_Options!$I$8</f>
        <v/>
      </c>
      <c r="C8" s="15">
        <f>Assumptions!$C$46*IF($A8&gt;Assumptions!$C$8,0,1)*MIN(1,$A8/Assumptions!$C$31)</f>
        <v/>
      </c>
      <c r="D8" s="15">
        <f>$B8+$C8</f>
        <v/>
      </c>
      <c r="E8" s="33">
        <f>$E7+$D8</f>
        <v/>
      </c>
    </row>
    <row r="9">
      <c r="A9" s="32" t="n">
        <v>3</v>
      </c>
      <c r="B9" s="15">
        <f>Revenue_Share_Options!$I$9</f>
        <v/>
      </c>
      <c r="C9" s="15">
        <f>Assumptions!$C$46*IF($A9&gt;Assumptions!$C$8,0,1)*MIN(1,$A9/Assumptions!$C$31)</f>
        <v/>
      </c>
      <c r="D9" s="15">
        <f>$B9+$C9</f>
        <v/>
      </c>
      <c r="E9" s="33">
        <f>$E8+$D9</f>
        <v/>
      </c>
    </row>
    <row r="10">
      <c r="A10" s="32" t="n">
        <v>4</v>
      </c>
      <c r="B10" s="15">
        <f>Revenue_Share_Options!$I$10</f>
        <v/>
      </c>
      <c r="C10" s="15">
        <f>Assumptions!$C$46*IF($A10&gt;Assumptions!$C$8,0,1)*MIN(1,$A10/Assumptions!$C$31)</f>
        <v/>
      </c>
      <c r="D10" s="15">
        <f>$B10+$C10</f>
        <v/>
      </c>
      <c r="E10" s="33">
        <f>$E9+$D10</f>
        <v/>
      </c>
    </row>
    <row r="11">
      <c r="A11" s="32" t="n">
        <v>5</v>
      </c>
      <c r="B11" s="15">
        <f>Revenue_Share_Options!$I$11</f>
        <v/>
      </c>
      <c r="C11" s="15">
        <f>Assumptions!$C$46*IF($A11&gt;Assumptions!$C$8,0,1)*MIN(1,$A11/Assumptions!$C$31)</f>
        <v/>
      </c>
      <c r="D11" s="15">
        <f>$B11+$C11</f>
        <v/>
      </c>
      <c r="E11" s="33">
        <f>$E10+$D11</f>
        <v/>
      </c>
    </row>
    <row r="12">
      <c r="A12" s="32" t="n">
        <v>6</v>
      </c>
      <c r="B12" s="15">
        <f>Revenue_Share_Options!$I$12</f>
        <v/>
      </c>
      <c r="C12" s="15">
        <f>Assumptions!$C$46*IF($A12&gt;Assumptions!$C$8,0,1)*MIN(1,$A12/Assumptions!$C$31)</f>
        <v/>
      </c>
      <c r="D12" s="15">
        <f>$B12+$C12</f>
        <v/>
      </c>
      <c r="E12" s="33">
        <f>$E11+$D12</f>
        <v/>
      </c>
    </row>
    <row r="13">
      <c r="A13" s="32" t="n">
        <v>7</v>
      </c>
      <c r="B13" s="15">
        <f>Revenue_Share_Options!$I$13</f>
        <v/>
      </c>
      <c r="C13" s="15">
        <f>Assumptions!$C$46*IF($A13&gt;Assumptions!$C$8,0,1)*MIN(1,$A13/Assumptions!$C$31)</f>
        <v/>
      </c>
      <c r="D13" s="15">
        <f>$B13+$C13</f>
        <v/>
      </c>
      <c r="E13" s="33">
        <f>$E12+$D13</f>
        <v/>
      </c>
    </row>
    <row r="14">
      <c r="A14" s="32" t="n">
        <v>8</v>
      </c>
      <c r="B14" s="15">
        <f>Revenue_Share_Options!$I$14</f>
        <v/>
      </c>
      <c r="C14" s="15">
        <f>Assumptions!$C$46*IF($A14&gt;Assumptions!$C$8,0,1)*MIN(1,$A14/Assumptions!$C$31)</f>
        <v/>
      </c>
      <c r="D14" s="15">
        <f>$B14+$C14</f>
        <v/>
      </c>
      <c r="E14" s="33">
        <f>$E13+$D14</f>
        <v/>
      </c>
    </row>
    <row r="15">
      <c r="A15" s="32" t="n">
        <v>9</v>
      </c>
      <c r="B15" s="15">
        <f>Revenue_Share_Options!$I$15</f>
        <v/>
      </c>
      <c r="C15" s="15">
        <f>Assumptions!$C$46*IF($A15&gt;Assumptions!$C$8,0,1)*MIN(1,$A15/Assumptions!$C$31)</f>
        <v/>
      </c>
      <c r="D15" s="15">
        <f>$B15+$C15</f>
        <v/>
      </c>
      <c r="E15" s="33">
        <f>$E14+$D15</f>
        <v/>
      </c>
    </row>
    <row r="16">
      <c r="A16" s="32" t="n">
        <v>10</v>
      </c>
      <c r="B16" s="15">
        <f>Revenue_Share_Options!$I$16</f>
        <v/>
      </c>
      <c r="C16" s="15">
        <f>Assumptions!$C$46*IF($A16&gt;Assumptions!$C$8,0,1)*MIN(1,$A16/Assumptions!$C$31)</f>
        <v/>
      </c>
      <c r="D16" s="15">
        <f>$B16+$C16</f>
        <v/>
      </c>
      <c r="E16" s="33">
        <f>$E15+$D16</f>
        <v/>
      </c>
    </row>
    <row r="17">
      <c r="A17" s="32" t="n">
        <v>11</v>
      </c>
      <c r="B17" s="15">
        <f>Revenue_Share_Options!$I$17</f>
        <v/>
      </c>
      <c r="C17" s="15">
        <f>Assumptions!$C$46*IF($A17&gt;Assumptions!$C$8,0,1)*MIN(1,$A17/Assumptions!$C$31)</f>
        <v/>
      </c>
      <c r="D17" s="15">
        <f>$B17+$C17</f>
        <v/>
      </c>
      <c r="E17" s="33">
        <f>$E16+$D17</f>
        <v/>
      </c>
    </row>
    <row r="18">
      <c r="A18" s="32" t="n">
        <v>12</v>
      </c>
      <c r="B18" s="15">
        <f>Revenue_Share_Options!$I$18</f>
        <v/>
      </c>
      <c r="C18" s="15">
        <f>Assumptions!$C$46*IF($A18&gt;Assumptions!$C$8,0,1)*MIN(1,$A18/Assumptions!$C$31)</f>
        <v/>
      </c>
      <c r="D18" s="15">
        <f>$B18+$C18</f>
        <v/>
      </c>
      <c r="E18" s="33">
        <f>$E17+$D18</f>
        <v/>
      </c>
    </row>
    <row r="19">
      <c r="A19" s="32" t="n">
        <v>13</v>
      </c>
      <c r="B19" s="15">
        <f>Revenue_Share_Options!$I$19</f>
        <v/>
      </c>
      <c r="C19" s="15">
        <f>Assumptions!$C$46*IF($A19&gt;Assumptions!$C$8,0,1)*MIN(1,$A19/Assumptions!$C$31)</f>
        <v/>
      </c>
      <c r="D19" s="15">
        <f>$B19+$C19</f>
        <v/>
      </c>
      <c r="E19" s="33">
        <f>$E18+$D19</f>
        <v/>
      </c>
    </row>
    <row r="20">
      <c r="A20" s="32" t="n">
        <v>14</v>
      </c>
      <c r="B20" s="15">
        <f>Revenue_Share_Options!$I$20</f>
        <v/>
      </c>
      <c r="C20" s="15">
        <f>Assumptions!$C$46*IF($A20&gt;Assumptions!$C$8,0,1)*MIN(1,$A20/Assumptions!$C$31)</f>
        <v/>
      </c>
      <c r="D20" s="15">
        <f>$B20+$C20</f>
        <v/>
      </c>
      <c r="E20" s="33">
        <f>$E19+$D20</f>
        <v/>
      </c>
    </row>
    <row r="21">
      <c r="A21" s="32" t="n">
        <v>15</v>
      </c>
      <c r="B21" s="15">
        <f>Revenue_Share_Options!$I$21</f>
        <v/>
      </c>
      <c r="C21" s="15">
        <f>Assumptions!$C$46*IF($A21&gt;Assumptions!$C$8,0,1)*MIN(1,$A21/Assumptions!$C$31)</f>
        <v/>
      </c>
      <c r="D21" s="15">
        <f>$B21+$C21</f>
        <v/>
      </c>
      <c r="E21" s="33">
        <f>$E20+$D21</f>
        <v/>
      </c>
    </row>
    <row r="22">
      <c r="A22" s="32" t="n">
        <v>16</v>
      </c>
      <c r="B22" s="15">
        <f>Revenue_Share_Options!$I$22</f>
        <v/>
      </c>
      <c r="C22" s="15">
        <f>Assumptions!$C$46*IF($A22&gt;Assumptions!$C$8,0,1)*MIN(1,$A22/Assumptions!$C$31)</f>
        <v/>
      </c>
      <c r="D22" s="15">
        <f>$B22+$C22</f>
        <v/>
      </c>
      <c r="E22" s="33">
        <f>$E21+$D22</f>
        <v/>
      </c>
    </row>
    <row r="23">
      <c r="A23" s="32" t="n">
        <v>17</v>
      </c>
      <c r="B23" s="15">
        <f>Revenue_Share_Options!$I$23</f>
        <v/>
      </c>
      <c r="C23" s="15">
        <f>Assumptions!$C$46*IF($A23&gt;Assumptions!$C$8,0,1)*MIN(1,$A23/Assumptions!$C$31)</f>
        <v/>
      </c>
      <c r="D23" s="15">
        <f>$B23+$C23</f>
        <v/>
      </c>
      <c r="E23" s="33">
        <f>$E22+$D23</f>
        <v/>
      </c>
    </row>
    <row r="24">
      <c r="A24" s="32" t="n">
        <v>18</v>
      </c>
      <c r="B24" s="15">
        <f>Revenue_Share_Options!$I$24</f>
        <v/>
      </c>
      <c r="C24" s="15">
        <f>Assumptions!$C$46*IF($A24&gt;Assumptions!$C$8,0,1)*MIN(1,$A24/Assumptions!$C$31)</f>
        <v/>
      </c>
      <c r="D24" s="15">
        <f>$B24+$C24</f>
        <v/>
      </c>
      <c r="E24" s="33">
        <f>$E23+$D24</f>
        <v/>
      </c>
    </row>
    <row r="25">
      <c r="A25" s="32" t="n">
        <v>19</v>
      </c>
      <c r="B25" s="15">
        <f>Revenue_Share_Options!$I$25</f>
        <v/>
      </c>
      <c r="C25" s="15">
        <f>Assumptions!$C$46*IF($A25&gt;Assumptions!$C$8,0,1)*MIN(1,$A25/Assumptions!$C$31)</f>
        <v/>
      </c>
      <c r="D25" s="15">
        <f>$B25+$C25</f>
        <v/>
      </c>
      <c r="E25" s="33">
        <f>$E24+$D25</f>
        <v/>
      </c>
    </row>
    <row r="26">
      <c r="A26" s="32" t="n">
        <v>20</v>
      </c>
      <c r="B26" s="15">
        <f>Revenue_Share_Options!$I$26</f>
        <v/>
      </c>
      <c r="C26" s="15">
        <f>Assumptions!$C$46*IF($A26&gt;Assumptions!$C$8,0,1)*MIN(1,$A26/Assumptions!$C$31)</f>
        <v/>
      </c>
      <c r="D26" s="15">
        <f>$B26+$C26</f>
        <v/>
      </c>
      <c r="E26" s="33">
        <f>$E25+$D26</f>
        <v/>
      </c>
    </row>
    <row r="27">
      <c r="A27" s="32" t="n">
        <v>21</v>
      </c>
      <c r="B27" s="15">
        <f>Revenue_Share_Options!$I$27</f>
        <v/>
      </c>
      <c r="C27" s="15">
        <f>Assumptions!$C$46*IF($A27&gt;Assumptions!$C$8,0,1)*MIN(1,$A27/Assumptions!$C$31)</f>
        <v/>
      </c>
      <c r="D27" s="15">
        <f>$B27+$C27</f>
        <v/>
      </c>
      <c r="E27" s="33">
        <f>$E26+$D27</f>
        <v/>
      </c>
    </row>
    <row r="28">
      <c r="A28" s="32" t="n">
        <v>22</v>
      </c>
      <c r="B28" s="15">
        <f>Revenue_Share_Options!$I$28</f>
        <v/>
      </c>
      <c r="C28" s="15">
        <f>Assumptions!$C$46*IF($A28&gt;Assumptions!$C$8,0,1)*MIN(1,$A28/Assumptions!$C$31)</f>
        <v/>
      </c>
      <c r="D28" s="15">
        <f>$B28+$C28</f>
        <v/>
      </c>
      <c r="E28" s="33">
        <f>$E27+$D28</f>
        <v/>
      </c>
    </row>
    <row r="29">
      <c r="A29" s="32" t="n">
        <v>23</v>
      </c>
      <c r="B29" s="15">
        <f>Revenue_Share_Options!$I$29</f>
        <v/>
      </c>
      <c r="C29" s="15">
        <f>Assumptions!$C$46*IF($A29&gt;Assumptions!$C$8,0,1)*MIN(1,$A29/Assumptions!$C$31)</f>
        <v/>
      </c>
      <c r="D29" s="15">
        <f>$B29+$C29</f>
        <v/>
      </c>
      <c r="E29" s="33">
        <f>$E28+$D29</f>
        <v/>
      </c>
    </row>
    <row r="30">
      <c r="A30" s="32" t="n">
        <v>24</v>
      </c>
      <c r="B30" s="15">
        <f>Revenue_Share_Options!$I$30</f>
        <v/>
      </c>
      <c r="C30" s="15">
        <f>Assumptions!$C$46*IF($A30&gt;Assumptions!$C$8,0,1)*MIN(1,$A30/Assumptions!$C$31)</f>
        <v/>
      </c>
      <c r="D30" s="15">
        <f>$B30+$C30</f>
        <v/>
      </c>
      <c r="E30" s="33">
        <f>$E29+$D30</f>
        <v/>
      </c>
    </row>
    <row r="31">
      <c r="A31" s="32" t="n">
        <v>25</v>
      </c>
      <c r="B31" s="15">
        <f>Revenue_Share_Options!$I$31</f>
        <v/>
      </c>
      <c r="C31" s="15">
        <f>Assumptions!$C$46*IF($A31&gt;Assumptions!$C$8,0,1)*MIN(1,$A31/Assumptions!$C$31)</f>
        <v/>
      </c>
      <c r="D31" s="15">
        <f>$B31+$C31</f>
        <v/>
      </c>
      <c r="E31" s="33">
        <f>$E30+$D31</f>
        <v/>
      </c>
    </row>
    <row r="32">
      <c r="A32" s="32" t="n">
        <v>26</v>
      </c>
      <c r="B32" s="15">
        <f>Revenue_Share_Options!$I$32</f>
        <v/>
      </c>
      <c r="C32" s="15">
        <f>Assumptions!$C$46*IF($A32&gt;Assumptions!$C$8,0,1)*MIN(1,$A32/Assumptions!$C$31)</f>
        <v/>
      </c>
      <c r="D32" s="15">
        <f>$B32+$C32</f>
        <v/>
      </c>
      <c r="E32" s="33">
        <f>$E31+$D32</f>
        <v/>
      </c>
    </row>
    <row r="33">
      <c r="A33" s="32" t="n">
        <v>27</v>
      </c>
      <c r="B33" s="15">
        <f>Revenue_Share_Options!$I$33</f>
        <v/>
      </c>
      <c r="C33" s="15">
        <f>Assumptions!$C$46*IF($A33&gt;Assumptions!$C$8,0,1)*MIN(1,$A33/Assumptions!$C$31)</f>
        <v/>
      </c>
      <c r="D33" s="15">
        <f>$B33+$C33</f>
        <v/>
      </c>
      <c r="E33" s="33">
        <f>$E32+$D33</f>
        <v/>
      </c>
    </row>
    <row r="34">
      <c r="A34" s="32" t="n">
        <v>28</v>
      </c>
      <c r="B34" s="15">
        <f>Revenue_Share_Options!$I$34</f>
        <v/>
      </c>
      <c r="C34" s="15">
        <f>Assumptions!$C$46*IF($A34&gt;Assumptions!$C$8,0,1)*MIN(1,$A34/Assumptions!$C$31)</f>
        <v/>
      </c>
      <c r="D34" s="15">
        <f>$B34+$C34</f>
        <v/>
      </c>
      <c r="E34" s="33">
        <f>$E33+$D34</f>
        <v/>
      </c>
    </row>
    <row r="35">
      <c r="A35" s="32" t="n">
        <v>29</v>
      </c>
      <c r="B35" s="15">
        <f>Revenue_Share_Options!$I$35</f>
        <v/>
      </c>
      <c r="C35" s="15">
        <f>Assumptions!$C$46*IF($A35&gt;Assumptions!$C$8,0,1)*MIN(1,$A35/Assumptions!$C$31)</f>
        <v/>
      </c>
      <c r="D35" s="15">
        <f>$B35+$C35</f>
        <v/>
      </c>
      <c r="E35" s="33">
        <f>$E34+$D35</f>
        <v/>
      </c>
    </row>
    <row r="36">
      <c r="A36" s="32" t="n">
        <v>30</v>
      </c>
      <c r="B36" s="15">
        <f>Revenue_Share_Options!$I$36</f>
        <v/>
      </c>
      <c r="C36" s="15">
        <f>Assumptions!$C$46*IF($A36&gt;Assumptions!$C$8,0,1)*MIN(1,$A36/Assumptions!$C$31)</f>
        <v/>
      </c>
      <c r="D36" s="15">
        <f>$B36+$C36</f>
        <v/>
      </c>
      <c r="E36" s="33">
        <f>$E35+$D36</f>
        <v/>
      </c>
    </row>
    <row r="38">
      <c r="A38" s="11" t="inlineStr">
        <is>
          <t>Tribal NPV (active)</t>
        </is>
      </c>
      <c r="B38" s="17">
        <f>NPV(Assumptions!$C$44,$D7:$D36)</f>
        <v/>
      </c>
    </row>
    <row r="39">
      <c r="A39" s="11" t="inlineStr">
        <is>
          <t>Total Tribal receipts (undiscounted)</t>
        </is>
      </c>
      <c r="B39" s="17">
        <f>$E36</f>
        <v/>
      </c>
    </row>
  </sheetData>
  <autoFilter ref="A5:E5"/>
  <mergeCells count="3">
    <mergeCell ref="A2:E2"/>
    <mergeCell ref="A1:E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CONSOLIDATED PROJECT ECONOMICS — Blended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Total project view. Tribal payment is an internal transfer and nets out. Year 0 = construction + RIVR upfront.</t>
        </is>
      </c>
    </row>
    <row r="5">
      <c r="A5" s="24" t="inlineStr">
        <is>
          <t>Year</t>
        </is>
      </c>
      <c r="B5" s="24" t="inlineStr">
        <is>
          <t>Gross Revenue</t>
        </is>
      </c>
      <c r="C5" s="24" t="inlineStr">
        <is>
          <t>Operating Expenses</t>
        </is>
      </c>
      <c r="D5" s="24" t="inlineStr">
        <is>
          <t>Capital (constr./replace.)</t>
        </is>
      </c>
      <c r="E5" s="24" t="inlineStr">
        <is>
          <t>Project Net Cash Flow</t>
        </is>
      </c>
      <c r="F5" s="24" t="inlineStr">
        <is>
          <t>Cumulative</t>
        </is>
      </c>
    </row>
    <row r="6">
      <c r="A6" s="32" t="n">
        <v>0</v>
      </c>
      <c r="B6" s="15" t="n">
        <v>0</v>
      </c>
      <c r="C6" s="15" t="n">
        <v>0</v>
      </c>
      <c r="D6" s="15">
        <f>Construction_Budget!$E$17+Assumptions!$C$45</f>
        <v/>
      </c>
      <c r="E6" s="17">
        <f>-$D6</f>
        <v/>
      </c>
      <c r="F6" s="15">
        <f>$E6</f>
        <v/>
      </c>
    </row>
    <row r="7">
      <c r="A7" s="32" t="n">
        <v>1</v>
      </c>
      <c r="B7" s="15">
        <f>Revenue!$I$7</f>
        <v/>
      </c>
      <c r="C7" s="15">
        <f>Operating_Expenses!$I$7</f>
        <v/>
      </c>
      <c r="D7" s="15">
        <f>Capital_Replacement!$B$7</f>
        <v/>
      </c>
      <c r="E7" s="17">
        <f>$B7-$C7-$D7</f>
        <v/>
      </c>
      <c r="F7" s="15">
        <f>$F6+$E7</f>
        <v/>
      </c>
    </row>
    <row r="8">
      <c r="A8" s="32" t="n">
        <v>2</v>
      </c>
      <c r="B8" s="15">
        <f>Revenue!$I$8</f>
        <v/>
      </c>
      <c r="C8" s="15">
        <f>Operating_Expenses!$I$8</f>
        <v/>
      </c>
      <c r="D8" s="15">
        <f>Capital_Replacement!$B$8</f>
        <v/>
      </c>
      <c r="E8" s="17">
        <f>$B8-$C8-$D8</f>
        <v/>
      </c>
      <c r="F8" s="15">
        <f>$F7+$E8</f>
        <v/>
      </c>
    </row>
    <row r="9">
      <c r="A9" s="32" t="n">
        <v>3</v>
      </c>
      <c r="B9" s="15">
        <f>Revenue!$I$9</f>
        <v/>
      </c>
      <c r="C9" s="15">
        <f>Operating_Expenses!$I$9</f>
        <v/>
      </c>
      <c r="D9" s="15">
        <f>Capital_Replacement!$B$9</f>
        <v/>
      </c>
      <c r="E9" s="17">
        <f>$B9-$C9-$D9</f>
        <v/>
      </c>
      <c r="F9" s="15">
        <f>$F8+$E9</f>
        <v/>
      </c>
    </row>
    <row r="10">
      <c r="A10" s="32" t="n">
        <v>4</v>
      </c>
      <c r="B10" s="15">
        <f>Revenue!$I$10</f>
        <v/>
      </c>
      <c r="C10" s="15">
        <f>Operating_Expenses!$I$10</f>
        <v/>
      </c>
      <c r="D10" s="15">
        <f>Capital_Replacement!$B$10</f>
        <v/>
      </c>
      <c r="E10" s="17">
        <f>$B10-$C10-$D10</f>
        <v/>
      </c>
      <c r="F10" s="15">
        <f>$F9+$E10</f>
        <v/>
      </c>
    </row>
    <row r="11">
      <c r="A11" s="32" t="n">
        <v>5</v>
      </c>
      <c r="B11" s="15">
        <f>Revenue!$I$11</f>
        <v/>
      </c>
      <c r="C11" s="15">
        <f>Operating_Expenses!$I$11</f>
        <v/>
      </c>
      <c r="D11" s="15">
        <f>Capital_Replacement!$B$11</f>
        <v/>
      </c>
      <c r="E11" s="17">
        <f>$B11-$C11-$D11</f>
        <v/>
      </c>
      <c r="F11" s="15">
        <f>$F10+$E11</f>
        <v/>
      </c>
    </row>
    <row r="12">
      <c r="A12" s="32" t="n">
        <v>6</v>
      </c>
      <c r="B12" s="15">
        <f>Revenue!$I$12</f>
        <v/>
      </c>
      <c r="C12" s="15">
        <f>Operating_Expenses!$I$12</f>
        <v/>
      </c>
      <c r="D12" s="15">
        <f>Capital_Replacement!$B$12</f>
        <v/>
      </c>
      <c r="E12" s="17">
        <f>$B12-$C12-$D12</f>
        <v/>
      </c>
      <c r="F12" s="15">
        <f>$F11+$E12</f>
        <v/>
      </c>
    </row>
    <row r="13">
      <c r="A13" s="32" t="n">
        <v>7</v>
      </c>
      <c r="B13" s="15">
        <f>Revenue!$I$13</f>
        <v/>
      </c>
      <c r="C13" s="15">
        <f>Operating_Expenses!$I$13</f>
        <v/>
      </c>
      <c r="D13" s="15">
        <f>Capital_Replacement!$B$13</f>
        <v/>
      </c>
      <c r="E13" s="17">
        <f>$B13-$C13-$D13</f>
        <v/>
      </c>
      <c r="F13" s="15">
        <f>$F12+$E13</f>
        <v/>
      </c>
    </row>
    <row r="14">
      <c r="A14" s="32" t="n">
        <v>8</v>
      </c>
      <c r="B14" s="15">
        <f>Revenue!$I$14</f>
        <v/>
      </c>
      <c r="C14" s="15">
        <f>Operating_Expenses!$I$14</f>
        <v/>
      </c>
      <c r="D14" s="15">
        <f>Capital_Replacement!$B$14</f>
        <v/>
      </c>
      <c r="E14" s="17">
        <f>$B14-$C14-$D14</f>
        <v/>
      </c>
      <c r="F14" s="15">
        <f>$F13+$E14</f>
        <v/>
      </c>
    </row>
    <row r="15">
      <c r="A15" s="32" t="n">
        <v>9</v>
      </c>
      <c r="B15" s="15">
        <f>Revenue!$I$15</f>
        <v/>
      </c>
      <c r="C15" s="15">
        <f>Operating_Expenses!$I$15</f>
        <v/>
      </c>
      <c r="D15" s="15">
        <f>Capital_Replacement!$B$15</f>
        <v/>
      </c>
      <c r="E15" s="17">
        <f>$B15-$C15-$D15</f>
        <v/>
      </c>
      <c r="F15" s="15">
        <f>$F14+$E15</f>
        <v/>
      </c>
    </row>
    <row r="16">
      <c r="A16" s="32" t="n">
        <v>10</v>
      </c>
      <c r="B16" s="15">
        <f>Revenue!$I$16</f>
        <v/>
      </c>
      <c r="C16" s="15">
        <f>Operating_Expenses!$I$16</f>
        <v/>
      </c>
      <c r="D16" s="15">
        <f>Capital_Replacement!$B$16</f>
        <v/>
      </c>
      <c r="E16" s="17">
        <f>$B16-$C16-$D16</f>
        <v/>
      </c>
      <c r="F16" s="15">
        <f>$F15+$E16</f>
        <v/>
      </c>
    </row>
    <row r="17">
      <c r="A17" s="32" t="n">
        <v>11</v>
      </c>
      <c r="B17" s="15">
        <f>Revenue!$I$17</f>
        <v/>
      </c>
      <c r="C17" s="15">
        <f>Operating_Expenses!$I$17</f>
        <v/>
      </c>
      <c r="D17" s="15">
        <f>Capital_Replacement!$B$17</f>
        <v/>
      </c>
      <c r="E17" s="17">
        <f>$B17-$C17-$D17</f>
        <v/>
      </c>
      <c r="F17" s="15">
        <f>$F16+$E17</f>
        <v/>
      </c>
    </row>
    <row r="18">
      <c r="A18" s="32" t="n">
        <v>12</v>
      </c>
      <c r="B18" s="15">
        <f>Revenue!$I$18</f>
        <v/>
      </c>
      <c r="C18" s="15">
        <f>Operating_Expenses!$I$18</f>
        <v/>
      </c>
      <c r="D18" s="15">
        <f>Capital_Replacement!$B$18</f>
        <v/>
      </c>
      <c r="E18" s="17">
        <f>$B18-$C18-$D18</f>
        <v/>
      </c>
      <c r="F18" s="15">
        <f>$F17+$E18</f>
        <v/>
      </c>
    </row>
    <row r="19">
      <c r="A19" s="32" t="n">
        <v>13</v>
      </c>
      <c r="B19" s="15">
        <f>Revenue!$I$19</f>
        <v/>
      </c>
      <c r="C19" s="15">
        <f>Operating_Expenses!$I$19</f>
        <v/>
      </c>
      <c r="D19" s="15">
        <f>Capital_Replacement!$B$19</f>
        <v/>
      </c>
      <c r="E19" s="17">
        <f>$B19-$C19-$D19</f>
        <v/>
      </c>
      <c r="F19" s="15">
        <f>$F18+$E19</f>
        <v/>
      </c>
    </row>
    <row r="20">
      <c r="A20" s="32" t="n">
        <v>14</v>
      </c>
      <c r="B20" s="15">
        <f>Revenue!$I$20</f>
        <v/>
      </c>
      <c r="C20" s="15">
        <f>Operating_Expenses!$I$20</f>
        <v/>
      </c>
      <c r="D20" s="15">
        <f>Capital_Replacement!$B$20</f>
        <v/>
      </c>
      <c r="E20" s="17">
        <f>$B20-$C20-$D20</f>
        <v/>
      </c>
      <c r="F20" s="15">
        <f>$F19+$E20</f>
        <v/>
      </c>
    </row>
    <row r="21">
      <c r="A21" s="32" t="n">
        <v>15</v>
      </c>
      <c r="B21" s="15">
        <f>Revenue!$I$21</f>
        <v/>
      </c>
      <c r="C21" s="15">
        <f>Operating_Expenses!$I$21</f>
        <v/>
      </c>
      <c r="D21" s="15">
        <f>Capital_Replacement!$B$21</f>
        <v/>
      </c>
      <c r="E21" s="17">
        <f>$B21-$C21-$D21</f>
        <v/>
      </c>
      <c r="F21" s="15">
        <f>$F20+$E21</f>
        <v/>
      </c>
    </row>
    <row r="22">
      <c r="A22" s="32" t="n">
        <v>16</v>
      </c>
      <c r="B22" s="15">
        <f>Revenue!$I$22</f>
        <v/>
      </c>
      <c r="C22" s="15">
        <f>Operating_Expenses!$I$22</f>
        <v/>
      </c>
      <c r="D22" s="15">
        <f>Capital_Replacement!$B$22</f>
        <v/>
      </c>
      <c r="E22" s="17">
        <f>$B22-$C22-$D22</f>
        <v/>
      </c>
      <c r="F22" s="15">
        <f>$F21+$E22</f>
        <v/>
      </c>
    </row>
    <row r="23">
      <c r="A23" s="32" t="n">
        <v>17</v>
      </c>
      <c r="B23" s="15">
        <f>Revenue!$I$23</f>
        <v/>
      </c>
      <c r="C23" s="15">
        <f>Operating_Expenses!$I$23</f>
        <v/>
      </c>
      <c r="D23" s="15">
        <f>Capital_Replacement!$B$23</f>
        <v/>
      </c>
      <c r="E23" s="17">
        <f>$B23-$C23-$D23</f>
        <v/>
      </c>
      <c r="F23" s="15">
        <f>$F22+$E23</f>
        <v/>
      </c>
    </row>
    <row r="24">
      <c r="A24" s="32" t="n">
        <v>18</v>
      </c>
      <c r="B24" s="15">
        <f>Revenue!$I$24</f>
        <v/>
      </c>
      <c r="C24" s="15">
        <f>Operating_Expenses!$I$24</f>
        <v/>
      </c>
      <c r="D24" s="15">
        <f>Capital_Replacement!$B$24</f>
        <v/>
      </c>
      <c r="E24" s="17">
        <f>$B24-$C24-$D24</f>
        <v/>
      </c>
      <c r="F24" s="15">
        <f>$F23+$E24</f>
        <v/>
      </c>
    </row>
    <row r="25">
      <c r="A25" s="32" t="n">
        <v>19</v>
      </c>
      <c r="B25" s="15">
        <f>Revenue!$I$25</f>
        <v/>
      </c>
      <c r="C25" s="15">
        <f>Operating_Expenses!$I$25</f>
        <v/>
      </c>
      <c r="D25" s="15">
        <f>Capital_Replacement!$B$25</f>
        <v/>
      </c>
      <c r="E25" s="17">
        <f>$B25-$C25-$D25</f>
        <v/>
      </c>
      <c r="F25" s="15">
        <f>$F24+$E25</f>
        <v/>
      </c>
    </row>
    <row r="26">
      <c r="A26" s="32" t="n">
        <v>20</v>
      </c>
      <c r="B26" s="15">
        <f>Revenue!$I$26</f>
        <v/>
      </c>
      <c r="C26" s="15">
        <f>Operating_Expenses!$I$26</f>
        <v/>
      </c>
      <c r="D26" s="15">
        <f>Capital_Replacement!$B$26</f>
        <v/>
      </c>
      <c r="E26" s="17">
        <f>$B26-$C26-$D26</f>
        <v/>
      </c>
      <c r="F26" s="15">
        <f>$F25+$E26</f>
        <v/>
      </c>
    </row>
    <row r="27">
      <c r="A27" s="32" t="n">
        <v>21</v>
      </c>
      <c r="B27" s="15">
        <f>Revenue!$I$27</f>
        <v/>
      </c>
      <c r="C27" s="15">
        <f>Operating_Expenses!$I$27</f>
        <v/>
      </c>
      <c r="D27" s="15">
        <f>Capital_Replacement!$B$27</f>
        <v/>
      </c>
      <c r="E27" s="17">
        <f>$B27-$C27-$D27</f>
        <v/>
      </c>
      <c r="F27" s="15">
        <f>$F26+$E27</f>
        <v/>
      </c>
    </row>
    <row r="28">
      <c r="A28" s="32" t="n">
        <v>22</v>
      </c>
      <c r="B28" s="15">
        <f>Revenue!$I$28</f>
        <v/>
      </c>
      <c r="C28" s="15">
        <f>Operating_Expenses!$I$28</f>
        <v/>
      </c>
      <c r="D28" s="15">
        <f>Capital_Replacement!$B$28</f>
        <v/>
      </c>
      <c r="E28" s="17">
        <f>$B28-$C28-$D28</f>
        <v/>
      </c>
      <c r="F28" s="15">
        <f>$F27+$E28</f>
        <v/>
      </c>
    </row>
    <row r="29">
      <c r="A29" s="32" t="n">
        <v>23</v>
      </c>
      <c r="B29" s="15">
        <f>Revenue!$I$29</f>
        <v/>
      </c>
      <c r="C29" s="15">
        <f>Operating_Expenses!$I$29</f>
        <v/>
      </c>
      <c r="D29" s="15">
        <f>Capital_Replacement!$B$29</f>
        <v/>
      </c>
      <c r="E29" s="17">
        <f>$B29-$C29-$D29</f>
        <v/>
      </c>
      <c r="F29" s="15">
        <f>$F28+$E29</f>
        <v/>
      </c>
    </row>
    <row r="30">
      <c r="A30" s="32" t="n">
        <v>24</v>
      </c>
      <c r="B30" s="15">
        <f>Revenue!$I$30</f>
        <v/>
      </c>
      <c r="C30" s="15">
        <f>Operating_Expenses!$I$30</f>
        <v/>
      </c>
      <c r="D30" s="15">
        <f>Capital_Replacement!$B$30</f>
        <v/>
      </c>
      <c r="E30" s="17">
        <f>$B30-$C30-$D30</f>
        <v/>
      </c>
      <c r="F30" s="15">
        <f>$F29+$E30</f>
        <v/>
      </c>
    </row>
    <row r="31">
      <c r="A31" s="32" t="n">
        <v>25</v>
      </c>
      <c r="B31" s="15">
        <f>Revenue!$I$31</f>
        <v/>
      </c>
      <c r="C31" s="15">
        <f>Operating_Expenses!$I$31</f>
        <v/>
      </c>
      <c r="D31" s="15">
        <f>Capital_Replacement!$B$31</f>
        <v/>
      </c>
      <c r="E31" s="17">
        <f>$B31-$C31-$D31</f>
        <v/>
      </c>
      <c r="F31" s="15">
        <f>$F30+$E31</f>
        <v/>
      </c>
    </row>
    <row r="32">
      <c r="A32" s="32" t="n">
        <v>26</v>
      </c>
      <c r="B32" s="15">
        <f>Revenue!$I$32</f>
        <v/>
      </c>
      <c r="C32" s="15">
        <f>Operating_Expenses!$I$32</f>
        <v/>
      </c>
      <c r="D32" s="15">
        <f>Capital_Replacement!$B$32</f>
        <v/>
      </c>
      <c r="E32" s="17">
        <f>$B32-$C32-$D32</f>
        <v/>
      </c>
      <c r="F32" s="15">
        <f>$F31+$E32</f>
        <v/>
      </c>
    </row>
    <row r="33">
      <c r="A33" s="32" t="n">
        <v>27</v>
      </c>
      <c r="B33" s="15">
        <f>Revenue!$I$33</f>
        <v/>
      </c>
      <c r="C33" s="15">
        <f>Operating_Expenses!$I$33</f>
        <v/>
      </c>
      <c r="D33" s="15">
        <f>Capital_Replacement!$B$33</f>
        <v/>
      </c>
      <c r="E33" s="17">
        <f>$B33-$C33-$D33</f>
        <v/>
      </c>
      <c r="F33" s="15">
        <f>$F32+$E33</f>
        <v/>
      </c>
    </row>
    <row r="34">
      <c r="A34" s="32" t="n">
        <v>28</v>
      </c>
      <c r="B34" s="15">
        <f>Revenue!$I$34</f>
        <v/>
      </c>
      <c r="C34" s="15">
        <f>Operating_Expenses!$I$34</f>
        <v/>
      </c>
      <c r="D34" s="15">
        <f>Capital_Replacement!$B$34</f>
        <v/>
      </c>
      <c r="E34" s="17">
        <f>$B34-$C34-$D34</f>
        <v/>
      </c>
      <c r="F34" s="15">
        <f>$F33+$E34</f>
        <v/>
      </c>
    </row>
    <row r="35">
      <c r="A35" s="32" t="n">
        <v>29</v>
      </c>
      <c r="B35" s="15">
        <f>Revenue!$I$35</f>
        <v/>
      </c>
      <c r="C35" s="15">
        <f>Operating_Expenses!$I$35</f>
        <v/>
      </c>
      <c r="D35" s="15">
        <f>Capital_Replacement!$B$35</f>
        <v/>
      </c>
      <c r="E35" s="17">
        <f>$B35-$C35-$D35</f>
        <v/>
      </c>
      <c r="F35" s="15">
        <f>$F34+$E35</f>
        <v/>
      </c>
    </row>
    <row r="36">
      <c r="A36" s="32" t="n">
        <v>30</v>
      </c>
      <c r="B36" s="15">
        <f>Revenue!$I$36</f>
        <v/>
      </c>
      <c r="C36" s="15">
        <f>Operating_Expenses!$I$36</f>
        <v/>
      </c>
      <c r="D36" s="15">
        <f>Capital_Replacement!$B$36</f>
        <v/>
      </c>
      <c r="E36" s="17">
        <f>$B36-$C36-$D36</f>
        <v/>
      </c>
      <c r="F36" s="15">
        <f>$F35+$E36</f>
        <v/>
      </c>
    </row>
    <row r="38">
      <c r="A38" s="11" t="inlineStr">
        <is>
          <t>Project NPV (active)</t>
        </is>
      </c>
      <c r="B38" s="17">
        <f>$E6+NPV(Assumptions!$C$44,$E7:$E36)</f>
        <v/>
      </c>
    </row>
    <row r="39">
      <c r="A39" s="11" t="inlineStr">
        <is>
          <t>Project IRR (active)</t>
        </is>
      </c>
      <c r="B39" s="18">
        <f>IFERROR(IRR($E6:$E36),"n/m")</f>
        <v/>
      </c>
    </row>
    <row r="41">
      <c r="B41" s="30" t="inlineStr">
        <is>
          <t>CHECK: project net = revenue - opex - capital (identity)</t>
        </is>
      </c>
      <c r="F41" s="31">
        <f>IF(SUMPRODUCT(--(ABS($E7:$E36-($B7:$B36-$C7:$C36-$D7:$D36))&gt;0.5))=0,"PASS","FAIL")</f>
        <v/>
      </c>
    </row>
  </sheetData>
  <autoFilter ref="A5:F5"/>
  <mergeCells count="3">
    <mergeCell ref="A3:F3"/>
    <mergeCell ref="A2:F2"/>
    <mergeCell ref="A1:F1"/>
  </mergeCells>
  <conditionalFormatting sqref="F41">
    <cfRule type="expression" priority="1" dxfId="0" stopIfTrue="1">
      <formula>ISNUMBER(SEARCH("PASS",F41))</formula>
    </cfRule>
    <cfRule type="expression" priority="2" dxfId="1">
      <formula>NOT(ISNUMBER(SEARCH("PASS",F41)))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CASE ENGINE — Low / Base / High Parallel Cash Flows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Formula computation blocks used by NPV_IRR and Scenario_Comparison. Each block reads its own Low/Base/High driver column and holds the OPTION switch constant.</t>
        </is>
      </c>
    </row>
    <row r="6">
      <c r="B6" s="10" t="inlineStr">
        <is>
          <t>LOW CASE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B7" s="24" t="inlineStr">
        <is>
          <t>Year</t>
        </is>
      </c>
      <c r="C7" s="24" t="inlineStr">
        <is>
          <t>Homes</t>
        </is>
      </c>
      <c r="D7" s="24" t="inlineStr">
        <is>
          <t>TakeRate</t>
        </is>
      </c>
      <c r="E7" s="24" t="inlineStr">
        <is>
          <t>Res Subs</t>
        </is>
      </c>
      <c r="F7" s="24" t="inlineStr">
        <is>
          <t>Bus Subs</t>
        </is>
      </c>
      <c r="G7" s="24" t="inlineStr">
        <is>
          <t>Ent Subs</t>
        </is>
      </c>
      <c r="H7" s="24" t="inlineStr">
        <is>
          <t>Gross Rev</t>
        </is>
      </c>
      <c r="I7" s="24" t="inlineStr">
        <is>
          <t>Opex</t>
        </is>
      </c>
      <c r="J7" s="24" t="inlineStr">
        <is>
          <t>Capital</t>
        </is>
      </c>
      <c r="K7" s="24" t="inlineStr">
        <is>
          <t>Adj Op CF</t>
        </is>
      </c>
      <c r="L7" s="24" t="inlineStr">
        <is>
          <t>Tribal Pmt</t>
        </is>
      </c>
      <c r="M7" s="24" t="inlineStr">
        <is>
          <t>RIVR Net</t>
        </is>
      </c>
      <c r="N7" s="24" t="inlineStr">
        <is>
          <t>Proj Net</t>
        </is>
      </c>
    </row>
    <row r="8">
      <c r="B8" s="32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>
        <f>-Assumptions!$C$45</f>
        <v/>
      </c>
      <c r="N8" s="15">
        <f>-((Construction_Budget!$E$15*Assumptions!$C$25)+Assumptions!$C$45)</f>
        <v/>
      </c>
    </row>
    <row r="9">
      <c r="B9" s="32" t="n">
        <v>1</v>
      </c>
      <c r="C9" s="13">
        <f>Assumptions!$C$30*MIN(1,$B9/Assumptions!$C$31)</f>
        <v/>
      </c>
      <c r="D9" s="16">
        <f>Assumptions!$C$14*MIN(1,$B9/Assumptions!$C$15)</f>
        <v/>
      </c>
      <c r="E9" s="13">
        <f>$C9*$D9</f>
        <v/>
      </c>
      <c r="F9" s="13">
        <f>$C9*Assumptions!$C$32</f>
        <v/>
      </c>
      <c r="G9" s="13">
        <f>Assumptions!$C$20*MIN(1,$B9/Assumptions!$C$15)</f>
        <v/>
      </c>
      <c r="H9" s="15">
        <f>(($E9*Assumptions!$C$16+$F9*Assumptions!$C$17+$G9*Assumptions!$C$18+($E9*Assumptions!$C$33)*Assumptions!$C$19)*12*(1+Assumptions!$C$35)^($B9-1))+(Assumptions!$C$21*MIN(1,$B9/Assumptions!$C$31))+((MAX(0,($E9+$F9+$G9)-(0))+(0)*Assumptions!$C$22)*Assumptions!$C$34)</f>
        <v/>
      </c>
      <c r="I9" s="15">
        <f>($E9+$F9+$G9)*Assumptions!$C$36*(1+Assumptions!$C$24)^($B9-1)+Assumptions!$C$37*(Construction_Budget!$E$15*Assumptions!$C$25)*(1+Assumptions!$C$24)^($B9-1)+Assumptions!$C$38*Assumptions!$C$39*(1+Assumptions!$C$24)^($B9-1)+Assumptions!$C$40*$H9+Assumptions!$C$41*$H9+Assumptions!$C$23*((($E9*Assumptions!$C$16+$F9*Assumptions!$C$17+$G9*Assumptions!$C$18+($E9*Assumptions!$C$33)*Assumptions!$C$19)*12*(1+Assumptions!$C$35)^($B9-1))+(Assumptions!$C$21*MIN(1,$B9/Assumptions!$C$31)))</f>
        <v/>
      </c>
      <c r="J9" s="15">
        <f>(Construction_Budget!$E$8*Assumptions!$C$25)/Assumptions!$C$42*(1+Assumptions!$C$24)^($B9-1)</f>
        <v/>
      </c>
      <c r="K9" s="15">
        <f>$H9-$I9-$J9</f>
        <v/>
      </c>
      <c r="L9" s="15">
        <f>CHOOSE(Assumptions!$C$9,Assumptions!$C$49*(1+Assumptions!$C$50)^($B9-1),Assumptions!$C$51*$H9,Assumptions!$C$52*MAX(0,$K9),Assumptions!$C$53+Assumptions!$C$54*$H9,IF($B9&lt;=Assumptions!$C$55,0,Assumptions!$C$56*(1+Assumptions!$C$57)^($B9-Assumptions!$C$55-1)))</f>
        <v/>
      </c>
      <c r="M9" s="15">
        <f>$K9-$L9</f>
        <v/>
      </c>
      <c r="N9" s="15">
        <f>$H9-$I9-$J9</f>
        <v/>
      </c>
    </row>
    <row r="10">
      <c r="B10" s="32" t="n">
        <v>2</v>
      </c>
      <c r="C10" s="13">
        <f>Assumptions!$C$30*MIN(1,$B10/Assumptions!$C$31)</f>
        <v/>
      </c>
      <c r="D10" s="16">
        <f>Assumptions!$C$14*MIN(1,$B10/Assumptions!$C$15)</f>
        <v/>
      </c>
      <c r="E10" s="13">
        <f>$C10*$D10</f>
        <v/>
      </c>
      <c r="F10" s="13">
        <f>$C10*Assumptions!$C$32</f>
        <v/>
      </c>
      <c r="G10" s="13">
        <f>Assumptions!$C$20*MIN(1,$B10/Assumptions!$C$15)</f>
        <v/>
      </c>
      <c r="H10" s="15">
        <f>(($E10*Assumptions!$C$16+$F10*Assumptions!$C$17+$G10*Assumptions!$C$18+($E10*Assumptions!$C$33)*Assumptions!$C$19)*12*(1+Assumptions!$C$35)^($B10-1))+(Assumptions!$C$21*MIN(1,$B10/Assumptions!$C$31))+((MAX(0,($E10+$F10+$G10)-(($E9+$F9+$G9)))+(($E9+$F9+$G9))*Assumptions!$C$22)*Assumptions!$C$34)</f>
        <v/>
      </c>
      <c r="I10" s="15">
        <f>($E10+$F10+$G10)*Assumptions!$C$36*(1+Assumptions!$C$24)^($B10-1)+Assumptions!$C$37*(Construction_Budget!$E$15*Assumptions!$C$25)*(1+Assumptions!$C$24)^($B10-1)+Assumptions!$C$38*Assumptions!$C$39*(1+Assumptions!$C$24)^($B10-1)+Assumptions!$C$40*$H10+Assumptions!$C$41*$H10+Assumptions!$C$23*((($E10*Assumptions!$C$16+$F10*Assumptions!$C$17+$G10*Assumptions!$C$18+($E10*Assumptions!$C$33)*Assumptions!$C$19)*12*(1+Assumptions!$C$35)^($B10-1))+(Assumptions!$C$21*MIN(1,$B10/Assumptions!$C$31)))</f>
        <v/>
      </c>
      <c r="J10" s="15">
        <f>(Construction_Budget!$E$8*Assumptions!$C$25)/Assumptions!$C$42*(1+Assumptions!$C$24)^($B10-1)</f>
        <v/>
      </c>
      <c r="K10" s="15">
        <f>$H10-$I10-$J10</f>
        <v/>
      </c>
      <c r="L10" s="15">
        <f>CHOOSE(Assumptions!$C$9,Assumptions!$C$49*(1+Assumptions!$C$50)^($B10-1),Assumptions!$C$51*$H10,Assumptions!$C$52*MAX(0,$K10),Assumptions!$C$53+Assumptions!$C$54*$H10,IF($B10&lt;=Assumptions!$C$55,0,Assumptions!$C$56*(1+Assumptions!$C$57)^($B10-Assumptions!$C$55-1)))</f>
        <v/>
      </c>
      <c r="M10" s="15">
        <f>$K10-$L10</f>
        <v/>
      </c>
      <c r="N10" s="15">
        <f>$H10-$I10-$J10</f>
        <v/>
      </c>
    </row>
    <row r="11">
      <c r="B11" s="32" t="n">
        <v>3</v>
      </c>
      <c r="C11" s="13">
        <f>Assumptions!$C$30*MIN(1,$B11/Assumptions!$C$31)</f>
        <v/>
      </c>
      <c r="D11" s="16">
        <f>Assumptions!$C$14*MIN(1,$B11/Assumptions!$C$15)</f>
        <v/>
      </c>
      <c r="E11" s="13">
        <f>$C11*$D11</f>
        <v/>
      </c>
      <c r="F11" s="13">
        <f>$C11*Assumptions!$C$32</f>
        <v/>
      </c>
      <c r="G11" s="13">
        <f>Assumptions!$C$20*MIN(1,$B11/Assumptions!$C$15)</f>
        <v/>
      </c>
      <c r="H11" s="15">
        <f>(($E11*Assumptions!$C$16+$F11*Assumptions!$C$17+$G11*Assumptions!$C$18+($E11*Assumptions!$C$33)*Assumptions!$C$19)*12*(1+Assumptions!$C$35)^($B11-1))+(Assumptions!$C$21*MIN(1,$B11/Assumptions!$C$31))+((MAX(0,($E11+$F11+$G11)-(($E10+$F10+$G10)))+(($E10+$F10+$G10))*Assumptions!$C$22)*Assumptions!$C$34)</f>
        <v/>
      </c>
      <c r="I11" s="15">
        <f>($E11+$F11+$G11)*Assumptions!$C$36*(1+Assumptions!$C$24)^($B11-1)+Assumptions!$C$37*(Construction_Budget!$E$15*Assumptions!$C$25)*(1+Assumptions!$C$24)^($B11-1)+Assumptions!$C$38*Assumptions!$C$39*(1+Assumptions!$C$24)^($B11-1)+Assumptions!$C$40*$H11+Assumptions!$C$41*$H11+Assumptions!$C$23*((($E11*Assumptions!$C$16+$F11*Assumptions!$C$17+$G11*Assumptions!$C$18+($E11*Assumptions!$C$33)*Assumptions!$C$19)*12*(1+Assumptions!$C$35)^($B11-1))+(Assumptions!$C$21*MIN(1,$B11/Assumptions!$C$31)))</f>
        <v/>
      </c>
      <c r="J11" s="15">
        <f>(Construction_Budget!$E$8*Assumptions!$C$25)/Assumptions!$C$42*(1+Assumptions!$C$24)^($B11-1)</f>
        <v/>
      </c>
      <c r="K11" s="15">
        <f>$H11-$I11-$J11</f>
        <v/>
      </c>
      <c r="L11" s="15">
        <f>CHOOSE(Assumptions!$C$9,Assumptions!$C$49*(1+Assumptions!$C$50)^($B11-1),Assumptions!$C$51*$H11,Assumptions!$C$52*MAX(0,$K11),Assumptions!$C$53+Assumptions!$C$54*$H11,IF($B11&lt;=Assumptions!$C$55,0,Assumptions!$C$56*(1+Assumptions!$C$57)^($B11-Assumptions!$C$55-1)))</f>
        <v/>
      </c>
      <c r="M11" s="15">
        <f>$K11-$L11</f>
        <v/>
      </c>
      <c r="N11" s="15">
        <f>$H11-$I11-$J11</f>
        <v/>
      </c>
    </row>
    <row r="12">
      <c r="B12" s="32" t="n">
        <v>4</v>
      </c>
      <c r="C12" s="13">
        <f>Assumptions!$C$30*MIN(1,$B12/Assumptions!$C$31)</f>
        <v/>
      </c>
      <c r="D12" s="16">
        <f>Assumptions!$C$14*MIN(1,$B12/Assumptions!$C$15)</f>
        <v/>
      </c>
      <c r="E12" s="13">
        <f>$C12*$D12</f>
        <v/>
      </c>
      <c r="F12" s="13">
        <f>$C12*Assumptions!$C$32</f>
        <v/>
      </c>
      <c r="G12" s="13">
        <f>Assumptions!$C$20*MIN(1,$B12/Assumptions!$C$15)</f>
        <v/>
      </c>
      <c r="H12" s="15">
        <f>(($E12*Assumptions!$C$16+$F12*Assumptions!$C$17+$G12*Assumptions!$C$18+($E12*Assumptions!$C$33)*Assumptions!$C$19)*12*(1+Assumptions!$C$35)^($B12-1))+(Assumptions!$C$21*MIN(1,$B12/Assumptions!$C$31))+((MAX(0,($E12+$F12+$G12)-(($E11+$F11+$G11)))+(($E11+$F11+$G11))*Assumptions!$C$22)*Assumptions!$C$34)</f>
        <v/>
      </c>
      <c r="I12" s="15">
        <f>($E12+$F12+$G12)*Assumptions!$C$36*(1+Assumptions!$C$24)^($B12-1)+Assumptions!$C$37*(Construction_Budget!$E$15*Assumptions!$C$25)*(1+Assumptions!$C$24)^($B12-1)+Assumptions!$C$38*Assumptions!$C$39*(1+Assumptions!$C$24)^($B12-1)+Assumptions!$C$40*$H12+Assumptions!$C$41*$H12+Assumptions!$C$23*((($E12*Assumptions!$C$16+$F12*Assumptions!$C$17+$G12*Assumptions!$C$18+($E12*Assumptions!$C$33)*Assumptions!$C$19)*12*(1+Assumptions!$C$35)^($B12-1))+(Assumptions!$C$21*MIN(1,$B12/Assumptions!$C$31)))</f>
        <v/>
      </c>
      <c r="J12" s="15">
        <f>(Construction_Budget!$E$8*Assumptions!$C$25)/Assumptions!$C$42*(1+Assumptions!$C$24)^($B12-1)</f>
        <v/>
      </c>
      <c r="K12" s="15">
        <f>$H12-$I12-$J12</f>
        <v/>
      </c>
      <c r="L12" s="15">
        <f>CHOOSE(Assumptions!$C$9,Assumptions!$C$49*(1+Assumptions!$C$50)^($B12-1),Assumptions!$C$51*$H12,Assumptions!$C$52*MAX(0,$K12),Assumptions!$C$53+Assumptions!$C$54*$H12,IF($B12&lt;=Assumptions!$C$55,0,Assumptions!$C$56*(1+Assumptions!$C$57)^($B12-Assumptions!$C$55-1)))</f>
        <v/>
      </c>
      <c r="M12" s="15">
        <f>$K12-$L12</f>
        <v/>
      </c>
      <c r="N12" s="15">
        <f>$H12-$I12-$J12</f>
        <v/>
      </c>
    </row>
    <row r="13">
      <c r="B13" s="32" t="n">
        <v>5</v>
      </c>
      <c r="C13" s="13">
        <f>Assumptions!$C$30*MIN(1,$B13/Assumptions!$C$31)</f>
        <v/>
      </c>
      <c r="D13" s="16">
        <f>Assumptions!$C$14*MIN(1,$B13/Assumptions!$C$15)</f>
        <v/>
      </c>
      <c r="E13" s="13">
        <f>$C13*$D13</f>
        <v/>
      </c>
      <c r="F13" s="13">
        <f>$C13*Assumptions!$C$32</f>
        <v/>
      </c>
      <c r="G13" s="13">
        <f>Assumptions!$C$20*MIN(1,$B13/Assumptions!$C$15)</f>
        <v/>
      </c>
      <c r="H13" s="15">
        <f>(($E13*Assumptions!$C$16+$F13*Assumptions!$C$17+$G13*Assumptions!$C$18+($E13*Assumptions!$C$33)*Assumptions!$C$19)*12*(1+Assumptions!$C$35)^($B13-1))+(Assumptions!$C$21*MIN(1,$B13/Assumptions!$C$31))+((MAX(0,($E13+$F13+$G13)-(($E12+$F12+$G12)))+(($E12+$F12+$G12))*Assumptions!$C$22)*Assumptions!$C$34)</f>
        <v/>
      </c>
      <c r="I13" s="15">
        <f>($E13+$F13+$G13)*Assumptions!$C$36*(1+Assumptions!$C$24)^($B13-1)+Assumptions!$C$37*(Construction_Budget!$E$15*Assumptions!$C$25)*(1+Assumptions!$C$24)^($B13-1)+Assumptions!$C$38*Assumptions!$C$39*(1+Assumptions!$C$24)^($B13-1)+Assumptions!$C$40*$H13+Assumptions!$C$41*$H13+Assumptions!$C$23*((($E13*Assumptions!$C$16+$F13*Assumptions!$C$17+$G13*Assumptions!$C$18+($E13*Assumptions!$C$33)*Assumptions!$C$19)*12*(1+Assumptions!$C$35)^($B13-1))+(Assumptions!$C$21*MIN(1,$B13/Assumptions!$C$31)))</f>
        <v/>
      </c>
      <c r="J13" s="15">
        <f>(Construction_Budget!$E$8*Assumptions!$C$25)/Assumptions!$C$42*(1+Assumptions!$C$24)^($B13-1)</f>
        <v/>
      </c>
      <c r="K13" s="15">
        <f>$H13-$I13-$J13</f>
        <v/>
      </c>
      <c r="L13" s="15">
        <f>CHOOSE(Assumptions!$C$9,Assumptions!$C$49*(1+Assumptions!$C$50)^($B13-1),Assumptions!$C$51*$H13,Assumptions!$C$52*MAX(0,$K13),Assumptions!$C$53+Assumptions!$C$54*$H13,IF($B13&lt;=Assumptions!$C$55,0,Assumptions!$C$56*(1+Assumptions!$C$57)^($B13-Assumptions!$C$55-1)))</f>
        <v/>
      </c>
      <c r="M13" s="15">
        <f>$K13-$L13</f>
        <v/>
      </c>
      <c r="N13" s="15">
        <f>$H13-$I13-$J13</f>
        <v/>
      </c>
    </row>
    <row r="14">
      <c r="B14" s="32" t="n">
        <v>6</v>
      </c>
      <c r="C14" s="13">
        <f>Assumptions!$C$30*MIN(1,$B14/Assumptions!$C$31)</f>
        <v/>
      </c>
      <c r="D14" s="16">
        <f>Assumptions!$C$14*MIN(1,$B14/Assumptions!$C$15)</f>
        <v/>
      </c>
      <c r="E14" s="13">
        <f>$C14*$D14</f>
        <v/>
      </c>
      <c r="F14" s="13">
        <f>$C14*Assumptions!$C$32</f>
        <v/>
      </c>
      <c r="G14" s="13">
        <f>Assumptions!$C$20*MIN(1,$B14/Assumptions!$C$15)</f>
        <v/>
      </c>
      <c r="H14" s="15">
        <f>(($E14*Assumptions!$C$16+$F14*Assumptions!$C$17+$G14*Assumptions!$C$18+($E14*Assumptions!$C$33)*Assumptions!$C$19)*12*(1+Assumptions!$C$35)^($B14-1))+(Assumptions!$C$21*MIN(1,$B14/Assumptions!$C$31))+((MAX(0,($E14+$F14+$G14)-(($E13+$F13+$G13)))+(($E13+$F13+$G13))*Assumptions!$C$22)*Assumptions!$C$34)</f>
        <v/>
      </c>
      <c r="I14" s="15">
        <f>($E14+$F14+$G14)*Assumptions!$C$36*(1+Assumptions!$C$24)^($B14-1)+Assumptions!$C$37*(Construction_Budget!$E$15*Assumptions!$C$25)*(1+Assumptions!$C$24)^($B14-1)+Assumptions!$C$38*Assumptions!$C$39*(1+Assumptions!$C$24)^($B14-1)+Assumptions!$C$40*$H14+Assumptions!$C$41*$H14+Assumptions!$C$23*((($E14*Assumptions!$C$16+$F14*Assumptions!$C$17+$G14*Assumptions!$C$18+($E14*Assumptions!$C$33)*Assumptions!$C$19)*12*(1+Assumptions!$C$35)^($B14-1))+(Assumptions!$C$21*MIN(1,$B14/Assumptions!$C$31)))</f>
        <v/>
      </c>
      <c r="J14" s="15">
        <f>(Construction_Budget!$E$8*Assumptions!$C$25)/Assumptions!$C$42*(1+Assumptions!$C$24)^($B14-1)</f>
        <v/>
      </c>
      <c r="K14" s="15">
        <f>$H14-$I14-$J14</f>
        <v/>
      </c>
      <c r="L14" s="15">
        <f>CHOOSE(Assumptions!$C$9,Assumptions!$C$49*(1+Assumptions!$C$50)^($B14-1),Assumptions!$C$51*$H14,Assumptions!$C$52*MAX(0,$K14),Assumptions!$C$53+Assumptions!$C$54*$H14,IF($B14&lt;=Assumptions!$C$55,0,Assumptions!$C$56*(1+Assumptions!$C$57)^($B14-Assumptions!$C$55-1)))</f>
        <v/>
      </c>
      <c r="M14" s="15">
        <f>$K14-$L14</f>
        <v/>
      </c>
      <c r="N14" s="15">
        <f>$H14-$I14-$J14</f>
        <v/>
      </c>
    </row>
    <row r="15">
      <c r="B15" s="32" t="n">
        <v>7</v>
      </c>
      <c r="C15" s="13">
        <f>Assumptions!$C$30*MIN(1,$B15/Assumptions!$C$31)</f>
        <v/>
      </c>
      <c r="D15" s="16">
        <f>Assumptions!$C$14*MIN(1,$B15/Assumptions!$C$15)</f>
        <v/>
      </c>
      <c r="E15" s="13">
        <f>$C15*$D15</f>
        <v/>
      </c>
      <c r="F15" s="13">
        <f>$C15*Assumptions!$C$32</f>
        <v/>
      </c>
      <c r="G15" s="13">
        <f>Assumptions!$C$20*MIN(1,$B15/Assumptions!$C$15)</f>
        <v/>
      </c>
      <c r="H15" s="15">
        <f>(($E15*Assumptions!$C$16+$F15*Assumptions!$C$17+$G15*Assumptions!$C$18+($E15*Assumptions!$C$33)*Assumptions!$C$19)*12*(1+Assumptions!$C$35)^($B15-1))+(Assumptions!$C$21*MIN(1,$B15/Assumptions!$C$31))+((MAX(0,($E15+$F15+$G15)-(($E14+$F14+$G14)))+(($E14+$F14+$G14))*Assumptions!$C$22)*Assumptions!$C$34)</f>
        <v/>
      </c>
      <c r="I15" s="15">
        <f>($E15+$F15+$G15)*Assumptions!$C$36*(1+Assumptions!$C$24)^($B15-1)+Assumptions!$C$37*(Construction_Budget!$E$15*Assumptions!$C$25)*(1+Assumptions!$C$24)^($B15-1)+Assumptions!$C$38*Assumptions!$C$39*(1+Assumptions!$C$24)^($B15-1)+Assumptions!$C$40*$H15+Assumptions!$C$41*$H15+Assumptions!$C$23*((($E15*Assumptions!$C$16+$F15*Assumptions!$C$17+$G15*Assumptions!$C$18+($E15*Assumptions!$C$33)*Assumptions!$C$19)*12*(1+Assumptions!$C$35)^($B15-1))+(Assumptions!$C$21*MIN(1,$B15/Assumptions!$C$31)))</f>
        <v/>
      </c>
      <c r="J15" s="15">
        <f>(Construction_Budget!$E$8*Assumptions!$C$25)/Assumptions!$C$42*(1+Assumptions!$C$24)^($B15-1)</f>
        <v/>
      </c>
      <c r="K15" s="15">
        <f>$H15-$I15-$J15</f>
        <v/>
      </c>
      <c r="L15" s="15">
        <f>CHOOSE(Assumptions!$C$9,Assumptions!$C$49*(1+Assumptions!$C$50)^($B15-1),Assumptions!$C$51*$H15,Assumptions!$C$52*MAX(0,$K15),Assumptions!$C$53+Assumptions!$C$54*$H15,IF($B15&lt;=Assumptions!$C$55,0,Assumptions!$C$56*(1+Assumptions!$C$57)^($B15-Assumptions!$C$55-1)))</f>
        <v/>
      </c>
      <c r="M15" s="15">
        <f>$K15-$L15</f>
        <v/>
      </c>
      <c r="N15" s="15">
        <f>$H15-$I15-$J15</f>
        <v/>
      </c>
    </row>
    <row r="16">
      <c r="B16" s="32" t="n">
        <v>8</v>
      </c>
      <c r="C16" s="13">
        <f>Assumptions!$C$30*MIN(1,$B16/Assumptions!$C$31)</f>
        <v/>
      </c>
      <c r="D16" s="16">
        <f>Assumptions!$C$14*MIN(1,$B16/Assumptions!$C$15)</f>
        <v/>
      </c>
      <c r="E16" s="13">
        <f>$C16*$D16</f>
        <v/>
      </c>
      <c r="F16" s="13">
        <f>$C16*Assumptions!$C$32</f>
        <v/>
      </c>
      <c r="G16" s="13">
        <f>Assumptions!$C$20*MIN(1,$B16/Assumptions!$C$15)</f>
        <v/>
      </c>
      <c r="H16" s="15">
        <f>(($E16*Assumptions!$C$16+$F16*Assumptions!$C$17+$G16*Assumptions!$C$18+($E16*Assumptions!$C$33)*Assumptions!$C$19)*12*(1+Assumptions!$C$35)^($B16-1))+(Assumptions!$C$21*MIN(1,$B16/Assumptions!$C$31))+((MAX(0,($E16+$F16+$G16)-(($E15+$F15+$G15)))+(($E15+$F15+$G15))*Assumptions!$C$22)*Assumptions!$C$34)</f>
        <v/>
      </c>
      <c r="I16" s="15">
        <f>($E16+$F16+$G16)*Assumptions!$C$36*(1+Assumptions!$C$24)^($B16-1)+Assumptions!$C$37*(Construction_Budget!$E$15*Assumptions!$C$25)*(1+Assumptions!$C$24)^($B16-1)+Assumptions!$C$38*Assumptions!$C$39*(1+Assumptions!$C$24)^($B16-1)+Assumptions!$C$40*$H16+Assumptions!$C$41*$H16+Assumptions!$C$23*((($E16*Assumptions!$C$16+$F16*Assumptions!$C$17+$G16*Assumptions!$C$18+($E16*Assumptions!$C$33)*Assumptions!$C$19)*12*(1+Assumptions!$C$35)^($B16-1))+(Assumptions!$C$21*MIN(1,$B16/Assumptions!$C$31)))</f>
        <v/>
      </c>
      <c r="J16" s="15">
        <f>(Construction_Budget!$E$8*Assumptions!$C$25)/Assumptions!$C$42*(1+Assumptions!$C$24)^($B16-1)</f>
        <v/>
      </c>
      <c r="K16" s="15">
        <f>$H16-$I16-$J16</f>
        <v/>
      </c>
      <c r="L16" s="15">
        <f>CHOOSE(Assumptions!$C$9,Assumptions!$C$49*(1+Assumptions!$C$50)^($B16-1),Assumptions!$C$51*$H16,Assumptions!$C$52*MAX(0,$K16),Assumptions!$C$53+Assumptions!$C$54*$H16,IF($B16&lt;=Assumptions!$C$55,0,Assumptions!$C$56*(1+Assumptions!$C$57)^($B16-Assumptions!$C$55-1)))</f>
        <v/>
      </c>
      <c r="M16" s="15">
        <f>$K16-$L16</f>
        <v/>
      </c>
      <c r="N16" s="15">
        <f>$H16-$I16-$J16</f>
        <v/>
      </c>
    </row>
    <row r="17">
      <c r="B17" s="32" t="n">
        <v>9</v>
      </c>
      <c r="C17" s="13">
        <f>Assumptions!$C$30*MIN(1,$B17/Assumptions!$C$31)</f>
        <v/>
      </c>
      <c r="D17" s="16">
        <f>Assumptions!$C$14*MIN(1,$B17/Assumptions!$C$15)</f>
        <v/>
      </c>
      <c r="E17" s="13">
        <f>$C17*$D17</f>
        <v/>
      </c>
      <c r="F17" s="13">
        <f>$C17*Assumptions!$C$32</f>
        <v/>
      </c>
      <c r="G17" s="13">
        <f>Assumptions!$C$20*MIN(1,$B17/Assumptions!$C$15)</f>
        <v/>
      </c>
      <c r="H17" s="15">
        <f>(($E17*Assumptions!$C$16+$F17*Assumptions!$C$17+$G17*Assumptions!$C$18+($E17*Assumptions!$C$33)*Assumptions!$C$19)*12*(1+Assumptions!$C$35)^($B17-1))+(Assumptions!$C$21*MIN(1,$B17/Assumptions!$C$31))+((MAX(0,($E17+$F17+$G17)-(($E16+$F16+$G16)))+(($E16+$F16+$G16))*Assumptions!$C$22)*Assumptions!$C$34)</f>
        <v/>
      </c>
      <c r="I17" s="15">
        <f>($E17+$F17+$G17)*Assumptions!$C$36*(1+Assumptions!$C$24)^($B17-1)+Assumptions!$C$37*(Construction_Budget!$E$15*Assumptions!$C$25)*(1+Assumptions!$C$24)^($B17-1)+Assumptions!$C$38*Assumptions!$C$39*(1+Assumptions!$C$24)^($B17-1)+Assumptions!$C$40*$H17+Assumptions!$C$41*$H17+Assumptions!$C$23*((($E17*Assumptions!$C$16+$F17*Assumptions!$C$17+$G17*Assumptions!$C$18+($E17*Assumptions!$C$33)*Assumptions!$C$19)*12*(1+Assumptions!$C$35)^($B17-1))+(Assumptions!$C$21*MIN(1,$B17/Assumptions!$C$31)))</f>
        <v/>
      </c>
      <c r="J17" s="15">
        <f>(Construction_Budget!$E$8*Assumptions!$C$25)/Assumptions!$C$42*(1+Assumptions!$C$24)^($B17-1)</f>
        <v/>
      </c>
      <c r="K17" s="15">
        <f>$H17-$I17-$J17</f>
        <v/>
      </c>
      <c r="L17" s="15">
        <f>CHOOSE(Assumptions!$C$9,Assumptions!$C$49*(1+Assumptions!$C$50)^($B17-1),Assumptions!$C$51*$H17,Assumptions!$C$52*MAX(0,$K17),Assumptions!$C$53+Assumptions!$C$54*$H17,IF($B17&lt;=Assumptions!$C$55,0,Assumptions!$C$56*(1+Assumptions!$C$57)^($B17-Assumptions!$C$55-1)))</f>
        <v/>
      </c>
      <c r="M17" s="15">
        <f>$K17-$L17</f>
        <v/>
      </c>
      <c r="N17" s="15">
        <f>$H17-$I17-$J17</f>
        <v/>
      </c>
    </row>
    <row r="18">
      <c r="B18" s="32" t="n">
        <v>10</v>
      </c>
      <c r="C18" s="13">
        <f>Assumptions!$C$30*MIN(1,$B18/Assumptions!$C$31)</f>
        <v/>
      </c>
      <c r="D18" s="16">
        <f>Assumptions!$C$14*MIN(1,$B18/Assumptions!$C$15)</f>
        <v/>
      </c>
      <c r="E18" s="13">
        <f>$C18*$D18</f>
        <v/>
      </c>
      <c r="F18" s="13">
        <f>$C18*Assumptions!$C$32</f>
        <v/>
      </c>
      <c r="G18" s="13">
        <f>Assumptions!$C$20*MIN(1,$B18/Assumptions!$C$15)</f>
        <v/>
      </c>
      <c r="H18" s="15">
        <f>(($E18*Assumptions!$C$16+$F18*Assumptions!$C$17+$G18*Assumptions!$C$18+($E18*Assumptions!$C$33)*Assumptions!$C$19)*12*(1+Assumptions!$C$35)^($B18-1))+(Assumptions!$C$21*MIN(1,$B18/Assumptions!$C$31))+((MAX(0,($E18+$F18+$G18)-(($E17+$F17+$G17)))+(($E17+$F17+$G17))*Assumptions!$C$22)*Assumptions!$C$34)</f>
        <v/>
      </c>
      <c r="I18" s="15">
        <f>($E18+$F18+$G18)*Assumptions!$C$36*(1+Assumptions!$C$24)^($B18-1)+Assumptions!$C$37*(Construction_Budget!$E$15*Assumptions!$C$25)*(1+Assumptions!$C$24)^($B18-1)+Assumptions!$C$38*Assumptions!$C$39*(1+Assumptions!$C$24)^($B18-1)+Assumptions!$C$40*$H18+Assumptions!$C$41*$H18+Assumptions!$C$23*((($E18*Assumptions!$C$16+$F18*Assumptions!$C$17+$G18*Assumptions!$C$18+($E18*Assumptions!$C$33)*Assumptions!$C$19)*12*(1+Assumptions!$C$35)^($B18-1))+(Assumptions!$C$21*MIN(1,$B18/Assumptions!$C$31)))</f>
        <v/>
      </c>
      <c r="J18" s="15">
        <f>(Construction_Budget!$E$8*Assumptions!$C$25)/Assumptions!$C$42*(1+Assumptions!$C$24)^($B18-1)</f>
        <v/>
      </c>
      <c r="K18" s="15">
        <f>$H18-$I18-$J18</f>
        <v/>
      </c>
      <c r="L18" s="15">
        <f>CHOOSE(Assumptions!$C$9,Assumptions!$C$49*(1+Assumptions!$C$50)^($B18-1),Assumptions!$C$51*$H18,Assumptions!$C$52*MAX(0,$K18),Assumptions!$C$53+Assumptions!$C$54*$H18,IF($B18&lt;=Assumptions!$C$55,0,Assumptions!$C$56*(1+Assumptions!$C$57)^($B18-Assumptions!$C$55-1)))</f>
        <v/>
      </c>
      <c r="M18" s="15">
        <f>$K18-$L18</f>
        <v/>
      </c>
      <c r="N18" s="15">
        <f>$H18-$I18-$J18</f>
        <v/>
      </c>
    </row>
    <row r="19">
      <c r="B19" s="32" t="n">
        <v>11</v>
      </c>
      <c r="C19" s="13">
        <f>Assumptions!$C$30*MIN(1,$B19/Assumptions!$C$31)</f>
        <v/>
      </c>
      <c r="D19" s="16">
        <f>Assumptions!$C$14*MIN(1,$B19/Assumptions!$C$15)</f>
        <v/>
      </c>
      <c r="E19" s="13">
        <f>$C19*$D19</f>
        <v/>
      </c>
      <c r="F19" s="13">
        <f>$C19*Assumptions!$C$32</f>
        <v/>
      </c>
      <c r="G19" s="13">
        <f>Assumptions!$C$20*MIN(1,$B19/Assumptions!$C$15)</f>
        <v/>
      </c>
      <c r="H19" s="15">
        <f>(($E19*Assumptions!$C$16+$F19*Assumptions!$C$17+$G19*Assumptions!$C$18+($E19*Assumptions!$C$33)*Assumptions!$C$19)*12*(1+Assumptions!$C$35)^($B19-1))+(Assumptions!$C$21*MIN(1,$B19/Assumptions!$C$31))+((MAX(0,($E19+$F19+$G19)-(($E18+$F18+$G18)))+(($E18+$F18+$G18))*Assumptions!$C$22)*Assumptions!$C$34)</f>
        <v/>
      </c>
      <c r="I19" s="15">
        <f>($E19+$F19+$G19)*Assumptions!$C$36*(1+Assumptions!$C$24)^($B19-1)+Assumptions!$C$37*(Construction_Budget!$E$15*Assumptions!$C$25)*(1+Assumptions!$C$24)^($B19-1)+Assumptions!$C$38*Assumptions!$C$39*(1+Assumptions!$C$24)^($B19-1)+Assumptions!$C$40*$H19+Assumptions!$C$41*$H19+Assumptions!$C$23*((($E19*Assumptions!$C$16+$F19*Assumptions!$C$17+$G19*Assumptions!$C$18+($E19*Assumptions!$C$33)*Assumptions!$C$19)*12*(1+Assumptions!$C$35)^($B19-1))+(Assumptions!$C$21*MIN(1,$B19/Assumptions!$C$31)))</f>
        <v/>
      </c>
      <c r="J19" s="15">
        <f>(Construction_Budget!$E$8*Assumptions!$C$25)/Assumptions!$C$42*(1+Assumptions!$C$24)^($B19-1)</f>
        <v/>
      </c>
      <c r="K19" s="15">
        <f>$H19-$I19-$J19</f>
        <v/>
      </c>
      <c r="L19" s="15">
        <f>CHOOSE(Assumptions!$C$9,Assumptions!$C$49*(1+Assumptions!$C$50)^($B19-1),Assumptions!$C$51*$H19,Assumptions!$C$52*MAX(0,$K19),Assumptions!$C$53+Assumptions!$C$54*$H19,IF($B19&lt;=Assumptions!$C$55,0,Assumptions!$C$56*(1+Assumptions!$C$57)^($B19-Assumptions!$C$55-1)))</f>
        <v/>
      </c>
      <c r="M19" s="15">
        <f>$K19-$L19</f>
        <v/>
      </c>
      <c r="N19" s="15">
        <f>$H19-$I19-$J19</f>
        <v/>
      </c>
    </row>
    <row r="20">
      <c r="B20" s="32" t="n">
        <v>12</v>
      </c>
      <c r="C20" s="13">
        <f>Assumptions!$C$30*MIN(1,$B20/Assumptions!$C$31)</f>
        <v/>
      </c>
      <c r="D20" s="16">
        <f>Assumptions!$C$14*MIN(1,$B20/Assumptions!$C$15)</f>
        <v/>
      </c>
      <c r="E20" s="13">
        <f>$C20*$D20</f>
        <v/>
      </c>
      <c r="F20" s="13">
        <f>$C20*Assumptions!$C$32</f>
        <v/>
      </c>
      <c r="G20" s="13">
        <f>Assumptions!$C$20*MIN(1,$B20/Assumptions!$C$15)</f>
        <v/>
      </c>
      <c r="H20" s="15">
        <f>(($E20*Assumptions!$C$16+$F20*Assumptions!$C$17+$G20*Assumptions!$C$18+($E20*Assumptions!$C$33)*Assumptions!$C$19)*12*(1+Assumptions!$C$35)^($B20-1))+(Assumptions!$C$21*MIN(1,$B20/Assumptions!$C$31))+((MAX(0,($E20+$F20+$G20)-(($E19+$F19+$G19)))+(($E19+$F19+$G19))*Assumptions!$C$22)*Assumptions!$C$34)</f>
        <v/>
      </c>
      <c r="I20" s="15">
        <f>($E20+$F20+$G20)*Assumptions!$C$36*(1+Assumptions!$C$24)^($B20-1)+Assumptions!$C$37*(Construction_Budget!$E$15*Assumptions!$C$25)*(1+Assumptions!$C$24)^($B20-1)+Assumptions!$C$38*Assumptions!$C$39*(1+Assumptions!$C$24)^($B20-1)+Assumptions!$C$40*$H20+Assumptions!$C$41*$H20+Assumptions!$C$23*((($E20*Assumptions!$C$16+$F20*Assumptions!$C$17+$G20*Assumptions!$C$18+($E20*Assumptions!$C$33)*Assumptions!$C$19)*12*(1+Assumptions!$C$35)^($B20-1))+(Assumptions!$C$21*MIN(1,$B20/Assumptions!$C$31)))</f>
        <v/>
      </c>
      <c r="J20" s="15">
        <f>(Construction_Budget!$E$8*Assumptions!$C$25)/Assumptions!$C$42*(1+Assumptions!$C$24)^($B20-1)</f>
        <v/>
      </c>
      <c r="K20" s="15">
        <f>$H20-$I20-$J20</f>
        <v/>
      </c>
      <c r="L20" s="15">
        <f>CHOOSE(Assumptions!$C$9,Assumptions!$C$49*(1+Assumptions!$C$50)^($B20-1),Assumptions!$C$51*$H20,Assumptions!$C$52*MAX(0,$K20),Assumptions!$C$53+Assumptions!$C$54*$H20,IF($B20&lt;=Assumptions!$C$55,0,Assumptions!$C$56*(1+Assumptions!$C$57)^($B20-Assumptions!$C$55-1)))</f>
        <v/>
      </c>
      <c r="M20" s="15">
        <f>$K20-$L20</f>
        <v/>
      </c>
      <c r="N20" s="15">
        <f>$H20-$I20-$J20</f>
        <v/>
      </c>
    </row>
    <row r="21">
      <c r="B21" s="32" t="n">
        <v>13</v>
      </c>
      <c r="C21" s="13">
        <f>Assumptions!$C$30*MIN(1,$B21/Assumptions!$C$31)</f>
        <v/>
      </c>
      <c r="D21" s="16">
        <f>Assumptions!$C$14*MIN(1,$B21/Assumptions!$C$15)</f>
        <v/>
      </c>
      <c r="E21" s="13">
        <f>$C21*$D21</f>
        <v/>
      </c>
      <c r="F21" s="13">
        <f>$C21*Assumptions!$C$32</f>
        <v/>
      </c>
      <c r="G21" s="13">
        <f>Assumptions!$C$20*MIN(1,$B21/Assumptions!$C$15)</f>
        <v/>
      </c>
      <c r="H21" s="15">
        <f>(($E21*Assumptions!$C$16+$F21*Assumptions!$C$17+$G21*Assumptions!$C$18+($E21*Assumptions!$C$33)*Assumptions!$C$19)*12*(1+Assumptions!$C$35)^($B21-1))+(Assumptions!$C$21*MIN(1,$B21/Assumptions!$C$31))+((MAX(0,($E21+$F21+$G21)-(($E20+$F20+$G20)))+(($E20+$F20+$G20))*Assumptions!$C$22)*Assumptions!$C$34)</f>
        <v/>
      </c>
      <c r="I21" s="15">
        <f>($E21+$F21+$G21)*Assumptions!$C$36*(1+Assumptions!$C$24)^($B21-1)+Assumptions!$C$37*(Construction_Budget!$E$15*Assumptions!$C$25)*(1+Assumptions!$C$24)^($B21-1)+Assumptions!$C$38*Assumptions!$C$39*(1+Assumptions!$C$24)^($B21-1)+Assumptions!$C$40*$H21+Assumptions!$C$41*$H21+Assumptions!$C$23*((($E21*Assumptions!$C$16+$F21*Assumptions!$C$17+$G21*Assumptions!$C$18+($E21*Assumptions!$C$33)*Assumptions!$C$19)*12*(1+Assumptions!$C$35)^($B21-1))+(Assumptions!$C$21*MIN(1,$B21/Assumptions!$C$31)))</f>
        <v/>
      </c>
      <c r="J21" s="15">
        <f>(Construction_Budget!$E$8*Assumptions!$C$25)/Assumptions!$C$42*(1+Assumptions!$C$24)^($B21-1)</f>
        <v/>
      </c>
      <c r="K21" s="15">
        <f>$H21-$I21-$J21</f>
        <v/>
      </c>
      <c r="L21" s="15">
        <f>CHOOSE(Assumptions!$C$9,Assumptions!$C$49*(1+Assumptions!$C$50)^($B21-1),Assumptions!$C$51*$H21,Assumptions!$C$52*MAX(0,$K21),Assumptions!$C$53+Assumptions!$C$54*$H21,IF($B21&lt;=Assumptions!$C$55,0,Assumptions!$C$56*(1+Assumptions!$C$57)^($B21-Assumptions!$C$55-1)))</f>
        <v/>
      </c>
      <c r="M21" s="15">
        <f>$K21-$L21</f>
        <v/>
      </c>
      <c r="N21" s="15">
        <f>$H21-$I21-$J21</f>
        <v/>
      </c>
    </row>
    <row r="22">
      <c r="B22" s="32" t="n">
        <v>14</v>
      </c>
      <c r="C22" s="13">
        <f>Assumptions!$C$30*MIN(1,$B22/Assumptions!$C$31)</f>
        <v/>
      </c>
      <c r="D22" s="16">
        <f>Assumptions!$C$14*MIN(1,$B22/Assumptions!$C$15)</f>
        <v/>
      </c>
      <c r="E22" s="13">
        <f>$C22*$D22</f>
        <v/>
      </c>
      <c r="F22" s="13">
        <f>$C22*Assumptions!$C$32</f>
        <v/>
      </c>
      <c r="G22" s="13">
        <f>Assumptions!$C$20*MIN(1,$B22/Assumptions!$C$15)</f>
        <v/>
      </c>
      <c r="H22" s="15">
        <f>(($E22*Assumptions!$C$16+$F22*Assumptions!$C$17+$G22*Assumptions!$C$18+($E22*Assumptions!$C$33)*Assumptions!$C$19)*12*(1+Assumptions!$C$35)^($B22-1))+(Assumptions!$C$21*MIN(1,$B22/Assumptions!$C$31))+((MAX(0,($E22+$F22+$G22)-(($E21+$F21+$G21)))+(($E21+$F21+$G21))*Assumptions!$C$22)*Assumptions!$C$34)</f>
        <v/>
      </c>
      <c r="I22" s="15">
        <f>($E22+$F22+$G22)*Assumptions!$C$36*(1+Assumptions!$C$24)^($B22-1)+Assumptions!$C$37*(Construction_Budget!$E$15*Assumptions!$C$25)*(1+Assumptions!$C$24)^($B22-1)+Assumptions!$C$38*Assumptions!$C$39*(1+Assumptions!$C$24)^($B22-1)+Assumptions!$C$40*$H22+Assumptions!$C$41*$H22+Assumptions!$C$23*((($E22*Assumptions!$C$16+$F22*Assumptions!$C$17+$G22*Assumptions!$C$18+($E22*Assumptions!$C$33)*Assumptions!$C$19)*12*(1+Assumptions!$C$35)^($B22-1))+(Assumptions!$C$21*MIN(1,$B22/Assumptions!$C$31)))</f>
        <v/>
      </c>
      <c r="J22" s="15">
        <f>(Construction_Budget!$E$8*Assumptions!$C$25)/Assumptions!$C$42*(1+Assumptions!$C$24)^($B22-1)</f>
        <v/>
      </c>
      <c r="K22" s="15">
        <f>$H22-$I22-$J22</f>
        <v/>
      </c>
      <c r="L22" s="15">
        <f>CHOOSE(Assumptions!$C$9,Assumptions!$C$49*(1+Assumptions!$C$50)^($B22-1),Assumptions!$C$51*$H22,Assumptions!$C$52*MAX(0,$K22),Assumptions!$C$53+Assumptions!$C$54*$H22,IF($B22&lt;=Assumptions!$C$55,0,Assumptions!$C$56*(1+Assumptions!$C$57)^($B22-Assumptions!$C$55-1)))</f>
        <v/>
      </c>
      <c r="M22" s="15">
        <f>$K22-$L22</f>
        <v/>
      </c>
      <c r="N22" s="15">
        <f>$H22-$I22-$J22</f>
        <v/>
      </c>
    </row>
    <row r="23">
      <c r="B23" s="32" t="n">
        <v>15</v>
      </c>
      <c r="C23" s="13">
        <f>Assumptions!$C$30*MIN(1,$B23/Assumptions!$C$31)</f>
        <v/>
      </c>
      <c r="D23" s="16">
        <f>Assumptions!$C$14*MIN(1,$B23/Assumptions!$C$15)</f>
        <v/>
      </c>
      <c r="E23" s="13">
        <f>$C23*$D23</f>
        <v/>
      </c>
      <c r="F23" s="13">
        <f>$C23*Assumptions!$C$32</f>
        <v/>
      </c>
      <c r="G23" s="13">
        <f>Assumptions!$C$20*MIN(1,$B23/Assumptions!$C$15)</f>
        <v/>
      </c>
      <c r="H23" s="15">
        <f>(($E23*Assumptions!$C$16+$F23*Assumptions!$C$17+$G23*Assumptions!$C$18+($E23*Assumptions!$C$33)*Assumptions!$C$19)*12*(1+Assumptions!$C$35)^($B23-1))+(Assumptions!$C$21*MIN(1,$B23/Assumptions!$C$31))+((MAX(0,($E23+$F23+$G23)-(($E22+$F22+$G22)))+(($E22+$F22+$G22))*Assumptions!$C$22)*Assumptions!$C$34)</f>
        <v/>
      </c>
      <c r="I23" s="15">
        <f>($E23+$F23+$G23)*Assumptions!$C$36*(1+Assumptions!$C$24)^($B23-1)+Assumptions!$C$37*(Construction_Budget!$E$15*Assumptions!$C$25)*(1+Assumptions!$C$24)^($B23-1)+Assumptions!$C$38*Assumptions!$C$39*(1+Assumptions!$C$24)^($B23-1)+Assumptions!$C$40*$H23+Assumptions!$C$41*$H23+Assumptions!$C$23*((($E23*Assumptions!$C$16+$F23*Assumptions!$C$17+$G23*Assumptions!$C$18+($E23*Assumptions!$C$33)*Assumptions!$C$19)*12*(1+Assumptions!$C$35)^($B23-1))+(Assumptions!$C$21*MIN(1,$B23/Assumptions!$C$31)))</f>
        <v/>
      </c>
      <c r="J23" s="15">
        <f>(Construction_Budget!$E$8*Assumptions!$C$25)/Assumptions!$C$42*(1+Assumptions!$C$24)^($B23-1)</f>
        <v/>
      </c>
      <c r="K23" s="15">
        <f>$H23-$I23-$J23</f>
        <v/>
      </c>
      <c r="L23" s="15">
        <f>CHOOSE(Assumptions!$C$9,Assumptions!$C$49*(1+Assumptions!$C$50)^($B23-1),Assumptions!$C$51*$H23,Assumptions!$C$52*MAX(0,$K23),Assumptions!$C$53+Assumptions!$C$54*$H23,IF($B23&lt;=Assumptions!$C$55,0,Assumptions!$C$56*(1+Assumptions!$C$57)^($B23-Assumptions!$C$55-1)))</f>
        <v/>
      </c>
      <c r="M23" s="15">
        <f>$K23-$L23</f>
        <v/>
      </c>
      <c r="N23" s="15">
        <f>$H23-$I23-$J23</f>
        <v/>
      </c>
    </row>
    <row r="24">
      <c r="B24" s="32" t="n">
        <v>16</v>
      </c>
      <c r="C24" s="13">
        <f>Assumptions!$C$30*MIN(1,$B24/Assumptions!$C$31)</f>
        <v/>
      </c>
      <c r="D24" s="16">
        <f>Assumptions!$C$14*MIN(1,$B24/Assumptions!$C$15)</f>
        <v/>
      </c>
      <c r="E24" s="13">
        <f>$C24*$D24</f>
        <v/>
      </c>
      <c r="F24" s="13">
        <f>$C24*Assumptions!$C$32</f>
        <v/>
      </c>
      <c r="G24" s="13">
        <f>Assumptions!$C$20*MIN(1,$B24/Assumptions!$C$15)</f>
        <v/>
      </c>
      <c r="H24" s="15">
        <f>(($E24*Assumptions!$C$16+$F24*Assumptions!$C$17+$G24*Assumptions!$C$18+($E24*Assumptions!$C$33)*Assumptions!$C$19)*12*(1+Assumptions!$C$35)^($B24-1))+(Assumptions!$C$21*MIN(1,$B24/Assumptions!$C$31))+((MAX(0,($E24+$F24+$G24)-(($E23+$F23+$G23)))+(($E23+$F23+$G23))*Assumptions!$C$22)*Assumptions!$C$34)</f>
        <v/>
      </c>
      <c r="I24" s="15">
        <f>($E24+$F24+$G24)*Assumptions!$C$36*(1+Assumptions!$C$24)^($B24-1)+Assumptions!$C$37*(Construction_Budget!$E$15*Assumptions!$C$25)*(1+Assumptions!$C$24)^($B24-1)+Assumptions!$C$38*Assumptions!$C$39*(1+Assumptions!$C$24)^($B24-1)+Assumptions!$C$40*$H24+Assumptions!$C$41*$H24+Assumptions!$C$23*((($E24*Assumptions!$C$16+$F24*Assumptions!$C$17+$G24*Assumptions!$C$18+($E24*Assumptions!$C$33)*Assumptions!$C$19)*12*(1+Assumptions!$C$35)^($B24-1))+(Assumptions!$C$21*MIN(1,$B24/Assumptions!$C$31)))</f>
        <v/>
      </c>
      <c r="J24" s="15">
        <f>(Construction_Budget!$E$8*Assumptions!$C$25)/Assumptions!$C$42*(1+Assumptions!$C$24)^($B24-1)</f>
        <v/>
      </c>
      <c r="K24" s="15">
        <f>$H24-$I24-$J24</f>
        <v/>
      </c>
      <c r="L24" s="15">
        <f>CHOOSE(Assumptions!$C$9,Assumptions!$C$49*(1+Assumptions!$C$50)^($B24-1),Assumptions!$C$51*$H24,Assumptions!$C$52*MAX(0,$K24),Assumptions!$C$53+Assumptions!$C$54*$H24,IF($B24&lt;=Assumptions!$C$55,0,Assumptions!$C$56*(1+Assumptions!$C$57)^($B24-Assumptions!$C$55-1)))</f>
        <v/>
      </c>
      <c r="M24" s="15">
        <f>$K24-$L24</f>
        <v/>
      </c>
      <c r="N24" s="15">
        <f>$H24-$I24-$J24</f>
        <v/>
      </c>
    </row>
    <row r="25">
      <c r="B25" s="32" t="n">
        <v>17</v>
      </c>
      <c r="C25" s="13">
        <f>Assumptions!$C$30*MIN(1,$B25/Assumptions!$C$31)</f>
        <v/>
      </c>
      <c r="D25" s="16">
        <f>Assumptions!$C$14*MIN(1,$B25/Assumptions!$C$15)</f>
        <v/>
      </c>
      <c r="E25" s="13">
        <f>$C25*$D25</f>
        <v/>
      </c>
      <c r="F25" s="13">
        <f>$C25*Assumptions!$C$32</f>
        <v/>
      </c>
      <c r="G25" s="13">
        <f>Assumptions!$C$20*MIN(1,$B25/Assumptions!$C$15)</f>
        <v/>
      </c>
      <c r="H25" s="15">
        <f>(($E25*Assumptions!$C$16+$F25*Assumptions!$C$17+$G25*Assumptions!$C$18+($E25*Assumptions!$C$33)*Assumptions!$C$19)*12*(1+Assumptions!$C$35)^($B25-1))+(Assumptions!$C$21*MIN(1,$B25/Assumptions!$C$31))+((MAX(0,($E25+$F25+$G25)-(($E24+$F24+$G24)))+(($E24+$F24+$G24))*Assumptions!$C$22)*Assumptions!$C$34)</f>
        <v/>
      </c>
      <c r="I25" s="15">
        <f>($E25+$F25+$G25)*Assumptions!$C$36*(1+Assumptions!$C$24)^($B25-1)+Assumptions!$C$37*(Construction_Budget!$E$15*Assumptions!$C$25)*(1+Assumptions!$C$24)^($B25-1)+Assumptions!$C$38*Assumptions!$C$39*(1+Assumptions!$C$24)^($B25-1)+Assumptions!$C$40*$H25+Assumptions!$C$41*$H25+Assumptions!$C$23*((($E25*Assumptions!$C$16+$F25*Assumptions!$C$17+$G25*Assumptions!$C$18+($E25*Assumptions!$C$33)*Assumptions!$C$19)*12*(1+Assumptions!$C$35)^($B25-1))+(Assumptions!$C$21*MIN(1,$B25/Assumptions!$C$31)))</f>
        <v/>
      </c>
      <c r="J25" s="15">
        <f>(Construction_Budget!$E$8*Assumptions!$C$25)/Assumptions!$C$42*(1+Assumptions!$C$24)^($B25-1)</f>
        <v/>
      </c>
      <c r="K25" s="15">
        <f>$H25-$I25-$J25</f>
        <v/>
      </c>
      <c r="L25" s="15">
        <f>CHOOSE(Assumptions!$C$9,Assumptions!$C$49*(1+Assumptions!$C$50)^($B25-1),Assumptions!$C$51*$H25,Assumptions!$C$52*MAX(0,$K25),Assumptions!$C$53+Assumptions!$C$54*$H25,IF($B25&lt;=Assumptions!$C$55,0,Assumptions!$C$56*(1+Assumptions!$C$57)^($B25-Assumptions!$C$55-1)))</f>
        <v/>
      </c>
      <c r="M25" s="15">
        <f>$K25-$L25</f>
        <v/>
      </c>
      <c r="N25" s="15">
        <f>$H25-$I25-$J25</f>
        <v/>
      </c>
    </row>
    <row r="26">
      <c r="B26" s="32" t="n">
        <v>18</v>
      </c>
      <c r="C26" s="13">
        <f>Assumptions!$C$30*MIN(1,$B26/Assumptions!$C$31)</f>
        <v/>
      </c>
      <c r="D26" s="16">
        <f>Assumptions!$C$14*MIN(1,$B26/Assumptions!$C$15)</f>
        <v/>
      </c>
      <c r="E26" s="13">
        <f>$C26*$D26</f>
        <v/>
      </c>
      <c r="F26" s="13">
        <f>$C26*Assumptions!$C$32</f>
        <v/>
      </c>
      <c r="G26" s="13">
        <f>Assumptions!$C$20*MIN(1,$B26/Assumptions!$C$15)</f>
        <v/>
      </c>
      <c r="H26" s="15">
        <f>(($E26*Assumptions!$C$16+$F26*Assumptions!$C$17+$G26*Assumptions!$C$18+($E26*Assumptions!$C$33)*Assumptions!$C$19)*12*(1+Assumptions!$C$35)^($B26-1))+(Assumptions!$C$21*MIN(1,$B26/Assumptions!$C$31))+((MAX(0,($E26+$F26+$G26)-(($E25+$F25+$G25)))+(($E25+$F25+$G25))*Assumptions!$C$22)*Assumptions!$C$34)</f>
        <v/>
      </c>
      <c r="I26" s="15">
        <f>($E26+$F26+$G26)*Assumptions!$C$36*(1+Assumptions!$C$24)^($B26-1)+Assumptions!$C$37*(Construction_Budget!$E$15*Assumptions!$C$25)*(1+Assumptions!$C$24)^($B26-1)+Assumptions!$C$38*Assumptions!$C$39*(1+Assumptions!$C$24)^($B26-1)+Assumptions!$C$40*$H26+Assumptions!$C$41*$H26+Assumptions!$C$23*((($E26*Assumptions!$C$16+$F26*Assumptions!$C$17+$G26*Assumptions!$C$18+($E26*Assumptions!$C$33)*Assumptions!$C$19)*12*(1+Assumptions!$C$35)^($B26-1))+(Assumptions!$C$21*MIN(1,$B26/Assumptions!$C$31)))</f>
        <v/>
      </c>
      <c r="J26" s="15">
        <f>(Construction_Budget!$E$8*Assumptions!$C$25)/Assumptions!$C$42*(1+Assumptions!$C$24)^($B26-1)</f>
        <v/>
      </c>
      <c r="K26" s="15">
        <f>$H26-$I26-$J26</f>
        <v/>
      </c>
      <c r="L26" s="15">
        <f>CHOOSE(Assumptions!$C$9,Assumptions!$C$49*(1+Assumptions!$C$50)^($B26-1),Assumptions!$C$51*$H26,Assumptions!$C$52*MAX(0,$K26),Assumptions!$C$53+Assumptions!$C$54*$H26,IF($B26&lt;=Assumptions!$C$55,0,Assumptions!$C$56*(1+Assumptions!$C$57)^($B26-Assumptions!$C$55-1)))</f>
        <v/>
      </c>
      <c r="M26" s="15">
        <f>$K26-$L26</f>
        <v/>
      </c>
      <c r="N26" s="15">
        <f>$H26-$I26-$J26</f>
        <v/>
      </c>
    </row>
    <row r="27">
      <c r="B27" s="32" t="n">
        <v>19</v>
      </c>
      <c r="C27" s="13">
        <f>Assumptions!$C$30*MIN(1,$B27/Assumptions!$C$31)</f>
        <v/>
      </c>
      <c r="D27" s="16">
        <f>Assumptions!$C$14*MIN(1,$B27/Assumptions!$C$15)</f>
        <v/>
      </c>
      <c r="E27" s="13">
        <f>$C27*$D27</f>
        <v/>
      </c>
      <c r="F27" s="13">
        <f>$C27*Assumptions!$C$32</f>
        <v/>
      </c>
      <c r="G27" s="13">
        <f>Assumptions!$C$20*MIN(1,$B27/Assumptions!$C$15)</f>
        <v/>
      </c>
      <c r="H27" s="15">
        <f>(($E27*Assumptions!$C$16+$F27*Assumptions!$C$17+$G27*Assumptions!$C$18+($E27*Assumptions!$C$33)*Assumptions!$C$19)*12*(1+Assumptions!$C$35)^($B27-1))+(Assumptions!$C$21*MIN(1,$B27/Assumptions!$C$31))+((MAX(0,($E27+$F27+$G27)-(($E26+$F26+$G26)))+(($E26+$F26+$G26))*Assumptions!$C$22)*Assumptions!$C$34)</f>
        <v/>
      </c>
      <c r="I27" s="15">
        <f>($E27+$F27+$G27)*Assumptions!$C$36*(1+Assumptions!$C$24)^($B27-1)+Assumptions!$C$37*(Construction_Budget!$E$15*Assumptions!$C$25)*(1+Assumptions!$C$24)^($B27-1)+Assumptions!$C$38*Assumptions!$C$39*(1+Assumptions!$C$24)^($B27-1)+Assumptions!$C$40*$H27+Assumptions!$C$41*$H27+Assumptions!$C$23*((($E27*Assumptions!$C$16+$F27*Assumptions!$C$17+$G27*Assumptions!$C$18+($E27*Assumptions!$C$33)*Assumptions!$C$19)*12*(1+Assumptions!$C$35)^($B27-1))+(Assumptions!$C$21*MIN(1,$B27/Assumptions!$C$31)))</f>
        <v/>
      </c>
      <c r="J27" s="15">
        <f>(Construction_Budget!$E$8*Assumptions!$C$25)/Assumptions!$C$42*(1+Assumptions!$C$24)^($B27-1)</f>
        <v/>
      </c>
      <c r="K27" s="15">
        <f>$H27-$I27-$J27</f>
        <v/>
      </c>
      <c r="L27" s="15">
        <f>CHOOSE(Assumptions!$C$9,Assumptions!$C$49*(1+Assumptions!$C$50)^($B27-1),Assumptions!$C$51*$H27,Assumptions!$C$52*MAX(0,$K27),Assumptions!$C$53+Assumptions!$C$54*$H27,IF($B27&lt;=Assumptions!$C$55,0,Assumptions!$C$56*(1+Assumptions!$C$57)^($B27-Assumptions!$C$55-1)))</f>
        <v/>
      </c>
      <c r="M27" s="15">
        <f>$K27-$L27</f>
        <v/>
      </c>
      <c r="N27" s="15">
        <f>$H27-$I27-$J27</f>
        <v/>
      </c>
    </row>
    <row r="28">
      <c r="B28" s="32" t="n">
        <v>20</v>
      </c>
      <c r="C28" s="13">
        <f>Assumptions!$C$30*MIN(1,$B28/Assumptions!$C$31)</f>
        <v/>
      </c>
      <c r="D28" s="16">
        <f>Assumptions!$C$14*MIN(1,$B28/Assumptions!$C$15)</f>
        <v/>
      </c>
      <c r="E28" s="13">
        <f>$C28*$D28</f>
        <v/>
      </c>
      <c r="F28" s="13">
        <f>$C28*Assumptions!$C$32</f>
        <v/>
      </c>
      <c r="G28" s="13">
        <f>Assumptions!$C$20*MIN(1,$B28/Assumptions!$C$15)</f>
        <v/>
      </c>
      <c r="H28" s="15">
        <f>(($E28*Assumptions!$C$16+$F28*Assumptions!$C$17+$G28*Assumptions!$C$18+($E28*Assumptions!$C$33)*Assumptions!$C$19)*12*(1+Assumptions!$C$35)^($B28-1))+(Assumptions!$C$21*MIN(1,$B28/Assumptions!$C$31))+((MAX(0,($E28+$F28+$G28)-(($E27+$F27+$G27)))+(($E27+$F27+$G27))*Assumptions!$C$22)*Assumptions!$C$34)</f>
        <v/>
      </c>
      <c r="I28" s="15">
        <f>($E28+$F28+$G28)*Assumptions!$C$36*(1+Assumptions!$C$24)^($B28-1)+Assumptions!$C$37*(Construction_Budget!$E$15*Assumptions!$C$25)*(1+Assumptions!$C$24)^($B28-1)+Assumptions!$C$38*Assumptions!$C$39*(1+Assumptions!$C$24)^($B28-1)+Assumptions!$C$40*$H28+Assumptions!$C$41*$H28+Assumptions!$C$23*((($E28*Assumptions!$C$16+$F28*Assumptions!$C$17+$G28*Assumptions!$C$18+($E28*Assumptions!$C$33)*Assumptions!$C$19)*12*(1+Assumptions!$C$35)^($B28-1))+(Assumptions!$C$21*MIN(1,$B28/Assumptions!$C$31)))</f>
        <v/>
      </c>
      <c r="J28" s="15">
        <f>(Construction_Budget!$E$8*Assumptions!$C$25)/Assumptions!$C$42*(1+Assumptions!$C$24)^($B28-1)</f>
        <v/>
      </c>
      <c r="K28" s="15">
        <f>$H28-$I28-$J28</f>
        <v/>
      </c>
      <c r="L28" s="15">
        <f>CHOOSE(Assumptions!$C$9,Assumptions!$C$49*(1+Assumptions!$C$50)^($B28-1),Assumptions!$C$51*$H28,Assumptions!$C$52*MAX(0,$K28),Assumptions!$C$53+Assumptions!$C$54*$H28,IF($B28&lt;=Assumptions!$C$55,0,Assumptions!$C$56*(1+Assumptions!$C$57)^($B28-Assumptions!$C$55-1)))</f>
        <v/>
      </c>
      <c r="M28" s="15">
        <f>$K28-$L28</f>
        <v/>
      </c>
      <c r="N28" s="15">
        <f>$H28-$I28-$J28</f>
        <v/>
      </c>
    </row>
    <row r="29">
      <c r="B29" s="32" t="n">
        <v>21</v>
      </c>
      <c r="C29" s="13">
        <f>Assumptions!$C$30*MIN(1,$B29/Assumptions!$C$31)</f>
        <v/>
      </c>
      <c r="D29" s="16">
        <f>Assumptions!$C$14*MIN(1,$B29/Assumptions!$C$15)</f>
        <v/>
      </c>
      <c r="E29" s="13">
        <f>$C29*$D29</f>
        <v/>
      </c>
      <c r="F29" s="13">
        <f>$C29*Assumptions!$C$32</f>
        <v/>
      </c>
      <c r="G29" s="13">
        <f>Assumptions!$C$20*MIN(1,$B29/Assumptions!$C$15)</f>
        <v/>
      </c>
      <c r="H29" s="15">
        <f>(($E29*Assumptions!$C$16+$F29*Assumptions!$C$17+$G29*Assumptions!$C$18+($E29*Assumptions!$C$33)*Assumptions!$C$19)*12*(1+Assumptions!$C$35)^($B29-1))+(Assumptions!$C$21*MIN(1,$B29/Assumptions!$C$31))+((MAX(0,($E29+$F29+$G29)-(($E28+$F28+$G28)))+(($E28+$F28+$G28))*Assumptions!$C$22)*Assumptions!$C$34)</f>
        <v/>
      </c>
      <c r="I29" s="15">
        <f>($E29+$F29+$G29)*Assumptions!$C$36*(1+Assumptions!$C$24)^($B29-1)+Assumptions!$C$37*(Construction_Budget!$E$15*Assumptions!$C$25)*(1+Assumptions!$C$24)^($B29-1)+Assumptions!$C$38*Assumptions!$C$39*(1+Assumptions!$C$24)^($B29-1)+Assumptions!$C$40*$H29+Assumptions!$C$41*$H29+Assumptions!$C$23*((($E29*Assumptions!$C$16+$F29*Assumptions!$C$17+$G29*Assumptions!$C$18+($E29*Assumptions!$C$33)*Assumptions!$C$19)*12*(1+Assumptions!$C$35)^($B29-1))+(Assumptions!$C$21*MIN(1,$B29/Assumptions!$C$31)))</f>
        <v/>
      </c>
      <c r="J29" s="15">
        <f>(Construction_Budget!$E$8*Assumptions!$C$25)/Assumptions!$C$42*(1+Assumptions!$C$24)^($B29-1)</f>
        <v/>
      </c>
      <c r="K29" s="15">
        <f>$H29-$I29-$J29</f>
        <v/>
      </c>
      <c r="L29" s="15">
        <f>CHOOSE(Assumptions!$C$9,Assumptions!$C$49*(1+Assumptions!$C$50)^($B29-1),Assumptions!$C$51*$H29,Assumptions!$C$52*MAX(0,$K29),Assumptions!$C$53+Assumptions!$C$54*$H29,IF($B29&lt;=Assumptions!$C$55,0,Assumptions!$C$56*(1+Assumptions!$C$57)^($B29-Assumptions!$C$55-1)))</f>
        <v/>
      </c>
      <c r="M29" s="15">
        <f>$K29-$L29</f>
        <v/>
      </c>
      <c r="N29" s="15">
        <f>$H29-$I29-$J29</f>
        <v/>
      </c>
    </row>
    <row r="30">
      <c r="B30" s="32" t="n">
        <v>22</v>
      </c>
      <c r="C30" s="13">
        <f>Assumptions!$C$30*MIN(1,$B30/Assumptions!$C$31)</f>
        <v/>
      </c>
      <c r="D30" s="16">
        <f>Assumptions!$C$14*MIN(1,$B30/Assumptions!$C$15)</f>
        <v/>
      </c>
      <c r="E30" s="13">
        <f>$C30*$D30</f>
        <v/>
      </c>
      <c r="F30" s="13">
        <f>$C30*Assumptions!$C$32</f>
        <v/>
      </c>
      <c r="G30" s="13">
        <f>Assumptions!$C$20*MIN(1,$B30/Assumptions!$C$15)</f>
        <v/>
      </c>
      <c r="H30" s="15">
        <f>(($E30*Assumptions!$C$16+$F30*Assumptions!$C$17+$G30*Assumptions!$C$18+($E30*Assumptions!$C$33)*Assumptions!$C$19)*12*(1+Assumptions!$C$35)^($B30-1))+(Assumptions!$C$21*MIN(1,$B30/Assumptions!$C$31))+((MAX(0,($E30+$F30+$G30)-(($E29+$F29+$G29)))+(($E29+$F29+$G29))*Assumptions!$C$22)*Assumptions!$C$34)</f>
        <v/>
      </c>
      <c r="I30" s="15">
        <f>($E30+$F30+$G30)*Assumptions!$C$36*(1+Assumptions!$C$24)^($B30-1)+Assumptions!$C$37*(Construction_Budget!$E$15*Assumptions!$C$25)*(1+Assumptions!$C$24)^($B30-1)+Assumptions!$C$38*Assumptions!$C$39*(1+Assumptions!$C$24)^($B30-1)+Assumptions!$C$40*$H30+Assumptions!$C$41*$H30+Assumptions!$C$23*((($E30*Assumptions!$C$16+$F30*Assumptions!$C$17+$G30*Assumptions!$C$18+($E30*Assumptions!$C$33)*Assumptions!$C$19)*12*(1+Assumptions!$C$35)^($B30-1))+(Assumptions!$C$21*MIN(1,$B30/Assumptions!$C$31)))</f>
        <v/>
      </c>
      <c r="J30" s="15">
        <f>(Construction_Budget!$E$8*Assumptions!$C$25)/Assumptions!$C$42*(1+Assumptions!$C$24)^($B30-1)</f>
        <v/>
      </c>
      <c r="K30" s="15">
        <f>$H30-$I30-$J30</f>
        <v/>
      </c>
      <c r="L30" s="15">
        <f>CHOOSE(Assumptions!$C$9,Assumptions!$C$49*(1+Assumptions!$C$50)^($B30-1),Assumptions!$C$51*$H30,Assumptions!$C$52*MAX(0,$K30),Assumptions!$C$53+Assumptions!$C$54*$H30,IF($B30&lt;=Assumptions!$C$55,0,Assumptions!$C$56*(1+Assumptions!$C$57)^($B30-Assumptions!$C$55-1)))</f>
        <v/>
      </c>
      <c r="M30" s="15">
        <f>$K30-$L30</f>
        <v/>
      </c>
      <c r="N30" s="15">
        <f>$H30-$I30-$J30</f>
        <v/>
      </c>
    </row>
    <row r="31">
      <c r="B31" s="32" t="n">
        <v>23</v>
      </c>
      <c r="C31" s="13">
        <f>Assumptions!$C$30*MIN(1,$B31/Assumptions!$C$31)</f>
        <v/>
      </c>
      <c r="D31" s="16">
        <f>Assumptions!$C$14*MIN(1,$B31/Assumptions!$C$15)</f>
        <v/>
      </c>
      <c r="E31" s="13">
        <f>$C31*$D31</f>
        <v/>
      </c>
      <c r="F31" s="13">
        <f>$C31*Assumptions!$C$32</f>
        <v/>
      </c>
      <c r="G31" s="13">
        <f>Assumptions!$C$20*MIN(1,$B31/Assumptions!$C$15)</f>
        <v/>
      </c>
      <c r="H31" s="15">
        <f>(($E31*Assumptions!$C$16+$F31*Assumptions!$C$17+$G31*Assumptions!$C$18+($E31*Assumptions!$C$33)*Assumptions!$C$19)*12*(1+Assumptions!$C$35)^($B31-1))+(Assumptions!$C$21*MIN(1,$B31/Assumptions!$C$31))+((MAX(0,($E31+$F31+$G31)-(($E30+$F30+$G30)))+(($E30+$F30+$G30))*Assumptions!$C$22)*Assumptions!$C$34)</f>
        <v/>
      </c>
      <c r="I31" s="15">
        <f>($E31+$F31+$G31)*Assumptions!$C$36*(1+Assumptions!$C$24)^($B31-1)+Assumptions!$C$37*(Construction_Budget!$E$15*Assumptions!$C$25)*(1+Assumptions!$C$24)^($B31-1)+Assumptions!$C$38*Assumptions!$C$39*(1+Assumptions!$C$24)^($B31-1)+Assumptions!$C$40*$H31+Assumptions!$C$41*$H31+Assumptions!$C$23*((($E31*Assumptions!$C$16+$F31*Assumptions!$C$17+$G31*Assumptions!$C$18+($E31*Assumptions!$C$33)*Assumptions!$C$19)*12*(1+Assumptions!$C$35)^($B31-1))+(Assumptions!$C$21*MIN(1,$B31/Assumptions!$C$31)))</f>
        <v/>
      </c>
      <c r="J31" s="15">
        <f>(Construction_Budget!$E$8*Assumptions!$C$25)/Assumptions!$C$42*(1+Assumptions!$C$24)^($B31-1)</f>
        <v/>
      </c>
      <c r="K31" s="15">
        <f>$H31-$I31-$J31</f>
        <v/>
      </c>
      <c r="L31" s="15">
        <f>CHOOSE(Assumptions!$C$9,Assumptions!$C$49*(1+Assumptions!$C$50)^($B31-1),Assumptions!$C$51*$H31,Assumptions!$C$52*MAX(0,$K31),Assumptions!$C$53+Assumptions!$C$54*$H31,IF($B31&lt;=Assumptions!$C$55,0,Assumptions!$C$56*(1+Assumptions!$C$57)^($B31-Assumptions!$C$55-1)))</f>
        <v/>
      </c>
      <c r="M31" s="15">
        <f>$K31-$L31</f>
        <v/>
      </c>
      <c r="N31" s="15">
        <f>$H31-$I31-$J31</f>
        <v/>
      </c>
    </row>
    <row r="32">
      <c r="B32" s="32" t="n">
        <v>24</v>
      </c>
      <c r="C32" s="13">
        <f>Assumptions!$C$30*MIN(1,$B32/Assumptions!$C$31)</f>
        <v/>
      </c>
      <c r="D32" s="16">
        <f>Assumptions!$C$14*MIN(1,$B32/Assumptions!$C$15)</f>
        <v/>
      </c>
      <c r="E32" s="13">
        <f>$C32*$D32</f>
        <v/>
      </c>
      <c r="F32" s="13">
        <f>$C32*Assumptions!$C$32</f>
        <v/>
      </c>
      <c r="G32" s="13">
        <f>Assumptions!$C$20*MIN(1,$B32/Assumptions!$C$15)</f>
        <v/>
      </c>
      <c r="H32" s="15">
        <f>(($E32*Assumptions!$C$16+$F32*Assumptions!$C$17+$G32*Assumptions!$C$18+($E32*Assumptions!$C$33)*Assumptions!$C$19)*12*(1+Assumptions!$C$35)^($B32-1))+(Assumptions!$C$21*MIN(1,$B32/Assumptions!$C$31))+((MAX(0,($E32+$F32+$G32)-(($E31+$F31+$G31)))+(($E31+$F31+$G31))*Assumptions!$C$22)*Assumptions!$C$34)</f>
        <v/>
      </c>
      <c r="I32" s="15">
        <f>($E32+$F32+$G32)*Assumptions!$C$36*(1+Assumptions!$C$24)^($B32-1)+Assumptions!$C$37*(Construction_Budget!$E$15*Assumptions!$C$25)*(1+Assumptions!$C$24)^($B32-1)+Assumptions!$C$38*Assumptions!$C$39*(1+Assumptions!$C$24)^($B32-1)+Assumptions!$C$40*$H32+Assumptions!$C$41*$H32+Assumptions!$C$23*((($E32*Assumptions!$C$16+$F32*Assumptions!$C$17+$G32*Assumptions!$C$18+($E32*Assumptions!$C$33)*Assumptions!$C$19)*12*(1+Assumptions!$C$35)^($B32-1))+(Assumptions!$C$21*MIN(1,$B32/Assumptions!$C$31)))</f>
        <v/>
      </c>
      <c r="J32" s="15">
        <f>(Construction_Budget!$E$8*Assumptions!$C$25)/Assumptions!$C$42*(1+Assumptions!$C$24)^($B32-1)</f>
        <v/>
      </c>
      <c r="K32" s="15">
        <f>$H32-$I32-$J32</f>
        <v/>
      </c>
      <c r="L32" s="15">
        <f>CHOOSE(Assumptions!$C$9,Assumptions!$C$49*(1+Assumptions!$C$50)^($B32-1),Assumptions!$C$51*$H32,Assumptions!$C$52*MAX(0,$K32),Assumptions!$C$53+Assumptions!$C$54*$H32,IF($B32&lt;=Assumptions!$C$55,0,Assumptions!$C$56*(1+Assumptions!$C$57)^($B32-Assumptions!$C$55-1)))</f>
        <v/>
      </c>
      <c r="M32" s="15">
        <f>$K32-$L32</f>
        <v/>
      </c>
      <c r="N32" s="15">
        <f>$H32-$I32-$J32</f>
        <v/>
      </c>
    </row>
    <row r="33">
      <c r="B33" s="32" t="n">
        <v>25</v>
      </c>
      <c r="C33" s="13">
        <f>Assumptions!$C$30*MIN(1,$B33/Assumptions!$C$31)</f>
        <v/>
      </c>
      <c r="D33" s="16">
        <f>Assumptions!$C$14*MIN(1,$B33/Assumptions!$C$15)</f>
        <v/>
      </c>
      <c r="E33" s="13">
        <f>$C33*$D33</f>
        <v/>
      </c>
      <c r="F33" s="13">
        <f>$C33*Assumptions!$C$32</f>
        <v/>
      </c>
      <c r="G33" s="13">
        <f>Assumptions!$C$20*MIN(1,$B33/Assumptions!$C$15)</f>
        <v/>
      </c>
      <c r="H33" s="15">
        <f>(($E33*Assumptions!$C$16+$F33*Assumptions!$C$17+$G33*Assumptions!$C$18+($E33*Assumptions!$C$33)*Assumptions!$C$19)*12*(1+Assumptions!$C$35)^($B33-1))+(Assumptions!$C$21*MIN(1,$B33/Assumptions!$C$31))+((MAX(0,($E33+$F33+$G33)-(($E32+$F32+$G32)))+(($E32+$F32+$G32))*Assumptions!$C$22)*Assumptions!$C$34)</f>
        <v/>
      </c>
      <c r="I33" s="15">
        <f>($E33+$F33+$G33)*Assumptions!$C$36*(1+Assumptions!$C$24)^($B33-1)+Assumptions!$C$37*(Construction_Budget!$E$15*Assumptions!$C$25)*(1+Assumptions!$C$24)^($B33-1)+Assumptions!$C$38*Assumptions!$C$39*(1+Assumptions!$C$24)^($B33-1)+Assumptions!$C$40*$H33+Assumptions!$C$41*$H33+Assumptions!$C$23*((($E33*Assumptions!$C$16+$F33*Assumptions!$C$17+$G33*Assumptions!$C$18+($E33*Assumptions!$C$33)*Assumptions!$C$19)*12*(1+Assumptions!$C$35)^($B33-1))+(Assumptions!$C$21*MIN(1,$B33/Assumptions!$C$31)))</f>
        <v/>
      </c>
      <c r="J33" s="15">
        <f>(Construction_Budget!$E$8*Assumptions!$C$25)/Assumptions!$C$42*(1+Assumptions!$C$24)^($B33-1)</f>
        <v/>
      </c>
      <c r="K33" s="15">
        <f>$H33-$I33-$J33</f>
        <v/>
      </c>
      <c r="L33" s="15">
        <f>CHOOSE(Assumptions!$C$9,Assumptions!$C$49*(1+Assumptions!$C$50)^($B33-1),Assumptions!$C$51*$H33,Assumptions!$C$52*MAX(0,$K33),Assumptions!$C$53+Assumptions!$C$54*$H33,IF($B33&lt;=Assumptions!$C$55,0,Assumptions!$C$56*(1+Assumptions!$C$57)^($B33-Assumptions!$C$55-1)))</f>
        <v/>
      </c>
      <c r="M33" s="15">
        <f>$K33-$L33</f>
        <v/>
      </c>
      <c r="N33" s="15">
        <f>$H33-$I33-$J33</f>
        <v/>
      </c>
    </row>
    <row r="34">
      <c r="B34" s="32" t="n">
        <v>26</v>
      </c>
      <c r="C34" s="13">
        <f>Assumptions!$C$30*MIN(1,$B34/Assumptions!$C$31)</f>
        <v/>
      </c>
      <c r="D34" s="16">
        <f>Assumptions!$C$14*MIN(1,$B34/Assumptions!$C$15)</f>
        <v/>
      </c>
      <c r="E34" s="13">
        <f>$C34*$D34</f>
        <v/>
      </c>
      <c r="F34" s="13">
        <f>$C34*Assumptions!$C$32</f>
        <v/>
      </c>
      <c r="G34" s="13">
        <f>Assumptions!$C$20*MIN(1,$B34/Assumptions!$C$15)</f>
        <v/>
      </c>
      <c r="H34" s="15">
        <f>(($E34*Assumptions!$C$16+$F34*Assumptions!$C$17+$G34*Assumptions!$C$18+($E34*Assumptions!$C$33)*Assumptions!$C$19)*12*(1+Assumptions!$C$35)^($B34-1))+(Assumptions!$C$21*MIN(1,$B34/Assumptions!$C$31))+((MAX(0,($E34+$F34+$G34)-(($E33+$F33+$G33)))+(($E33+$F33+$G33))*Assumptions!$C$22)*Assumptions!$C$34)</f>
        <v/>
      </c>
      <c r="I34" s="15">
        <f>($E34+$F34+$G34)*Assumptions!$C$36*(1+Assumptions!$C$24)^($B34-1)+Assumptions!$C$37*(Construction_Budget!$E$15*Assumptions!$C$25)*(1+Assumptions!$C$24)^($B34-1)+Assumptions!$C$38*Assumptions!$C$39*(1+Assumptions!$C$24)^($B34-1)+Assumptions!$C$40*$H34+Assumptions!$C$41*$H34+Assumptions!$C$23*((($E34*Assumptions!$C$16+$F34*Assumptions!$C$17+$G34*Assumptions!$C$18+($E34*Assumptions!$C$33)*Assumptions!$C$19)*12*(1+Assumptions!$C$35)^($B34-1))+(Assumptions!$C$21*MIN(1,$B34/Assumptions!$C$31)))</f>
        <v/>
      </c>
      <c r="J34" s="15">
        <f>(Construction_Budget!$E$8*Assumptions!$C$25)/Assumptions!$C$42*(1+Assumptions!$C$24)^($B34-1)</f>
        <v/>
      </c>
      <c r="K34" s="15">
        <f>$H34-$I34-$J34</f>
        <v/>
      </c>
      <c r="L34" s="15">
        <f>CHOOSE(Assumptions!$C$9,Assumptions!$C$49*(1+Assumptions!$C$50)^($B34-1),Assumptions!$C$51*$H34,Assumptions!$C$52*MAX(0,$K34),Assumptions!$C$53+Assumptions!$C$54*$H34,IF($B34&lt;=Assumptions!$C$55,0,Assumptions!$C$56*(1+Assumptions!$C$57)^($B34-Assumptions!$C$55-1)))</f>
        <v/>
      </c>
      <c r="M34" s="15">
        <f>$K34-$L34</f>
        <v/>
      </c>
      <c r="N34" s="15">
        <f>$H34-$I34-$J34</f>
        <v/>
      </c>
    </row>
    <row r="35">
      <c r="B35" s="32" t="n">
        <v>27</v>
      </c>
      <c r="C35" s="13">
        <f>Assumptions!$C$30*MIN(1,$B35/Assumptions!$C$31)</f>
        <v/>
      </c>
      <c r="D35" s="16">
        <f>Assumptions!$C$14*MIN(1,$B35/Assumptions!$C$15)</f>
        <v/>
      </c>
      <c r="E35" s="13">
        <f>$C35*$D35</f>
        <v/>
      </c>
      <c r="F35" s="13">
        <f>$C35*Assumptions!$C$32</f>
        <v/>
      </c>
      <c r="G35" s="13">
        <f>Assumptions!$C$20*MIN(1,$B35/Assumptions!$C$15)</f>
        <v/>
      </c>
      <c r="H35" s="15">
        <f>(($E35*Assumptions!$C$16+$F35*Assumptions!$C$17+$G35*Assumptions!$C$18+($E35*Assumptions!$C$33)*Assumptions!$C$19)*12*(1+Assumptions!$C$35)^($B35-1))+(Assumptions!$C$21*MIN(1,$B35/Assumptions!$C$31))+((MAX(0,($E35+$F35+$G35)-(($E34+$F34+$G34)))+(($E34+$F34+$G34))*Assumptions!$C$22)*Assumptions!$C$34)</f>
        <v/>
      </c>
      <c r="I35" s="15">
        <f>($E35+$F35+$G35)*Assumptions!$C$36*(1+Assumptions!$C$24)^($B35-1)+Assumptions!$C$37*(Construction_Budget!$E$15*Assumptions!$C$25)*(1+Assumptions!$C$24)^($B35-1)+Assumptions!$C$38*Assumptions!$C$39*(1+Assumptions!$C$24)^($B35-1)+Assumptions!$C$40*$H35+Assumptions!$C$41*$H35+Assumptions!$C$23*((($E35*Assumptions!$C$16+$F35*Assumptions!$C$17+$G35*Assumptions!$C$18+($E35*Assumptions!$C$33)*Assumptions!$C$19)*12*(1+Assumptions!$C$35)^($B35-1))+(Assumptions!$C$21*MIN(1,$B35/Assumptions!$C$31)))</f>
        <v/>
      </c>
      <c r="J35" s="15">
        <f>(Construction_Budget!$E$8*Assumptions!$C$25)/Assumptions!$C$42*(1+Assumptions!$C$24)^($B35-1)</f>
        <v/>
      </c>
      <c r="K35" s="15">
        <f>$H35-$I35-$J35</f>
        <v/>
      </c>
      <c r="L35" s="15">
        <f>CHOOSE(Assumptions!$C$9,Assumptions!$C$49*(1+Assumptions!$C$50)^($B35-1),Assumptions!$C$51*$H35,Assumptions!$C$52*MAX(0,$K35),Assumptions!$C$53+Assumptions!$C$54*$H35,IF($B35&lt;=Assumptions!$C$55,0,Assumptions!$C$56*(1+Assumptions!$C$57)^($B35-Assumptions!$C$55-1)))</f>
        <v/>
      </c>
      <c r="M35" s="15">
        <f>$K35-$L35</f>
        <v/>
      </c>
      <c r="N35" s="15">
        <f>$H35-$I35-$J35</f>
        <v/>
      </c>
    </row>
    <row r="36">
      <c r="B36" s="32" t="n">
        <v>28</v>
      </c>
      <c r="C36" s="13">
        <f>Assumptions!$C$30*MIN(1,$B36/Assumptions!$C$31)</f>
        <v/>
      </c>
      <c r="D36" s="16">
        <f>Assumptions!$C$14*MIN(1,$B36/Assumptions!$C$15)</f>
        <v/>
      </c>
      <c r="E36" s="13">
        <f>$C36*$D36</f>
        <v/>
      </c>
      <c r="F36" s="13">
        <f>$C36*Assumptions!$C$32</f>
        <v/>
      </c>
      <c r="G36" s="13">
        <f>Assumptions!$C$20*MIN(1,$B36/Assumptions!$C$15)</f>
        <v/>
      </c>
      <c r="H36" s="15">
        <f>(($E36*Assumptions!$C$16+$F36*Assumptions!$C$17+$G36*Assumptions!$C$18+($E36*Assumptions!$C$33)*Assumptions!$C$19)*12*(1+Assumptions!$C$35)^($B36-1))+(Assumptions!$C$21*MIN(1,$B36/Assumptions!$C$31))+((MAX(0,($E36+$F36+$G36)-(($E35+$F35+$G35)))+(($E35+$F35+$G35))*Assumptions!$C$22)*Assumptions!$C$34)</f>
        <v/>
      </c>
      <c r="I36" s="15">
        <f>($E36+$F36+$G36)*Assumptions!$C$36*(1+Assumptions!$C$24)^($B36-1)+Assumptions!$C$37*(Construction_Budget!$E$15*Assumptions!$C$25)*(1+Assumptions!$C$24)^($B36-1)+Assumptions!$C$38*Assumptions!$C$39*(1+Assumptions!$C$24)^($B36-1)+Assumptions!$C$40*$H36+Assumptions!$C$41*$H36+Assumptions!$C$23*((($E36*Assumptions!$C$16+$F36*Assumptions!$C$17+$G36*Assumptions!$C$18+($E36*Assumptions!$C$33)*Assumptions!$C$19)*12*(1+Assumptions!$C$35)^($B36-1))+(Assumptions!$C$21*MIN(1,$B36/Assumptions!$C$31)))</f>
        <v/>
      </c>
      <c r="J36" s="15">
        <f>(Construction_Budget!$E$8*Assumptions!$C$25)/Assumptions!$C$42*(1+Assumptions!$C$24)^($B36-1)</f>
        <v/>
      </c>
      <c r="K36" s="15">
        <f>$H36-$I36-$J36</f>
        <v/>
      </c>
      <c r="L36" s="15">
        <f>CHOOSE(Assumptions!$C$9,Assumptions!$C$49*(1+Assumptions!$C$50)^($B36-1),Assumptions!$C$51*$H36,Assumptions!$C$52*MAX(0,$K36),Assumptions!$C$53+Assumptions!$C$54*$H36,IF($B36&lt;=Assumptions!$C$55,0,Assumptions!$C$56*(1+Assumptions!$C$57)^($B36-Assumptions!$C$55-1)))</f>
        <v/>
      </c>
      <c r="M36" s="15">
        <f>$K36-$L36</f>
        <v/>
      </c>
      <c r="N36" s="15">
        <f>$H36-$I36-$J36</f>
        <v/>
      </c>
    </row>
    <row r="37">
      <c r="B37" s="32" t="n">
        <v>29</v>
      </c>
      <c r="C37" s="13">
        <f>Assumptions!$C$30*MIN(1,$B37/Assumptions!$C$31)</f>
        <v/>
      </c>
      <c r="D37" s="16">
        <f>Assumptions!$C$14*MIN(1,$B37/Assumptions!$C$15)</f>
        <v/>
      </c>
      <c r="E37" s="13">
        <f>$C37*$D37</f>
        <v/>
      </c>
      <c r="F37" s="13">
        <f>$C37*Assumptions!$C$32</f>
        <v/>
      </c>
      <c r="G37" s="13">
        <f>Assumptions!$C$20*MIN(1,$B37/Assumptions!$C$15)</f>
        <v/>
      </c>
      <c r="H37" s="15">
        <f>(($E37*Assumptions!$C$16+$F37*Assumptions!$C$17+$G37*Assumptions!$C$18+($E37*Assumptions!$C$33)*Assumptions!$C$19)*12*(1+Assumptions!$C$35)^($B37-1))+(Assumptions!$C$21*MIN(1,$B37/Assumptions!$C$31))+((MAX(0,($E37+$F37+$G37)-(($E36+$F36+$G36)))+(($E36+$F36+$G36))*Assumptions!$C$22)*Assumptions!$C$34)</f>
        <v/>
      </c>
      <c r="I37" s="15">
        <f>($E37+$F37+$G37)*Assumptions!$C$36*(1+Assumptions!$C$24)^($B37-1)+Assumptions!$C$37*(Construction_Budget!$E$15*Assumptions!$C$25)*(1+Assumptions!$C$24)^($B37-1)+Assumptions!$C$38*Assumptions!$C$39*(1+Assumptions!$C$24)^($B37-1)+Assumptions!$C$40*$H37+Assumptions!$C$41*$H37+Assumptions!$C$23*((($E37*Assumptions!$C$16+$F37*Assumptions!$C$17+$G37*Assumptions!$C$18+($E37*Assumptions!$C$33)*Assumptions!$C$19)*12*(1+Assumptions!$C$35)^($B37-1))+(Assumptions!$C$21*MIN(1,$B37/Assumptions!$C$31)))</f>
        <v/>
      </c>
      <c r="J37" s="15">
        <f>(Construction_Budget!$E$8*Assumptions!$C$25)/Assumptions!$C$42*(1+Assumptions!$C$24)^($B37-1)</f>
        <v/>
      </c>
      <c r="K37" s="15">
        <f>$H37-$I37-$J37</f>
        <v/>
      </c>
      <c r="L37" s="15">
        <f>CHOOSE(Assumptions!$C$9,Assumptions!$C$49*(1+Assumptions!$C$50)^($B37-1),Assumptions!$C$51*$H37,Assumptions!$C$52*MAX(0,$K37),Assumptions!$C$53+Assumptions!$C$54*$H37,IF($B37&lt;=Assumptions!$C$55,0,Assumptions!$C$56*(1+Assumptions!$C$57)^($B37-Assumptions!$C$55-1)))</f>
        <v/>
      </c>
      <c r="M37" s="15">
        <f>$K37-$L37</f>
        <v/>
      </c>
      <c r="N37" s="15">
        <f>$H37-$I37-$J37</f>
        <v/>
      </c>
    </row>
    <row r="38">
      <c r="B38" s="32" t="n">
        <v>30</v>
      </c>
      <c r="C38" s="13">
        <f>Assumptions!$C$30*MIN(1,$B38/Assumptions!$C$31)</f>
        <v/>
      </c>
      <c r="D38" s="16">
        <f>Assumptions!$C$14*MIN(1,$B38/Assumptions!$C$15)</f>
        <v/>
      </c>
      <c r="E38" s="13">
        <f>$C38*$D38</f>
        <v/>
      </c>
      <c r="F38" s="13">
        <f>$C38*Assumptions!$C$32</f>
        <v/>
      </c>
      <c r="G38" s="13">
        <f>Assumptions!$C$20*MIN(1,$B38/Assumptions!$C$15)</f>
        <v/>
      </c>
      <c r="H38" s="15">
        <f>(($E38*Assumptions!$C$16+$F38*Assumptions!$C$17+$G38*Assumptions!$C$18+($E38*Assumptions!$C$33)*Assumptions!$C$19)*12*(1+Assumptions!$C$35)^($B38-1))+(Assumptions!$C$21*MIN(1,$B38/Assumptions!$C$31))+((MAX(0,($E38+$F38+$G38)-(($E37+$F37+$G37)))+(($E37+$F37+$G37))*Assumptions!$C$22)*Assumptions!$C$34)</f>
        <v/>
      </c>
      <c r="I38" s="15">
        <f>($E38+$F38+$G38)*Assumptions!$C$36*(1+Assumptions!$C$24)^($B38-1)+Assumptions!$C$37*(Construction_Budget!$E$15*Assumptions!$C$25)*(1+Assumptions!$C$24)^($B38-1)+Assumptions!$C$38*Assumptions!$C$39*(1+Assumptions!$C$24)^($B38-1)+Assumptions!$C$40*$H38+Assumptions!$C$41*$H38+Assumptions!$C$23*((($E38*Assumptions!$C$16+$F38*Assumptions!$C$17+$G38*Assumptions!$C$18+($E38*Assumptions!$C$33)*Assumptions!$C$19)*12*(1+Assumptions!$C$35)^($B38-1))+(Assumptions!$C$21*MIN(1,$B38/Assumptions!$C$31)))</f>
        <v/>
      </c>
      <c r="J38" s="15">
        <f>(Construction_Budget!$E$8*Assumptions!$C$25)/Assumptions!$C$42*(1+Assumptions!$C$24)^($B38-1)</f>
        <v/>
      </c>
      <c r="K38" s="15">
        <f>$H38-$I38-$J38</f>
        <v/>
      </c>
      <c r="L38" s="15">
        <f>CHOOSE(Assumptions!$C$9,Assumptions!$C$49*(1+Assumptions!$C$50)^($B38-1),Assumptions!$C$51*$H38,Assumptions!$C$52*MAX(0,$K38),Assumptions!$C$53+Assumptions!$C$54*$H38,IF($B38&lt;=Assumptions!$C$55,0,Assumptions!$C$56*(1+Assumptions!$C$57)^($B38-Assumptions!$C$55-1)))</f>
        <v/>
      </c>
      <c r="M38" s="15">
        <f>$K38-$L38</f>
        <v/>
      </c>
      <c r="N38" s="15">
        <f>$H38-$I38-$J38</f>
        <v/>
      </c>
    </row>
    <row r="41">
      <c r="B41" s="10" t="inlineStr">
        <is>
          <t>BASE CASE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B42" s="24" t="inlineStr">
        <is>
          <t>Year</t>
        </is>
      </c>
      <c r="C42" s="24" t="inlineStr">
        <is>
          <t>Homes</t>
        </is>
      </c>
      <c r="D42" s="24" t="inlineStr">
        <is>
          <t>TakeRate</t>
        </is>
      </c>
      <c r="E42" s="24" t="inlineStr">
        <is>
          <t>Res Subs</t>
        </is>
      </c>
      <c r="F42" s="24" t="inlineStr">
        <is>
          <t>Bus Subs</t>
        </is>
      </c>
      <c r="G42" s="24" t="inlineStr">
        <is>
          <t>Ent Subs</t>
        </is>
      </c>
      <c r="H42" s="24" t="inlineStr">
        <is>
          <t>Gross Rev</t>
        </is>
      </c>
      <c r="I42" s="24" t="inlineStr">
        <is>
          <t>Opex</t>
        </is>
      </c>
      <c r="J42" s="24" t="inlineStr">
        <is>
          <t>Capital</t>
        </is>
      </c>
      <c r="K42" s="24" t="inlineStr">
        <is>
          <t>Adj Op CF</t>
        </is>
      </c>
      <c r="L42" s="24" t="inlineStr">
        <is>
          <t>Tribal Pmt</t>
        </is>
      </c>
      <c r="M42" s="24" t="inlineStr">
        <is>
          <t>RIVR Net</t>
        </is>
      </c>
      <c r="N42" s="24" t="inlineStr">
        <is>
          <t>Proj Net</t>
        </is>
      </c>
    </row>
    <row r="43">
      <c r="B43" s="32" t="n">
        <v>0</v>
      </c>
      <c r="D43" s="15" t="n">
        <v>0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>
        <f>-Assumptions!$C$45</f>
        <v/>
      </c>
      <c r="N43" s="15">
        <f>-((Construction_Budget!$E$15*Assumptions!$D$25)+Assumptions!$C$45)</f>
        <v/>
      </c>
    </row>
    <row r="44">
      <c r="B44" s="32" t="n">
        <v>1</v>
      </c>
      <c r="C44" s="13">
        <f>Assumptions!$C$30*MIN(1,$B44/Assumptions!$C$31)</f>
        <v/>
      </c>
      <c r="D44" s="16">
        <f>Assumptions!$D$14*MIN(1,$B44/Assumptions!$D$15)</f>
        <v/>
      </c>
      <c r="E44" s="13">
        <f>$C44*$D44</f>
        <v/>
      </c>
      <c r="F44" s="13">
        <f>$C44*Assumptions!$C$32</f>
        <v/>
      </c>
      <c r="G44" s="13">
        <f>Assumptions!$D$20*MIN(1,$B44/Assumptions!$D$15)</f>
        <v/>
      </c>
      <c r="H44" s="15">
        <f>(($E44*Assumptions!$D$16+$F44*Assumptions!$D$17+$G44*Assumptions!$D$18+($E44*Assumptions!$C$33)*Assumptions!$D$19)*12*(1+Assumptions!$C$35)^($B44-1))+(Assumptions!$D$21*MIN(1,$B44/Assumptions!$C$31))+((MAX(0,($E44+$F44+$G44)-(0))+(0)*Assumptions!$D$22)*Assumptions!$C$34)</f>
        <v/>
      </c>
      <c r="I44" s="15">
        <f>($E44+$F44+$G44)*Assumptions!$C$36*(1+Assumptions!$D$24)^($B44-1)+Assumptions!$C$37*(Construction_Budget!$E$15*Assumptions!$D$25)*(1+Assumptions!$D$24)^($B44-1)+Assumptions!$C$38*Assumptions!$C$39*(1+Assumptions!$D$24)^($B44-1)+Assumptions!$C$40*$H44+Assumptions!$C$41*$H44+Assumptions!$D$23*((($E44*Assumptions!$D$16+$F44*Assumptions!$D$17+$G44*Assumptions!$D$18+($E44*Assumptions!$C$33)*Assumptions!$D$19)*12*(1+Assumptions!$C$35)^($B44-1))+(Assumptions!$D$21*MIN(1,$B44/Assumptions!$C$31)))</f>
        <v/>
      </c>
      <c r="J44" s="15">
        <f>(Construction_Budget!$E$8*Assumptions!$D$25)/Assumptions!$C$42*(1+Assumptions!$D$24)^($B44-1)</f>
        <v/>
      </c>
      <c r="K44" s="15">
        <f>$H44-$I44-$J44</f>
        <v/>
      </c>
      <c r="L44" s="15">
        <f>CHOOSE(Assumptions!$C$9,Assumptions!$C$49*(1+Assumptions!$C$50)^($B44-1),Assumptions!$C$51*$H44,Assumptions!$C$52*MAX(0,$K44),Assumptions!$C$53+Assumptions!$C$54*$H44,IF($B44&lt;=Assumptions!$C$55,0,Assumptions!$C$56*(1+Assumptions!$C$57)^($B44-Assumptions!$C$55-1)))</f>
        <v/>
      </c>
      <c r="M44" s="15">
        <f>$K44-$L44</f>
        <v/>
      </c>
      <c r="N44" s="15">
        <f>$H44-$I44-$J44</f>
        <v/>
      </c>
    </row>
    <row r="45">
      <c r="B45" s="32" t="n">
        <v>2</v>
      </c>
      <c r="C45" s="13">
        <f>Assumptions!$C$30*MIN(1,$B45/Assumptions!$C$31)</f>
        <v/>
      </c>
      <c r="D45" s="16">
        <f>Assumptions!$D$14*MIN(1,$B45/Assumptions!$D$15)</f>
        <v/>
      </c>
      <c r="E45" s="13">
        <f>$C45*$D45</f>
        <v/>
      </c>
      <c r="F45" s="13">
        <f>$C45*Assumptions!$C$32</f>
        <v/>
      </c>
      <c r="G45" s="13">
        <f>Assumptions!$D$20*MIN(1,$B45/Assumptions!$D$15)</f>
        <v/>
      </c>
      <c r="H45" s="15">
        <f>(($E45*Assumptions!$D$16+$F45*Assumptions!$D$17+$G45*Assumptions!$D$18+($E45*Assumptions!$C$33)*Assumptions!$D$19)*12*(1+Assumptions!$C$35)^($B45-1))+(Assumptions!$D$21*MIN(1,$B45/Assumptions!$C$31))+((MAX(0,($E45+$F45+$G45)-(($E44+$F44+$G44)))+(($E44+$F44+$G44))*Assumptions!$D$22)*Assumptions!$C$34)</f>
        <v/>
      </c>
      <c r="I45" s="15">
        <f>($E45+$F45+$G45)*Assumptions!$C$36*(1+Assumptions!$D$24)^($B45-1)+Assumptions!$C$37*(Construction_Budget!$E$15*Assumptions!$D$25)*(1+Assumptions!$D$24)^($B45-1)+Assumptions!$C$38*Assumptions!$C$39*(1+Assumptions!$D$24)^($B45-1)+Assumptions!$C$40*$H45+Assumptions!$C$41*$H45+Assumptions!$D$23*((($E45*Assumptions!$D$16+$F45*Assumptions!$D$17+$G45*Assumptions!$D$18+($E45*Assumptions!$C$33)*Assumptions!$D$19)*12*(1+Assumptions!$C$35)^($B45-1))+(Assumptions!$D$21*MIN(1,$B45/Assumptions!$C$31)))</f>
        <v/>
      </c>
      <c r="J45" s="15">
        <f>(Construction_Budget!$E$8*Assumptions!$D$25)/Assumptions!$C$42*(1+Assumptions!$D$24)^($B45-1)</f>
        <v/>
      </c>
      <c r="K45" s="15">
        <f>$H45-$I45-$J45</f>
        <v/>
      </c>
      <c r="L45" s="15">
        <f>CHOOSE(Assumptions!$C$9,Assumptions!$C$49*(1+Assumptions!$C$50)^($B45-1),Assumptions!$C$51*$H45,Assumptions!$C$52*MAX(0,$K45),Assumptions!$C$53+Assumptions!$C$54*$H45,IF($B45&lt;=Assumptions!$C$55,0,Assumptions!$C$56*(1+Assumptions!$C$57)^($B45-Assumptions!$C$55-1)))</f>
        <v/>
      </c>
      <c r="M45" s="15">
        <f>$K45-$L45</f>
        <v/>
      </c>
      <c r="N45" s="15">
        <f>$H45-$I45-$J45</f>
        <v/>
      </c>
    </row>
    <row r="46">
      <c r="B46" s="32" t="n">
        <v>3</v>
      </c>
      <c r="C46" s="13">
        <f>Assumptions!$C$30*MIN(1,$B46/Assumptions!$C$31)</f>
        <v/>
      </c>
      <c r="D46" s="16">
        <f>Assumptions!$D$14*MIN(1,$B46/Assumptions!$D$15)</f>
        <v/>
      </c>
      <c r="E46" s="13">
        <f>$C46*$D46</f>
        <v/>
      </c>
      <c r="F46" s="13">
        <f>$C46*Assumptions!$C$32</f>
        <v/>
      </c>
      <c r="G46" s="13">
        <f>Assumptions!$D$20*MIN(1,$B46/Assumptions!$D$15)</f>
        <v/>
      </c>
      <c r="H46" s="15">
        <f>(($E46*Assumptions!$D$16+$F46*Assumptions!$D$17+$G46*Assumptions!$D$18+($E46*Assumptions!$C$33)*Assumptions!$D$19)*12*(1+Assumptions!$C$35)^($B46-1))+(Assumptions!$D$21*MIN(1,$B46/Assumptions!$C$31))+((MAX(0,($E46+$F46+$G46)-(($E45+$F45+$G45)))+(($E45+$F45+$G45))*Assumptions!$D$22)*Assumptions!$C$34)</f>
        <v/>
      </c>
      <c r="I46" s="15">
        <f>($E46+$F46+$G46)*Assumptions!$C$36*(1+Assumptions!$D$24)^($B46-1)+Assumptions!$C$37*(Construction_Budget!$E$15*Assumptions!$D$25)*(1+Assumptions!$D$24)^($B46-1)+Assumptions!$C$38*Assumptions!$C$39*(1+Assumptions!$D$24)^($B46-1)+Assumptions!$C$40*$H46+Assumptions!$C$41*$H46+Assumptions!$D$23*((($E46*Assumptions!$D$16+$F46*Assumptions!$D$17+$G46*Assumptions!$D$18+($E46*Assumptions!$C$33)*Assumptions!$D$19)*12*(1+Assumptions!$C$35)^($B46-1))+(Assumptions!$D$21*MIN(1,$B46/Assumptions!$C$31)))</f>
        <v/>
      </c>
      <c r="J46" s="15">
        <f>(Construction_Budget!$E$8*Assumptions!$D$25)/Assumptions!$C$42*(1+Assumptions!$D$24)^($B46-1)</f>
        <v/>
      </c>
      <c r="K46" s="15">
        <f>$H46-$I46-$J46</f>
        <v/>
      </c>
      <c r="L46" s="15">
        <f>CHOOSE(Assumptions!$C$9,Assumptions!$C$49*(1+Assumptions!$C$50)^($B46-1),Assumptions!$C$51*$H46,Assumptions!$C$52*MAX(0,$K46),Assumptions!$C$53+Assumptions!$C$54*$H46,IF($B46&lt;=Assumptions!$C$55,0,Assumptions!$C$56*(1+Assumptions!$C$57)^($B46-Assumptions!$C$55-1)))</f>
        <v/>
      </c>
      <c r="M46" s="15">
        <f>$K46-$L46</f>
        <v/>
      </c>
      <c r="N46" s="15">
        <f>$H46-$I46-$J46</f>
        <v/>
      </c>
    </row>
    <row r="47">
      <c r="B47" s="32" t="n">
        <v>4</v>
      </c>
      <c r="C47" s="13">
        <f>Assumptions!$C$30*MIN(1,$B47/Assumptions!$C$31)</f>
        <v/>
      </c>
      <c r="D47" s="16">
        <f>Assumptions!$D$14*MIN(1,$B47/Assumptions!$D$15)</f>
        <v/>
      </c>
      <c r="E47" s="13">
        <f>$C47*$D47</f>
        <v/>
      </c>
      <c r="F47" s="13">
        <f>$C47*Assumptions!$C$32</f>
        <v/>
      </c>
      <c r="G47" s="13">
        <f>Assumptions!$D$20*MIN(1,$B47/Assumptions!$D$15)</f>
        <v/>
      </c>
      <c r="H47" s="15">
        <f>(($E47*Assumptions!$D$16+$F47*Assumptions!$D$17+$G47*Assumptions!$D$18+($E47*Assumptions!$C$33)*Assumptions!$D$19)*12*(1+Assumptions!$C$35)^($B47-1))+(Assumptions!$D$21*MIN(1,$B47/Assumptions!$C$31))+((MAX(0,($E47+$F47+$G47)-(($E46+$F46+$G46)))+(($E46+$F46+$G46))*Assumptions!$D$22)*Assumptions!$C$34)</f>
        <v/>
      </c>
      <c r="I47" s="15">
        <f>($E47+$F47+$G47)*Assumptions!$C$36*(1+Assumptions!$D$24)^($B47-1)+Assumptions!$C$37*(Construction_Budget!$E$15*Assumptions!$D$25)*(1+Assumptions!$D$24)^($B47-1)+Assumptions!$C$38*Assumptions!$C$39*(1+Assumptions!$D$24)^($B47-1)+Assumptions!$C$40*$H47+Assumptions!$C$41*$H47+Assumptions!$D$23*((($E47*Assumptions!$D$16+$F47*Assumptions!$D$17+$G47*Assumptions!$D$18+($E47*Assumptions!$C$33)*Assumptions!$D$19)*12*(1+Assumptions!$C$35)^($B47-1))+(Assumptions!$D$21*MIN(1,$B47/Assumptions!$C$31)))</f>
        <v/>
      </c>
      <c r="J47" s="15">
        <f>(Construction_Budget!$E$8*Assumptions!$D$25)/Assumptions!$C$42*(1+Assumptions!$D$24)^($B47-1)</f>
        <v/>
      </c>
      <c r="K47" s="15">
        <f>$H47-$I47-$J47</f>
        <v/>
      </c>
      <c r="L47" s="15">
        <f>CHOOSE(Assumptions!$C$9,Assumptions!$C$49*(1+Assumptions!$C$50)^($B47-1),Assumptions!$C$51*$H47,Assumptions!$C$52*MAX(0,$K47),Assumptions!$C$53+Assumptions!$C$54*$H47,IF($B47&lt;=Assumptions!$C$55,0,Assumptions!$C$56*(1+Assumptions!$C$57)^($B47-Assumptions!$C$55-1)))</f>
        <v/>
      </c>
      <c r="M47" s="15">
        <f>$K47-$L47</f>
        <v/>
      </c>
      <c r="N47" s="15">
        <f>$H47-$I47-$J47</f>
        <v/>
      </c>
    </row>
    <row r="48">
      <c r="B48" s="32" t="n">
        <v>5</v>
      </c>
      <c r="C48" s="13">
        <f>Assumptions!$C$30*MIN(1,$B48/Assumptions!$C$31)</f>
        <v/>
      </c>
      <c r="D48" s="16">
        <f>Assumptions!$D$14*MIN(1,$B48/Assumptions!$D$15)</f>
        <v/>
      </c>
      <c r="E48" s="13">
        <f>$C48*$D48</f>
        <v/>
      </c>
      <c r="F48" s="13">
        <f>$C48*Assumptions!$C$32</f>
        <v/>
      </c>
      <c r="G48" s="13">
        <f>Assumptions!$D$20*MIN(1,$B48/Assumptions!$D$15)</f>
        <v/>
      </c>
      <c r="H48" s="15">
        <f>(($E48*Assumptions!$D$16+$F48*Assumptions!$D$17+$G48*Assumptions!$D$18+($E48*Assumptions!$C$33)*Assumptions!$D$19)*12*(1+Assumptions!$C$35)^($B48-1))+(Assumptions!$D$21*MIN(1,$B48/Assumptions!$C$31))+((MAX(0,($E48+$F48+$G48)-(($E47+$F47+$G47)))+(($E47+$F47+$G47))*Assumptions!$D$22)*Assumptions!$C$34)</f>
        <v/>
      </c>
      <c r="I48" s="15">
        <f>($E48+$F48+$G48)*Assumptions!$C$36*(1+Assumptions!$D$24)^($B48-1)+Assumptions!$C$37*(Construction_Budget!$E$15*Assumptions!$D$25)*(1+Assumptions!$D$24)^($B48-1)+Assumptions!$C$38*Assumptions!$C$39*(1+Assumptions!$D$24)^($B48-1)+Assumptions!$C$40*$H48+Assumptions!$C$41*$H48+Assumptions!$D$23*((($E48*Assumptions!$D$16+$F48*Assumptions!$D$17+$G48*Assumptions!$D$18+($E48*Assumptions!$C$33)*Assumptions!$D$19)*12*(1+Assumptions!$C$35)^($B48-1))+(Assumptions!$D$21*MIN(1,$B48/Assumptions!$C$31)))</f>
        <v/>
      </c>
      <c r="J48" s="15">
        <f>(Construction_Budget!$E$8*Assumptions!$D$25)/Assumptions!$C$42*(1+Assumptions!$D$24)^($B48-1)</f>
        <v/>
      </c>
      <c r="K48" s="15">
        <f>$H48-$I48-$J48</f>
        <v/>
      </c>
      <c r="L48" s="15">
        <f>CHOOSE(Assumptions!$C$9,Assumptions!$C$49*(1+Assumptions!$C$50)^($B48-1),Assumptions!$C$51*$H48,Assumptions!$C$52*MAX(0,$K48),Assumptions!$C$53+Assumptions!$C$54*$H48,IF($B48&lt;=Assumptions!$C$55,0,Assumptions!$C$56*(1+Assumptions!$C$57)^($B48-Assumptions!$C$55-1)))</f>
        <v/>
      </c>
      <c r="M48" s="15">
        <f>$K48-$L48</f>
        <v/>
      </c>
      <c r="N48" s="15">
        <f>$H48-$I48-$J48</f>
        <v/>
      </c>
    </row>
    <row r="49">
      <c r="B49" s="32" t="n">
        <v>6</v>
      </c>
      <c r="C49" s="13">
        <f>Assumptions!$C$30*MIN(1,$B49/Assumptions!$C$31)</f>
        <v/>
      </c>
      <c r="D49" s="16">
        <f>Assumptions!$D$14*MIN(1,$B49/Assumptions!$D$15)</f>
        <v/>
      </c>
      <c r="E49" s="13">
        <f>$C49*$D49</f>
        <v/>
      </c>
      <c r="F49" s="13">
        <f>$C49*Assumptions!$C$32</f>
        <v/>
      </c>
      <c r="G49" s="13">
        <f>Assumptions!$D$20*MIN(1,$B49/Assumptions!$D$15)</f>
        <v/>
      </c>
      <c r="H49" s="15">
        <f>(($E49*Assumptions!$D$16+$F49*Assumptions!$D$17+$G49*Assumptions!$D$18+($E49*Assumptions!$C$33)*Assumptions!$D$19)*12*(1+Assumptions!$C$35)^($B49-1))+(Assumptions!$D$21*MIN(1,$B49/Assumptions!$C$31))+((MAX(0,($E49+$F49+$G49)-(($E48+$F48+$G48)))+(($E48+$F48+$G48))*Assumptions!$D$22)*Assumptions!$C$34)</f>
        <v/>
      </c>
      <c r="I49" s="15">
        <f>($E49+$F49+$G49)*Assumptions!$C$36*(1+Assumptions!$D$24)^($B49-1)+Assumptions!$C$37*(Construction_Budget!$E$15*Assumptions!$D$25)*(1+Assumptions!$D$24)^($B49-1)+Assumptions!$C$38*Assumptions!$C$39*(1+Assumptions!$D$24)^($B49-1)+Assumptions!$C$40*$H49+Assumptions!$C$41*$H49+Assumptions!$D$23*((($E49*Assumptions!$D$16+$F49*Assumptions!$D$17+$G49*Assumptions!$D$18+($E49*Assumptions!$C$33)*Assumptions!$D$19)*12*(1+Assumptions!$C$35)^($B49-1))+(Assumptions!$D$21*MIN(1,$B49/Assumptions!$C$31)))</f>
        <v/>
      </c>
      <c r="J49" s="15">
        <f>(Construction_Budget!$E$8*Assumptions!$D$25)/Assumptions!$C$42*(1+Assumptions!$D$24)^($B49-1)</f>
        <v/>
      </c>
      <c r="K49" s="15">
        <f>$H49-$I49-$J49</f>
        <v/>
      </c>
      <c r="L49" s="15">
        <f>CHOOSE(Assumptions!$C$9,Assumptions!$C$49*(1+Assumptions!$C$50)^($B49-1),Assumptions!$C$51*$H49,Assumptions!$C$52*MAX(0,$K49),Assumptions!$C$53+Assumptions!$C$54*$H49,IF($B49&lt;=Assumptions!$C$55,0,Assumptions!$C$56*(1+Assumptions!$C$57)^($B49-Assumptions!$C$55-1)))</f>
        <v/>
      </c>
      <c r="M49" s="15">
        <f>$K49-$L49</f>
        <v/>
      </c>
      <c r="N49" s="15">
        <f>$H49-$I49-$J49</f>
        <v/>
      </c>
    </row>
    <row r="50">
      <c r="B50" s="32" t="n">
        <v>7</v>
      </c>
      <c r="C50" s="13">
        <f>Assumptions!$C$30*MIN(1,$B50/Assumptions!$C$31)</f>
        <v/>
      </c>
      <c r="D50" s="16">
        <f>Assumptions!$D$14*MIN(1,$B50/Assumptions!$D$15)</f>
        <v/>
      </c>
      <c r="E50" s="13">
        <f>$C50*$D50</f>
        <v/>
      </c>
      <c r="F50" s="13">
        <f>$C50*Assumptions!$C$32</f>
        <v/>
      </c>
      <c r="G50" s="13">
        <f>Assumptions!$D$20*MIN(1,$B50/Assumptions!$D$15)</f>
        <v/>
      </c>
      <c r="H50" s="15">
        <f>(($E50*Assumptions!$D$16+$F50*Assumptions!$D$17+$G50*Assumptions!$D$18+($E50*Assumptions!$C$33)*Assumptions!$D$19)*12*(1+Assumptions!$C$35)^($B50-1))+(Assumptions!$D$21*MIN(1,$B50/Assumptions!$C$31))+((MAX(0,($E50+$F50+$G50)-(($E49+$F49+$G49)))+(($E49+$F49+$G49))*Assumptions!$D$22)*Assumptions!$C$34)</f>
        <v/>
      </c>
      <c r="I50" s="15">
        <f>($E50+$F50+$G50)*Assumptions!$C$36*(1+Assumptions!$D$24)^($B50-1)+Assumptions!$C$37*(Construction_Budget!$E$15*Assumptions!$D$25)*(1+Assumptions!$D$24)^($B50-1)+Assumptions!$C$38*Assumptions!$C$39*(1+Assumptions!$D$24)^($B50-1)+Assumptions!$C$40*$H50+Assumptions!$C$41*$H50+Assumptions!$D$23*((($E50*Assumptions!$D$16+$F50*Assumptions!$D$17+$G50*Assumptions!$D$18+($E50*Assumptions!$C$33)*Assumptions!$D$19)*12*(1+Assumptions!$C$35)^($B50-1))+(Assumptions!$D$21*MIN(1,$B50/Assumptions!$C$31)))</f>
        <v/>
      </c>
      <c r="J50" s="15">
        <f>(Construction_Budget!$E$8*Assumptions!$D$25)/Assumptions!$C$42*(1+Assumptions!$D$24)^($B50-1)</f>
        <v/>
      </c>
      <c r="K50" s="15">
        <f>$H50-$I50-$J50</f>
        <v/>
      </c>
      <c r="L50" s="15">
        <f>CHOOSE(Assumptions!$C$9,Assumptions!$C$49*(1+Assumptions!$C$50)^($B50-1),Assumptions!$C$51*$H50,Assumptions!$C$52*MAX(0,$K50),Assumptions!$C$53+Assumptions!$C$54*$H50,IF($B50&lt;=Assumptions!$C$55,0,Assumptions!$C$56*(1+Assumptions!$C$57)^($B50-Assumptions!$C$55-1)))</f>
        <v/>
      </c>
      <c r="M50" s="15">
        <f>$K50-$L50</f>
        <v/>
      </c>
      <c r="N50" s="15">
        <f>$H50-$I50-$J50</f>
        <v/>
      </c>
    </row>
    <row r="51">
      <c r="B51" s="32" t="n">
        <v>8</v>
      </c>
      <c r="C51" s="13">
        <f>Assumptions!$C$30*MIN(1,$B51/Assumptions!$C$31)</f>
        <v/>
      </c>
      <c r="D51" s="16">
        <f>Assumptions!$D$14*MIN(1,$B51/Assumptions!$D$15)</f>
        <v/>
      </c>
      <c r="E51" s="13">
        <f>$C51*$D51</f>
        <v/>
      </c>
      <c r="F51" s="13">
        <f>$C51*Assumptions!$C$32</f>
        <v/>
      </c>
      <c r="G51" s="13">
        <f>Assumptions!$D$20*MIN(1,$B51/Assumptions!$D$15)</f>
        <v/>
      </c>
      <c r="H51" s="15">
        <f>(($E51*Assumptions!$D$16+$F51*Assumptions!$D$17+$G51*Assumptions!$D$18+($E51*Assumptions!$C$33)*Assumptions!$D$19)*12*(1+Assumptions!$C$35)^($B51-1))+(Assumptions!$D$21*MIN(1,$B51/Assumptions!$C$31))+((MAX(0,($E51+$F51+$G51)-(($E50+$F50+$G50)))+(($E50+$F50+$G50))*Assumptions!$D$22)*Assumptions!$C$34)</f>
        <v/>
      </c>
      <c r="I51" s="15">
        <f>($E51+$F51+$G51)*Assumptions!$C$36*(1+Assumptions!$D$24)^($B51-1)+Assumptions!$C$37*(Construction_Budget!$E$15*Assumptions!$D$25)*(1+Assumptions!$D$24)^($B51-1)+Assumptions!$C$38*Assumptions!$C$39*(1+Assumptions!$D$24)^($B51-1)+Assumptions!$C$40*$H51+Assumptions!$C$41*$H51+Assumptions!$D$23*((($E51*Assumptions!$D$16+$F51*Assumptions!$D$17+$G51*Assumptions!$D$18+($E51*Assumptions!$C$33)*Assumptions!$D$19)*12*(1+Assumptions!$C$35)^($B51-1))+(Assumptions!$D$21*MIN(1,$B51/Assumptions!$C$31)))</f>
        <v/>
      </c>
      <c r="J51" s="15">
        <f>(Construction_Budget!$E$8*Assumptions!$D$25)/Assumptions!$C$42*(1+Assumptions!$D$24)^($B51-1)</f>
        <v/>
      </c>
      <c r="K51" s="15">
        <f>$H51-$I51-$J51</f>
        <v/>
      </c>
      <c r="L51" s="15">
        <f>CHOOSE(Assumptions!$C$9,Assumptions!$C$49*(1+Assumptions!$C$50)^($B51-1),Assumptions!$C$51*$H51,Assumptions!$C$52*MAX(0,$K51),Assumptions!$C$53+Assumptions!$C$54*$H51,IF($B51&lt;=Assumptions!$C$55,0,Assumptions!$C$56*(1+Assumptions!$C$57)^($B51-Assumptions!$C$55-1)))</f>
        <v/>
      </c>
      <c r="M51" s="15">
        <f>$K51-$L51</f>
        <v/>
      </c>
      <c r="N51" s="15">
        <f>$H51-$I51-$J51</f>
        <v/>
      </c>
    </row>
    <row r="52">
      <c r="B52" s="32" t="n">
        <v>9</v>
      </c>
      <c r="C52" s="13">
        <f>Assumptions!$C$30*MIN(1,$B52/Assumptions!$C$31)</f>
        <v/>
      </c>
      <c r="D52" s="16">
        <f>Assumptions!$D$14*MIN(1,$B52/Assumptions!$D$15)</f>
        <v/>
      </c>
      <c r="E52" s="13">
        <f>$C52*$D52</f>
        <v/>
      </c>
      <c r="F52" s="13">
        <f>$C52*Assumptions!$C$32</f>
        <v/>
      </c>
      <c r="G52" s="13">
        <f>Assumptions!$D$20*MIN(1,$B52/Assumptions!$D$15)</f>
        <v/>
      </c>
      <c r="H52" s="15">
        <f>(($E52*Assumptions!$D$16+$F52*Assumptions!$D$17+$G52*Assumptions!$D$18+($E52*Assumptions!$C$33)*Assumptions!$D$19)*12*(1+Assumptions!$C$35)^($B52-1))+(Assumptions!$D$21*MIN(1,$B52/Assumptions!$C$31))+((MAX(0,($E52+$F52+$G52)-(($E51+$F51+$G51)))+(($E51+$F51+$G51))*Assumptions!$D$22)*Assumptions!$C$34)</f>
        <v/>
      </c>
      <c r="I52" s="15">
        <f>($E52+$F52+$G52)*Assumptions!$C$36*(1+Assumptions!$D$24)^($B52-1)+Assumptions!$C$37*(Construction_Budget!$E$15*Assumptions!$D$25)*(1+Assumptions!$D$24)^($B52-1)+Assumptions!$C$38*Assumptions!$C$39*(1+Assumptions!$D$24)^($B52-1)+Assumptions!$C$40*$H52+Assumptions!$C$41*$H52+Assumptions!$D$23*((($E52*Assumptions!$D$16+$F52*Assumptions!$D$17+$G52*Assumptions!$D$18+($E52*Assumptions!$C$33)*Assumptions!$D$19)*12*(1+Assumptions!$C$35)^($B52-1))+(Assumptions!$D$21*MIN(1,$B52/Assumptions!$C$31)))</f>
        <v/>
      </c>
      <c r="J52" s="15">
        <f>(Construction_Budget!$E$8*Assumptions!$D$25)/Assumptions!$C$42*(1+Assumptions!$D$24)^($B52-1)</f>
        <v/>
      </c>
      <c r="K52" s="15">
        <f>$H52-$I52-$J52</f>
        <v/>
      </c>
      <c r="L52" s="15">
        <f>CHOOSE(Assumptions!$C$9,Assumptions!$C$49*(1+Assumptions!$C$50)^($B52-1),Assumptions!$C$51*$H52,Assumptions!$C$52*MAX(0,$K52),Assumptions!$C$53+Assumptions!$C$54*$H52,IF($B52&lt;=Assumptions!$C$55,0,Assumptions!$C$56*(1+Assumptions!$C$57)^($B52-Assumptions!$C$55-1)))</f>
        <v/>
      </c>
      <c r="M52" s="15">
        <f>$K52-$L52</f>
        <v/>
      </c>
      <c r="N52" s="15">
        <f>$H52-$I52-$J52</f>
        <v/>
      </c>
    </row>
    <row r="53">
      <c r="B53" s="32" t="n">
        <v>10</v>
      </c>
      <c r="C53" s="13">
        <f>Assumptions!$C$30*MIN(1,$B53/Assumptions!$C$31)</f>
        <v/>
      </c>
      <c r="D53" s="16">
        <f>Assumptions!$D$14*MIN(1,$B53/Assumptions!$D$15)</f>
        <v/>
      </c>
      <c r="E53" s="13">
        <f>$C53*$D53</f>
        <v/>
      </c>
      <c r="F53" s="13">
        <f>$C53*Assumptions!$C$32</f>
        <v/>
      </c>
      <c r="G53" s="13">
        <f>Assumptions!$D$20*MIN(1,$B53/Assumptions!$D$15)</f>
        <v/>
      </c>
      <c r="H53" s="15">
        <f>(($E53*Assumptions!$D$16+$F53*Assumptions!$D$17+$G53*Assumptions!$D$18+($E53*Assumptions!$C$33)*Assumptions!$D$19)*12*(1+Assumptions!$C$35)^($B53-1))+(Assumptions!$D$21*MIN(1,$B53/Assumptions!$C$31))+((MAX(0,($E53+$F53+$G53)-(($E52+$F52+$G52)))+(($E52+$F52+$G52))*Assumptions!$D$22)*Assumptions!$C$34)</f>
        <v/>
      </c>
      <c r="I53" s="15">
        <f>($E53+$F53+$G53)*Assumptions!$C$36*(1+Assumptions!$D$24)^($B53-1)+Assumptions!$C$37*(Construction_Budget!$E$15*Assumptions!$D$25)*(1+Assumptions!$D$24)^($B53-1)+Assumptions!$C$38*Assumptions!$C$39*(1+Assumptions!$D$24)^($B53-1)+Assumptions!$C$40*$H53+Assumptions!$C$41*$H53+Assumptions!$D$23*((($E53*Assumptions!$D$16+$F53*Assumptions!$D$17+$G53*Assumptions!$D$18+($E53*Assumptions!$C$33)*Assumptions!$D$19)*12*(1+Assumptions!$C$35)^($B53-1))+(Assumptions!$D$21*MIN(1,$B53/Assumptions!$C$31)))</f>
        <v/>
      </c>
      <c r="J53" s="15">
        <f>(Construction_Budget!$E$8*Assumptions!$D$25)/Assumptions!$C$42*(1+Assumptions!$D$24)^($B53-1)</f>
        <v/>
      </c>
      <c r="K53" s="15">
        <f>$H53-$I53-$J53</f>
        <v/>
      </c>
      <c r="L53" s="15">
        <f>CHOOSE(Assumptions!$C$9,Assumptions!$C$49*(1+Assumptions!$C$50)^($B53-1),Assumptions!$C$51*$H53,Assumptions!$C$52*MAX(0,$K53),Assumptions!$C$53+Assumptions!$C$54*$H53,IF($B53&lt;=Assumptions!$C$55,0,Assumptions!$C$56*(1+Assumptions!$C$57)^($B53-Assumptions!$C$55-1)))</f>
        <v/>
      </c>
      <c r="M53" s="15">
        <f>$K53-$L53</f>
        <v/>
      </c>
      <c r="N53" s="15">
        <f>$H53-$I53-$J53</f>
        <v/>
      </c>
    </row>
    <row r="54">
      <c r="B54" s="32" t="n">
        <v>11</v>
      </c>
      <c r="C54" s="13">
        <f>Assumptions!$C$30*MIN(1,$B54/Assumptions!$C$31)</f>
        <v/>
      </c>
      <c r="D54" s="16">
        <f>Assumptions!$D$14*MIN(1,$B54/Assumptions!$D$15)</f>
        <v/>
      </c>
      <c r="E54" s="13">
        <f>$C54*$D54</f>
        <v/>
      </c>
      <c r="F54" s="13">
        <f>$C54*Assumptions!$C$32</f>
        <v/>
      </c>
      <c r="G54" s="13">
        <f>Assumptions!$D$20*MIN(1,$B54/Assumptions!$D$15)</f>
        <v/>
      </c>
      <c r="H54" s="15">
        <f>(($E54*Assumptions!$D$16+$F54*Assumptions!$D$17+$G54*Assumptions!$D$18+($E54*Assumptions!$C$33)*Assumptions!$D$19)*12*(1+Assumptions!$C$35)^($B54-1))+(Assumptions!$D$21*MIN(1,$B54/Assumptions!$C$31))+((MAX(0,($E54+$F54+$G54)-(($E53+$F53+$G53)))+(($E53+$F53+$G53))*Assumptions!$D$22)*Assumptions!$C$34)</f>
        <v/>
      </c>
      <c r="I54" s="15">
        <f>($E54+$F54+$G54)*Assumptions!$C$36*(1+Assumptions!$D$24)^($B54-1)+Assumptions!$C$37*(Construction_Budget!$E$15*Assumptions!$D$25)*(1+Assumptions!$D$24)^($B54-1)+Assumptions!$C$38*Assumptions!$C$39*(1+Assumptions!$D$24)^($B54-1)+Assumptions!$C$40*$H54+Assumptions!$C$41*$H54+Assumptions!$D$23*((($E54*Assumptions!$D$16+$F54*Assumptions!$D$17+$G54*Assumptions!$D$18+($E54*Assumptions!$C$33)*Assumptions!$D$19)*12*(1+Assumptions!$C$35)^($B54-1))+(Assumptions!$D$21*MIN(1,$B54/Assumptions!$C$31)))</f>
        <v/>
      </c>
      <c r="J54" s="15">
        <f>(Construction_Budget!$E$8*Assumptions!$D$25)/Assumptions!$C$42*(1+Assumptions!$D$24)^($B54-1)</f>
        <v/>
      </c>
      <c r="K54" s="15">
        <f>$H54-$I54-$J54</f>
        <v/>
      </c>
      <c r="L54" s="15">
        <f>CHOOSE(Assumptions!$C$9,Assumptions!$C$49*(1+Assumptions!$C$50)^($B54-1),Assumptions!$C$51*$H54,Assumptions!$C$52*MAX(0,$K54),Assumptions!$C$53+Assumptions!$C$54*$H54,IF($B54&lt;=Assumptions!$C$55,0,Assumptions!$C$56*(1+Assumptions!$C$57)^($B54-Assumptions!$C$55-1)))</f>
        <v/>
      </c>
      <c r="M54" s="15">
        <f>$K54-$L54</f>
        <v/>
      </c>
      <c r="N54" s="15">
        <f>$H54-$I54-$J54</f>
        <v/>
      </c>
    </row>
    <row r="55">
      <c r="B55" s="32" t="n">
        <v>12</v>
      </c>
      <c r="C55" s="13">
        <f>Assumptions!$C$30*MIN(1,$B55/Assumptions!$C$31)</f>
        <v/>
      </c>
      <c r="D55" s="16">
        <f>Assumptions!$D$14*MIN(1,$B55/Assumptions!$D$15)</f>
        <v/>
      </c>
      <c r="E55" s="13">
        <f>$C55*$D55</f>
        <v/>
      </c>
      <c r="F55" s="13">
        <f>$C55*Assumptions!$C$32</f>
        <v/>
      </c>
      <c r="G55" s="13">
        <f>Assumptions!$D$20*MIN(1,$B55/Assumptions!$D$15)</f>
        <v/>
      </c>
      <c r="H55" s="15">
        <f>(($E55*Assumptions!$D$16+$F55*Assumptions!$D$17+$G55*Assumptions!$D$18+($E55*Assumptions!$C$33)*Assumptions!$D$19)*12*(1+Assumptions!$C$35)^($B55-1))+(Assumptions!$D$21*MIN(1,$B55/Assumptions!$C$31))+((MAX(0,($E55+$F55+$G55)-(($E54+$F54+$G54)))+(($E54+$F54+$G54))*Assumptions!$D$22)*Assumptions!$C$34)</f>
        <v/>
      </c>
      <c r="I55" s="15">
        <f>($E55+$F55+$G55)*Assumptions!$C$36*(1+Assumptions!$D$24)^($B55-1)+Assumptions!$C$37*(Construction_Budget!$E$15*Assumptions!$D$25)*(1+Assumptions!$D$24)^($B55-1)+Assumptions!$C$38*Assumptions!$C$39*(1+Assumptions!$D$24)^($B55-1)+Assumptions!$C$40*$H55+Assumptions!$C$41*$H55+Assumptions!$D$23*((($E55*Assumptions!$D$16+$F55*Assumptions!$D$17+$G55*Assumptions!$D$18+($E55*Assumptions!$C$33)*Assumptions!$D$19)*12*(1+Assumptions!$C$35)^($B55-1))+(Assumptions!$D$21*MIN(1,$B55/Assumptions!$C$31)))</f>
        <v/>
      </c>
      <c r="J55" s="15">
        <f>(Construction_Budget!$E$8*Assumptions!$D$25)/Assumptions!$C$42*(1+Assumptions!$D$24)^($B55-1)</f>
        <v/>
      </c>
      <c r="K55" s="15">
        <f>$H55-$I55-$J55</f>
        <v/>
      </c>
      <c r="L55" s="15">
        <f>CHOOSE(Assumptions!$C$9,Assumptions!$C$49*(1+Assumptions!$C$50)^($B55-1),Assumptions!$C$51*$H55,Assumptions!$C$52*MAX(0,$K55),Assumptions!$C$53+Assumptions!$C$54*$H55,IF($B55&lt;=Assumptions!$C$55,0,Assumptions!$C$56*(1+Assumptions!$C$57)^($B55-Assumptions!$C$55-1)))</f>
        <v/>
      </c>
      <c r="M55" s="15">
        <f>$K55-$L55</f>
        <v/>
      </c>
      <c r="N55" s="15">
        <f>$H55-$I55-$J55</f>
        <v/>
      </c>
    </row>
    <row r="56">
      <c r="B56" s="32" t="n">
        <v>13</v>
      </c>
      <c r="C56" s="13">
        <f>Assumptions!$C$30*MIN(1,$B56/Assumptions!$C$31)</f>
        <v/>
      </c>
      <c r="D56" s="16">
        <f>Assumptions!$D$14*MIN(1,$B56/Assumptions!$D$15)</f>
        <v/>
      </c>
      <c r="E56" s="13">
        <f>$C56*$D56</f>
        <v/>
      </c>
      <c r="F56" s="13">
        <f>$C56*Assumptions!$C$32</f>
        <v/>
      </c>
      <c r="G56" s="13">
        <f>Assumptions!$D$20*MIN(1,$B56/Assumptions!$D$15)</f>
        <v/>
      </c>
      <c r="H56" s="15">
        <f>(($E56*Assumptions!$D$16+$F56*Assumptions!$D$17+$G56*Assumptions!$D$18+($E56*Assumptions!$C$33)*Assumptions!$D$19)*12*(1+Assumptions!$C$35)^($B56-1))+(Assumptions!$D$21*MIN(1,$B56/Assumptions!$C$31))+((MAX(0,($E56+$F56+$G56)-(($E55+$F55+$G55)))+(($E55+$F55+$G55))*Assumptions!$D$22)*Assumptions!$C$34)</f>
        <v/>
      </c>
      <c r="I56" s="15">
        <f>($E56+$F56+$G56)*Assumptions!$C$36*(1+Assumptions!$D$24)^($B56-1)+Assumptions!$C$37*(Construction_Budget!$E$15*Assumptions!$D$25)*(1+Assumptions!$D$24)^($B56-1)+Assumptions!$C$38*Assumptions!$C$39*(1+Assumptions!$D$24)^($B56-1)+Assumptions!$C$40*$H56+Assumptions!$C$41*$H56+Assumptions!$D$23*((($E56*Assumptions!$D$16+$F56*Assumptions!$D$17+$G56*Assumptions!$D$18+($E56*Assumptions!$C$33)*Assumptions!$D$19)*12*(1+Assumptions!$C$35)^($B56-1))+(Assumptions!$D$21*MIN(1,$B56/Assumptions!$C$31)))</f>
        <v/>
      </c>
      <c r="J56" s="15">
        <f>(Construction_Budget!$E$8*Assumptions!$D$25)/Assumptions!$C$42*(1+Assumptions!$D$24)^($B56-1)</f>
        <v/>
      </c>
      <c r="K56" s="15">
        <f>$H56-$I56-$J56</f>
        <v/>
      </c>
      <c r="L56" s="15">
        <f>CHOOSE(Assumptions!$C$9,Assumptions!$C$49*(1+Assumptions!$C$50)^($B56-1),Assumptions!$C$51*$H56,Assumptions!$C$52*MAX(0,$K56),Assumptions!$C$53+Assumptions!$C$54*$H56,IF($B56&lt;=Assumptions!$C$55,0,Assumptions!$C$56*(1+Assumptions!$C$57)^($B56-Assumptions!$C$55-1)))</f>
        <v/>
      </c>
      <c r="M56" s="15">
        <f>$K56-$L56</f>
        <v/>
      </c>
      <c r="N56" s="15">
        <f>$H56-$I56-$J56</f>
        <v/>
      </c>
    </row>
    <row r="57">
      <c r="B57" s="32" t="n">
        <v>14</v>
      </c>
      <c r="C57" s="13">
        <f>Assumptions!$C$30*MIN(1,$B57/Assumptions!$C$31)</f>
        <v/>
      </c>
      <c r="D57" s="16">
        <f>Assumptions!$D$14*MIN(1,$B57/Assumptions!$D$15)</f>
        <v/>
      </c>
      <c r="E57" s="13">
        <f>$C57*$D57</f>
        <v/>
      </c>
      <c r="F57" s="13">
        <f>$C57*Assumptions!$C$32</f>
        <v/>
      </c>
      <c r="G57" s="13">
        <f>Assumptions!$D$20*MIN(1,$B57/Assumptions!$D$15)</f>
        <v/>
      </c>
      <c r="H57" s="15">
        <f>(($E57*Assumptions!$D$16+$F57*Assumptions!$D$17+$G57*Assumptions!$D$18+($E57*Assumptions!$C$33)*Assumptions!$D$19)*12*(1+Assumptions!$C$35)^($B57-1))+(Assumptions!$D$21*MIN(1,$B57/Assumptions!$C$31))+((MAX(0,($E57+$F57+$G57)-(($E56+$F56+$G56)))+(($E56+$F56+$G56))*Assumptions!$D$22)*Assumptions!$C$34)</f>
        <v/>
      </c>
      <c r="I57" s="15">
        <f>($E57+$F57+$G57)*Assumptions!$C$36*(1+Assumptions!$D$24)^($B57-1)+Assumptions!$C$37*(Construction_Budget!$E$15*Assumptions!$D$25)*(1+Assumptions!$D$24)^($B57-1)+Assumptions!$C$38*Assumptions!$C$39*(1+Assumptions!$D$24)^($B57-1)+Assumptions!$C$40*$H57+Assumptions!$C$41*$H57+Assumptions!$D$23*((($E57*Assumptions!$D$16+$F57*Assumptions!$D$17+$G57*Assumptions!$D$18+($E57*Assumptions!$C$33)*Assumptions!$D$19)*12*(1+Assumptions!$C$35)^($B57-1))+(Assumptions!$D$21*MIN(1,$B57/Assumptions!$C$31)))</f>
        <v/>
      </c>
      <c r="J57" s="15">
        <f>(Construction_Budget!$E$8*Assumptions!$D$25)/Assumptions!$C$42*(1+Assumptions!$D$24)^($B57-1)</f>
        <v/>
      </c>
      <c r="K57" s="15">
        <f>$H57-$I57-$J57</f>
        <v/>
      </c>
      <c r="L57" s="15">
        <f>CHOOSE(Assumptions!$C$9,Assumptions!$C$49*(1+Assumptions!$C$50)^($B57-1),Assumptions!$C$51*$H57,Assumptions!$C$52*MAX(0,$K57),Assumptions!$C$53+Assumptions!$C$54*$H57,IF($B57&lt;=Assumptions!$C$55,0,Assumptions!$C$56*(1+Assumptions!$C$57)^($B57-Assumptions!$C$55-1)))</f>
        <v/>
      </c>
      <c r="M57" s="15">
        <f>$K57-$L57</f>
        <v/>
      </c>
      <c r="N57" s="15">
        <f>$H57-$I57-$J57</f>
        <v/>
      </c>
    </row>
    <row r="58">
      <c r="B58" s="32" t="n">
        <v>15</v>
      </c>
      <c r="C58" s="13">
        <f>Assumptions!$C$30*MIN(1,$B58/Assumptions!$C$31)</f>
        <v/>
      </c>
      <c r="D58" s="16">
        <f>Assumptions!$D$14*MIN(1,$B58/Assumptions!$D$15)</f>
        <v/>
      </c>
      <c r="E58" s="13">
        <f>$C58*$D58</f>
        <v/>
      </c>
      <c r="F58" s="13">
        <f>$C58*Assumptions!$C$32</f>
        <v/>
      </c>
      <c r="G58" s="13">
        <f>Assumptions!$D$20*MIN(1,$B58/Assumptions!$D$15)</f>
        <v/>
      </c>
      <c r="H58" s="15">
        <f>(($E58*Assumptions!$D$16+$F58*Assumptions!$D$17+$G58*Assumptions!$D$18+($E58*Assumptions!$C$33)*Assumptions!$D$19)*12*(1+Assumptions!$C$35)^($B58-1))+(Assumptions!$D$21*MIN(1,$B58/Assumptions!$C$31))+((MAX(0,($E58+$F58+$G58)-(($E57+$F57+$G57)))+(($E57+$F57+$G57))*Assumptions!$D$22)*Assumptions!$C$34)</f>
        <v/>
      </c>
      <c r="I58" s="15">
        <f>($E58+$F58+$G58)*Assumptions!$C$36*(1+Assumptions!$D$24)^($B58-1)+Assumptions!$C$37*(Construction_Budget!$E$15*Assumptions!$D$25)*(1+Assumptions!$D$24)^($B58-1)+Assumptions!$C$38*Assumptions!$C$39*(1+Assumptions!$D$24)^($B58-1)+Assumptions!$C$40*$H58+Assumptions!$C$41*$H58+Assumptions!$D$23*((($E58*Assumptions!$D$16+$F58*Assumptions!$D$17+$G58*Assumptions!$D$18+($E58*Assumptions!$C$33)*Assumptions!$D$19)*12*(1+Assumptions!$C$35)^($B58-1))+(Assumptions!$D$21*MIN(1,$B58/Assumptions!$C$31)))</f>
        <v/>
      </c>
      <c r="J58" s="15">
        <f>(Construction_Budget!$E$8*Assumptions!$D$25)/Assumptions!$C$42*(1+Assumptions!$D$24)^($B58-1)</f>
        <v/>
      </c>
      <c r="K58" s="15">
        <f>$H58-$I58-$J58</f>
        <v/>
      </c>
      <c r="L58" s="15">
        <f>CHOOSE(Assumptions!$C$9,Assumptions!$C$49*(1+Assumptions!$C$50)^($B58-1),Assumptions!$C$51*$H58,Assumptions!$C$52*MAX(0,$K58),Assumptions!$C$53+Assumptions!$C$54*$H58,IF($B58&lt;=Assumptions!$C$55,0,Assumptions!$C$56*(1+Assumptions!$C$57)^($B58-Assumptions!$C$55-1)))</f>
        <v/>
      </c>
      <c r="M58" s="15">
        <f>$K58-$L58</f>
        <v/>
      </c>
      <c r="N58" s="15">
        <f>$H58-$I58-$J58</f>
        <v/>
      </c>
    </row>
    <row r="59">
      <c r="B59" s="32" t="n">
        <v>16</v>
      </c>
      <c r="C59" s="13">
        <f>Assumptions!$C$30*MIN(1,$B59/Assumptions!$C$31)</f>
        <v/>
      </c>
      <c r="D59" s="16">
        <f>Assumptions!$D$14*MIN(1,$B59/Assumptions!$D$15)</f>
        <v/>
      </c>
      <c r="E59" s="13">
        <f>$C59*$D59</f>
        <v/>
      </c>
      <c r="F59" s="13">
        <f>$C59*Assumptions!$C$32</f>
        <v/>
      </c>
      <c r="G59" s="13">
        <f>Assumptions!$D$20*MIN(1,$B59/Assumptions!$D$15)</f>
        <v/>
      </c>
      <c r="H59" s="15">
        <f>(($E59*Assumptions!$D$16+$F59*Assumptions!$D$17+$G59*Assumptions!$D$18+($E59*Assumptions!$C$33)*Assumptions!$D$19)*12*(1+Assumptions!$C$35)^($B59-1))+(Assumptions!$D$21*MIN(1,$B59/Assumptions!$C$31))+((MAX(0,($E59+$F59+$G59)-(($E58+$F58+$G58)))+(($E58+$F58+$G58))*Assumptions!$D$22)*Assumptions!$C$34)</f>
        <v/>
      </c>
      <c r="I59" s="15">
        <f>($E59+$F59+$G59)*Assumptions!$C$36*(1+Assumptions!$D$24)^($B59-1)+Assumptions!$C$37*(Construction_Budget!$E$15*Assumptions!$D$25)*(1+Assumptions!$D$24)^($B59-1)+Assumptions!$C$38*Assumptions!$C$39*(1+Assumptions!$D$24)^($B59-1)+Assumptions!$C$40*$H59+Assumptions!$C$41*$H59+Assumptions!$D$23*((($E59*Assumptions!$D$16+$F59*Assumptions!$D$17+$G59*Assumptions!$D$18+($E59*Assumptions!$C$33)*Assumptions!$D$19)*12*(1+Assumptions!$C$35)^($B59-1))+(Assumptions!$D$21*MIN(1,$B59/Assumptions!$C$31)))</f>
        <v/>
      </c>
      <c r="J59" s="15">
        <f>(Construction_Budget!$E$8*Assumptions!$D$25)/Assumptions!$C$42*(1+Assumptions!$D$24)^($B59-1)</f>
        <v/>
      </c>
      <c r="K59" s="15">
        <f>$H59-$I59-$J59</f>
        <v/>
      </c>
      <c r="L59" s="15">
        <f>CHOOSE(Assumptions!$C$9,Assumptions!$C$49*(1+Assumptions!$C$50)^($B59-1),Assumptions!$C$51*$H59,Assumptions!$C$52*MAX(0,$K59),Assumptions!$C$53+Assumptions!$C$54*$H59,IF($B59&lt;=Assumptions!$C$55,0,Assumptions!$C$56*(1+Assumptions!$C$57)^($B59-Assumptions!$C$55-1)))</f>
        <v/>
      </c>
      <c r="M59" s="15">
        <f>$K59-$L59</f>
        <v/>
      </c>
      <c r="N59" s="15">
        <f>$H59-$I59-$J59</f>
        <v/>
      </c>
    </row>
    <row r="60">
      <c r="B60" s="32" t="n">
        <v>17</v>
      </c>
      <c r="C60" s="13">
        <f>Assumptions!$C$30*MIN(1,$B60/Assumptions!$C$31)</f>
        <v/>
      </c>
      <c r="D60" s="16">
        <f>Assumptions!$D$14*MIN(1,$B60/Assumptions!$D$15)</f>
        <v/>
      </c>
      <c r="E60" s="13">
        <f>$C60*$D60</f>
        <v/>
      </c>
      <c r="F60" s="13">
        <f>$C60*Assumptions!$C$32</f>
        <v/>
      </c>
      <c r="G60" s="13">
        <f>Assumptions!$D$20*MIN(1,$B60/Assumptions!$D$15)</f>
        <v/>
      </c>
      <c r="H60" s="15">
        <f>(($E60*Assumptions!$D$16+$F60*Assumptions!$D$17+$G60*Assumptions!$D$18+($E60*Assumptions!$C$33)*Assumptions!$D$19)*12*(1+Assumptions!$C$35)^($B60-1))+(Assumptions!$D$21*MIN(1,$B60/Assumptions!$C$31))+((MAX(0,($E60+$F60+$G60)-(($E59+$F59+$G59)))+(($E59+$F59+$G59))*Assumptions!$D$22)*Assumptions!$C$34)</f>
        <v/>
      </c>
      <c r="I60" s="15">
        <f>($E60+$F60+$G60)*Assumptions!$C$36*(1+Assumptions!$D$24)^($B60-1)+Assumptions!$C$37*(Construction_Budget!$E$15*Assumptions!$D$25)*(1+Assumptions!$D$24)^($B60-1)+Assumptions!$C$38*Assumptions!$C$39*(1+Assumptions!$D$24)^($B60-1)+Assumptions!$C$40*$H60+Assumptions!$C$41*$H60+Assumptions!$D$23*((($E60*Assumptions!$D$16+$F60*Assumptions!$D$17+$G60*Assumptions!$D$18+($E60*Assumptions!$C$33)*Assumptions!$D$19)*12*(1+Assumptions!$C$35)^($B60-1))+(Assumptions!$D$21*MIN(1,$B60/Assumptions!$C$31)))</f>
        <v/>
      </c>
      <c r="J60" s="15">
        <f>(Construction_Budget!$E$8*Assumptions!$D$25)/Assumptions!$C$42*(1+Assumptions!$D$24)^($B60-1)</f>
        <v/>
      </c>
      <c r="K60" s="15">
        <f>$H60-$I60-$J60</f>
        <v/>
      </c>
      <c r="L60" s="15">
        <f>CHOOSE(Assumptions!$C$9,Assumptions!$C$49*(1+Assumptions!$C$50)^($B60-1),Assumptions!$C$51*$H60,Assumptions!$C$52*MAX(0,$K60),Assumptions!$C$53+Assumptions!$C$54*$H60,IF($B60&lt;=Assumptions!$C$55,0,Assumptions!$C$56*(1+Assumptions!$C$57)^($B60-Assumptions!$C$55-1)))</f>
        <v/>
      </c>
      <c r="M60" s="15">
        <f>$K60-$L60</f>
        <v/>
      </c>
      <c r="N60" s="15">
        <f>$H60-$I60-$J60</f>
        <v/>
      </c>
    </row>
    <row r="61">
      <c r="B61" s="32" t="n">
        <v>18</v>
      </c>
      <c r="C61" s="13">
        <f>Assumptions!$C$30*MIN(1,$B61/Assumptions!$C$31)</f>
        <v/>
      </c>
      <c r="D61" s="16">
        <f>Assumptions!$D$14*MIN(1,$B61/Assumptions!$D$15)</f>
        <v/>
      </c>
      <c r="E61" s="13">
        <f>$C61*$D61</f>
        <v/>
      </c>
      <c r="F61" s="13">
        <f>$C61*Assumptions!$C$32</f>
        <v/>
      </c>
      <c r="G61" s="13">
        <f>Assumptions!$D$20*MIN(1,$B61/Assumptions!$D$15)</f>
        <v/>
      </c>
      <c r="H61" s="15">
        <f>(($E61*Assumptions!$D$16+$F61*Assumptions!$D$17+$G61*Assumptions!$D$18+($E61*Assumptions!$C$33)*Assumptions!$D$19)*12*(1+Assumptions!$C$35)^($B61-1))+(Assumptions!$D$21*MIN(1,$B61/Assumptions!$C$31))+((MAX(0,($E61+$F61+$G61)-(($E60+$F60+$G60)))+(($E60+$F60+$G60))*Assumptions!$D$22)*Assumptions!$C$34)</f>
        <v/>
      </c>
      <c r="I61" s="15">
        <f>($E61+$F61+$G61)*Assumptions!$C$36*(1+Assumptions!$D$24)^($B61-1)+Assumptions!$C$37*(Construction_Budget!$E$15*Assumptions!$D$25)*(1+Assumptions!$D$24)^($B61-1)+Assumptions!$C$38*Assumptions!$C$39*(1+Assumptions!$D$24)^($B61-1)+Assumptions!$C$40*$H61+Assumptions!$C$41*$H61+Assumptions!$D$23*((($E61*Assumptions!$D$16+$F61*Assumptions!$D$17+$G61*Assumptions!$D$18+($E61*Assumptions!$C$33)*Assumptions!$D$19)*12*(1+Assumptions!$C$35)^($B61-1))+(Assumptions!$D$21*MIN(1,$B61/Assumptions!$C$31)))</f>
        <v/>
      </c>
      <c r="J61" s="15">
        <f>(Construction_Budget!$E$8*Assumptions!$D$25)/Assumptions!$C$42*(1+Assumptions!$D$24)^($B61-1)</f>
        <v/>
      </c>
      <c r="K61" s="15">
        <f>$H61-$I61-$J61</f>
        <v/>
      </c>
      <c r="L61" s="15">
        <f>CHOOSE(Assumptions!$C$9,Assumptions!$C$49*(1+Assumptions!$C$50)^($B61-1),Assumptions!$C$51*$H61,Assumptions!$C$52*MAX(0,$K61),Assumptions!$C$53+Assumptions!$C$54*$H61,IF($B61&lt;=Assumptions!$C$55,0,Assumptions!$C$56*(1+Assumptions!$C$57)^($B61-Assumptions!$C$55-1)))</f>
        <v/>
      </c>
      <c r="M61" s="15">
        <f>$K61-$L61</f>
        <v/>
      </c>
      <c r="N61" s="15">
        <f>$H61-$I61-$J61</f>
        <v/>
      </c>
    </row>
    <row r="62">
      <c r="B62" s="32" t="n">
        <v>19</v>
      </c>
      <c r="C62" s="13">
        <f>Assumptions!$C$30*MIN(1,$B62/Assumptions!$C$31)</f>
        <v/>
      </c>
      <c r="D62" s="16">
        <f>Assumptions!$D$14*MIN(1,$B62/Assumptions!$D$15)</f>
        <v/>
      </c>
      <c r="E62" s="13">
        <f>$C62*$D62</f>
        <v/>
      </c>
      <c r="F62" s="13">
        <f>$C62*Assumptions!$C$32</f>
        <v/>
      </c>
      <c r="G62" s="13">
        <f>Assumptions!$D$20*MIN(1,$B62/Assumptions!$D$15)</f>
        <v/>
      </c>
      <c r="H62" s="15">
        <f>(($E62*Assumptions!$D$16+$F62*Assumptions!$D$17+$G62*Assumptions!$D$18+($E62*Assumptions!$C$33)*Assumptions!$D$19)*12*(1+Assumptions!$C$35)^($B62-1))+(Assumptions!$D$21*MIN(1,$B62/Assumptions!$C$31))+((MAX(0,($E62+$F62+$G62)-(($E61+$F61+$G61)))+(($E61+$F61+$G61))*Assumptions!$D$22)*Assumptions!$C$34)</f>
        <v/>
      </c>
      <c r="I62" s="15">
        <f>($E62+$F62+$G62)*Assumptions!$C$36*(1+Assumptions!$D$24)^($B62-1)+Assumptions!$C$37*(Construction_Budget!$E$15*Assumptions!$D$25)*(1+Assumptions!$D$24)^($B62-1)+Assumptions!$C$38*Assumptions!$C$39*(1+Assumptions!$D$24)^($B62-1)+Assumptions!$C$40*$H62+Assumptions!$C$41*$H62+Assumptions!$D$23*((($E62*Assumptions!$D$16+$F62*Assumptions!$D$17+$G62*Assumptions!$D$18+($E62*Assumptions!$C$33)*Assumptions!$D$19)*12*(1+Assumptions!$C$35)^($B62-1))+(Assumptions!$D$21*MIN(1,$B62/Assumptions!$C$31)))</f>
        <v/>
      </c>
      <c r="J62" s="15">
        <f>(Construction_Budget!$E$8*Assumptions!$D$25)/Assumptions!$C$42*(1+Assumptions!$D$24)^($B62-1)</f>
        <v/>
      </c>
      <c r="K62" s="15">
        <f>$H62-$I62-$J62</f>
        <v/>
      </c>
      <c r="L62" s="15">
        <f>CHOOSE(Assumptions!$C$9,Assumptions!$C$49*(1+Assumptions!$C$50)^($B62-1),Assumptions!$C$51*$H62,Assumptions!$C$52*MAX(0,$K62),Assumptions!$C$53+Assumptions!$C$54*$H62,IF($B62&lt;=Assumptions!$C$55,0,Assumptions!$C$56*(1+Assumptions!$C$57)^($B62-Assumptions!$C$55-1)))</f>
        <v/>
      </c>
      <c r="M62" s="15">
        <f>$K62-$L62</f>
        <v/>
      </c>
      <c r="N62" s="15">
        <f>$H62-$I62-$J62</f>
        <v/>
      </c>
    </row>
    <row r="63">
      <c r="B63" s="32" t="n">
        <v>20</v>
      </c>
      <c r="C63" s="13">
        <f>Assumptions!$C$30*MIN(1,$B63/Assumptions!$C$31)</f>
        <v/>
      </c>
      <c r="D63" s="16">
        <f>Assumptions!$D$14*MIN(1,$B63/Assumptions!$D$15)</f>
        <v/>
      </c>
      <c r="E63" s="13">
        <f>$C63*$D63</f>
        <v/>
      </c>
      <c r="F63" s="13">
        <f>$C63*Assumptions!$C$32</f>
        <v/>
      </c>
      <c r="G63" s="13">
        <f>Assumptions!$D$20*MIN(1,$B63/Assumptions!$D$15)</f>
        <v/>
      </c>
      <c r="H63" s="15">
        <f>(($E63*Assumptions!$D$16+$F63*Assumptions!$D$17+$G63*Assumptions!$D$18+($E63*Assumptions!$C$33)*Assumptions!$D$19)*12*(1+Assumptions!$C$35)^($B63-1))+(Assumptions!$D$21*MIN(1,$B63/Assumptions!$C$31))+((MAX(0,($E63+$F63+$G63)-(($E62+$F62+$G62)))+(($E62+$F62+$G62))*Assumptions!$D$22)*Assumptions!$C$34)</f>
        <v/>
      </c>
      <c r="I63" s="15">
        <f>($E63+$F63+$G63)*Assumptions!$C$36*(1+Assumptions!$D$24)^($B63-1)+Assumptions!$C$37*(Construction_Budget!$E$15*Assumptions!$D$25)*(1+Assumptions!$D$24)^($B63-1)+Assumptions!$C$38*Assumptions!$C$39*(1+Assumptions!$D$24)^($B63-1)+Assumptions!$C$40*$H63+Assumptions!$C$41*$H63+Assumptions!$D$23*((($E63*Assumptions!$D$16+$F63*Assumptions!$D$17+$G63*Assumptions!$D$18+($E63*Assumptions!$C$33)*Assumptions!$D$19)*12*(1+Assumptions!$C$35)^($B63-1))+(Assumptions!$D$21*MIN(1,$B63/Assumptions!$C$31)))</f>
        <v/>
      </c>
      <c r="J63" s="15">
        <f>(Construction_Budget!$E$8*Assumptions!$D$25)/Assumptions!$C$42*(1+Assumptions!$D$24)^($B63-1)</f>
        <v/>
      </c>
      <c r="K63" s="15">
        <f>$H63-$I63-$J63</f>
        <v/>
      </c>
      <c r="L63" s="15">
        <f>CHOOSE(Assumptions!$C$9,Assumptions!$C$49*(1+Assumptions!$C$50)^($B63-1),Assumptions!$C$51*$H63,Assumptions!$C$52*MAX(0,$K63),Assumptions!$C$53+Assumptions!$C$54*$H63,IF($B63&lt;=Assumptions!$C$55,0,Assumptions!$C$56*(1+Assumptions!$C$57)^($B63-Assumptions!$C$55-1)))</f>
        <v/>
      </c>
      <c r="M63" s="15">
        <f>$K63-$L63</f>
        <v/>
      </c>
      <c r="N63" s="15">
        <f>$H63-$I63-$J63</f>
        <v/>
      </c>
    </row>
    <row r="64">
      <c r="B64" s="32" t="n">
        <v>21</v>
      </c>
      <c r="C64" s="13">
        <f>Assumptions!$C$30*MIN(1,$B64/Assumptions!$C$31)</f>
        <v/>
      </c>
      <c r="D64" s="16">
        <f>Assumptions!$D$14*MIN(1,$B64/Assumptions!$D$15)</f>
        <v/>
      </c>
      <c r="E64" s="13">
        <f>$C64*$D64</f>
        <v/>
      </c>
      <c r="F64" s="13">
        <f>$C64*Assumptions!$C$32</f>
        <v/>
      </c>
      <c r="G64" s="13">
        <f>Assumptions!$D$20*MIN(1,$B64/Assumptions!$D$15)</f>
        <v/>
      </c>
      <c r="H64" s="15">
        <f>(($E64*Assumptions!$D$16+$F64*Assumptions!$D$17+$G64*Assumptions!$D$18+($E64*Assumptions!$C$33)*Assumptions!$D$19)*12*(1+Assumptions!$C$35)^($B64-1))+(Assumptions!$D$21*MIN(1,$B64/Assumptions!$C$31))+((MAX(0,($E64+$F64+$G64)-(($E63+$F63+$G63)))+(($E63+$F63+$G63))*Assumptions!$D$22)*Assumptions!$C$34)</f>
        <v/>
      </c>
      <c r="I64" s="15">
        <f>($E64+$F64+$G64)*Assumptions!$C$36*(1+Assumptions!$D$24)^($B64-1)+Assumptions!$C$37*(Construction_Budget!$E$15*Assumptions!$D$25)*(1+Assumptions!$D$24)^($B64-1)+Assumptions!$C$38*Assumptions!$C$39*(1+Assumptions!$D$24)^($B64-1)+Assumptions!$C$40*$H64+Assumptions!$C$41*$H64+Assumptions!$D$23*((($E64*Assumptions!$D$16+$F64*Assumptions!$D$17+$G64*Assumptions!$D$18+($E64*Assumptions!$C$33)*Assumptions!$D$19)*12*(1+Assumptions!$C$35)^($B64-1))+(Assumptions!$D$21*MIN(1,$B64/Assumptions!$C$31)))</f>
        <v/>
      </c>
      <c r="J64" s="15">
        <f>(Construction_Budget!$E$8*Assumptions!$D$25)/Assumptions!$C$42*(1+Assumptions!$D$24)^($B64-1)</f>
        <v/>
      </c>
      <c r="K64" s="15">
        <f>$H64-$I64-$J64</f>
        <v/>
      </c>
      <c r="L64" s="15">
        <f>CHOOSE(Assumptions!$C$9,Assumptions!$C$49*(1+Assumptions!$C$50)^($B64-1),Assumptions!$C$51*$H64,Assumptions!$C$52*MAX(0,$K64),Assumptions!$C$53+Assumptions!$C$54*$H64,IF($B64&lt;=Assumptions!$C$55,0,Assumptions!$C$56*(1+Assumptions!$C$57)^($B64-Assumptions!$C$55-1)))</f>
        <v/>
      </c>
      <c r="M64" s="15">
        <f>$K64-$L64</f>
        <v/>
      </c>
      <c r="N64" s="15">
        <f>$H64-$I64-$J64</f>
        <v/>
      </c>
    </row>
    <row r="65">
      <c r="B65" s="32" t="n">
        <v>22</v>
      </c>
      <c r="C65" s="13">
        <f>Assumptions!$C$30*MIN(1,$B65/Assumptions!$C$31)</f>
        <v/>
      </c>
      <c r="D65" s="16">
        <f>Assumptions!$D$14*MIN(1,$B65/Assumptions!$D$15)</f>
        <v/>
      </c>
      <c r="E65" s="13">
        <f>$C65*$D65</f>
        <v/>
      </c>
      <c r="F65" s="13">
        <f>$C65*Assumptions!$C$32</f>
        <v/>
      </c>
      <c r="G65" s="13">
        <f>Assumptions!$D$20*MIN(1,$B65/Assumptions!$D$15)</f>
        <v/>
      </c>
      <c r="H65" s="15">
        <f>(($E65*Assumptions!$D$16+$F65*Assumptions!$D$17+$G65*Assumptions!$D$18+($E65*Assumptions!$C$33)*Assumptions!$D$19)*12*(1+Assumptions!$C$35)^($B65-1))+(Assumptions!$D$21*MIN(1,$B65/Assumptions!$C$31))+((MAX(0,($E65+$F65+$G65)-(($E64+$F64+$G64)))+(($E64+$F64+$G64))*Assumptions!$D$22)*Assumptions!$C$34)</f>
        <v/>
      </c>
      <c r="I65" s="15">
        <f>($E65+$F65+$G65)*Assumptions!$C$36*(1+Assumptions!$D$24)^($B65-1)+Assumptions!$C$37*(Construction_Budget!$E$15*Assumptions!$D$25)*(1+Assumptions!$D$24)^($B65-1)+Assumptions!$C$38*Assumptions!$C$39*(1+Assumptions!$D$24)^($B65-1)+Assumptions!$C$40*$H65+Assumptions!$C$41*$H65+Assumptions!$D$23*((($E65*Assumptions!$D$16+$F65*Assumptions!$D$17+$G65*Assumptions!$D$18+($E65*Assumptions!$C$33)*Assumptions!$D$19)*12*(1+Assumptions!$C$35)^($B65-1))+(Assumptions!$D$21*MIN(1,$B65/Assumptions!$C$31)))</f>
        <v/>
      </c>
      <c r="J65" s="15">
        <f>(Construction_Budget!$E$8*Assumptions!$D$25)/Assumptions!$C$42*(1+Assumptions!$D$24)^($B65-1)</f>
        <v/>
      </c>
      <c r="K65" s="15">
        <f>$H65-$I65-$J65</f>
        <v/>
      </c>
      <c r="L65" s="15">
        <f>CHOOSE(Assumptions!$C$9,Assumptions!$C$49*(1+Assumptions!$C$50)^($B65-1),Assumptions!$C$51*$H65,Assumptions!$C$52*MAX(0,$K65),Assumptions!$C$53+Assumptions!$C$54*$H65,IF($B65&lt;=Assumptions!$C$55,0,Assumptions!$C$56*(1+Assumptions!$C$57)^($B65-Assumptions!$C$55-1)))</f>
        <v/>
      </c>
      <c r="M65" s="15">
        <f>$K65-$L65</f>
        <v/>
      </c>
      <c r="N65" s="15">
        <f>$H65-$I65-$J65</f>
        <v/>
      </c>
    </row>
    <row r="66">
      <c r="B66" s="32" t="n">
        <v>23</v>
      </c>
      <c r="C66" s="13">
        <f>Assumptions!$C$30*MIN(1,$B66/Assumptions!$C$31)</f>
        <v/>
      </c>
      <c r="D66" s="16">
        <f>Assumptions!$D$14*MIN(1,$B66/Assumptions!$D$15)</f>
        <v/>
      </c>
      <c r="E66" s="13">
        <f>$C66*$D66</f>
        <v/>
      </c>
      <c r="F66" s="13">
        <f>$C66*Assumptions!$C$32</f>
        <v/>
      </c>
      <c r="G66" s="13">
        <f>Assumptions!$D$20*MIN(1,$B66/Assumptions!$D$15)</f>
        <v/>
      </c>
      <c r="H66" s="15">
        <f>(($E66*Assumptions!$D$16+$F66*Assumptions!$D$17+$G66*Assumptions!$D$18+($E66*Assumptions!$C$33)*Assumptions!$D$19)*12*(1+Assumptions!$C$35)^($B66-1))+(Assumptions!$D$21*MIN(1,$B66/Assumptions!$C$31))+((MAX(0,($E66+$F66+$G66)-(($E65+$F65+$G65)))+(($E65+$F65+$G65))*Assumptions!$D$22)*Assumptions!$C$34)</f>
        <v/>
      </c>
      <c r="I66" s="15">
        <f>($E66+$F66+$G66)*Assumptions!$C$36*(1+Assumptions!$D$24)^($B66-1)+Assumptions!$C$37*(Construction_Budget!$E$15*Assumptions!$D$25)*(1+Assumptions!$D$24)^($B66-1)+Assumptions!$C$38*Assumptions!$C$39*(1+Assumptions!$D$24)^($B66-1)+Assumptions!$C$40*$H66+Assumptions!$C$41*$H66+Assumptions!$D$23*((($E66*Assumptions!$D$16+$F66*Assumptions!$D$17+$G66*Assumptions!$D$18+($E66*Assumptions!$C$33)*Assumptions!$D$19)*12*(1+Assumptions!$C$35)^($B66-1))+(Assumptions!$D$21*MIN(1,$B66/Assumptions!$C$31)))</f>
        <v/>
      </c>
      <c r="J66" s="15">
        <f>(Construction_Budget!$E$8*Assumptions!$D$25)/Assumptions!$C$42*(1+Assumptions!$D$24)^($B66-1)</f>
        <v/>
      </c>
      <c r="K66" s="15">
        <f>$H66-$I66-$J66</f>
        <v/>
      </c>
      <c r="L66" s="15">
        <f>CHOOSE(Assumptions!$C$9,Assumptions!$C$49*(1+Assumptions!$C$50)^($B66-1),Assumptions!$C$51*$H66,Assumptions!$C$52*MAX(0,$K66),Assumptions!$C$53+Assumptions!$C$54*$H66,IF($B66&lt;=Assumptions!$C$55,0,Assumptions!$C$56*(1+Assumptions!$C$57)^($B66-Assumptions!$C$55-1)))</f>
        <v/>
      </c>
      <c r="M66" s="15">
        <f>$K66-$L66</f>
        <v/>
      </c>
      <c r="N66" s="15">
        <f>$H66-$I66-$J66</f>
        <v/>
      </c>
    </row>
    <row r="67">
      <c r="B67" s="32" t="n">
        <v>24</v>
      </c>
      <c r="C67" s="13">
        <f>Assumptions!$C$30*MIN(1,$B67/Assumptions!$C$31)</f>
        <v/>
      </c>
      <c r="D67" s="16">
        <f>Assumptions!$D$14*MIN(1,$B67/Assumptions!$D$15)</f>
        <v/>
      </c>
      <c r="E67" s="13">
        <f>$C67*$D67</f>
        <v/>
      </c>
      <c r="F67" s="13">
        <f>$C67*Assumptions!$C$32</f>
        <v/>
      </c>
      <c r="G67" s="13">
        <f>Assumptions!$D$20*MIN(1,$B67/Assumptions!$D$15)</f>
        <v/>
      </c>
      <c r="H67" s="15">
        <f>(($E67*Assumptions!$D$16+$F67*Assumptions!$D$17+$G67*Assumptions!$D$18+($E67*Assumptions!$C$33)*Assumptions!$D$19)*12*(1+Assumptions!$C$35)^($B67-1))+(Assumptions!$D$21*MIN(1,$B67/Assumptions!$C$31))+((MAX(0,($E67+$F67+$G67)-(($E66+$F66+$G66)))+(($E66+$F66+$G66))*Assumptions!$D$22)*Assumptions!$C$34)</f>
        <v/>
      </c>
      <c r="I67" s="15">
        <f>($E67+$F67+$G67)*Assumptions!$C$36*(1+Assumptions!$D$24)^($B67-1)+Assumptions!$C$37*(Construction_Budget!$E$15*Assumptions!$D$25)*(1+Assumptions!$D$24)^($B67-1)+Assumptions!$C$38*Assumptions!$C$39*(1+Assumptions!$D$24)^($B67-1)+Assumptions!$C$40*$H67+Assumptions!$C$41*$H67+Assumptions!$D$23*((($E67*Assumptions!$D$16+$F67*Assumptions!$D$17+$G67*Assumptions!$D$18+($E67*Assumptions!$C$33)*Assumptions!$D$19)*12*(1+Assumptions!$C$35)^($B67-1))+(Assumptions!$D$21*MIN(1,$B67/Assumptions!$C$31)))</f>
        <v/>
      </c>
      <c r="J67" s="15">
        <f>(Construction_Budget!$E$8*Assumptions!$D$25)/Assumptions!$C$42*(1+Assumptions!$D$24)^($B67-1)</f>
        <v/>
      </c>
      <c r="K67" s="15">
        <f>$H67-$I67-$J67</f>
        <v/>
      </c>
      <c r="L67" s="15">
        <f>CHOOSE(Assumptions!$C$9,Assumptions!$C$49*(1+Assumptions!$C$50)^($B67-1),Assumptions!$C$51*$H67,Assumptions!$C$52*MAX(0,$K67),Assumptions!$C$53+Assumptions!$C$54*$H67,IF($B67&lt;=Assumptions!$C$55,0,Assumptions!$C$56*(1+Assumptions!$C$57)^($B67-Assumptions!$C$55-1)))</f>
        <v/>
      </c>
      <c r="M67" s="15">
        <f>$K67-$L67</f>
        <v/>
      </c>
      <c r="N67" s="15">
        <f>$H67-$I67-$J67</f>
        <v/>
      </c>
    </row>
    <row r="68">
      <c r="B68" s="32" t="n">
        <v>25</v>
      </c>
      <c r="C68" s="13">
        <f>Assumptions!$C$30*MIN(1,$B68/Assumptions!$C$31)</f>
        <v/>
      </c>
      <c r="D68" s="16">
        <f>Assumptions!$D$14*MIN(1,$B68/Assumptions!$D$15)</f>
        <v/>
      </c>
      <c r="E68" s="13">
        <f>$C68*$D68</f>
        <v/>
      </c>
      <c r="F68" s="13">
        <f>$C68*Assumptions!$C$32</f>
        <v/>
      </c>
      <c r="G68" s="13">
        <f>Assumptions!$D$20*MIN(1,$B68/Assumptions!$D$15)</f>
        <v/>
      </c>
      <c r="H68" s="15">
        <f>(($E68*Assumptions!$D$16+$F68*Assumptions!$D$17+$G68*Assumptions!$D$18+($E68*Assumptions!$C$33)*Assumptions!$D$19)*12*(1+Assumptions!$C$35)^($B68-1))+(Assumptions!$D$21*MIN(1,$B68/Assumptions!$C$31))+((MAX(0,($E68+$F68+$G68)-(($E67+$F67+$G67)))+(($E67+$F67+$G67))*Assumptions!$D$22)*Assumptions!$C$34)</f>
        <v/>
      </c>
      <c r="I68" s="15">
        <f>($E68+$F68+$G68)*Assumptions!$C$36*(1+Assumptions!$D$24)^($B68-1)+Assumptions!$C$37*(Construction_Budget!$E$15*Assumptions!$D$25)*(1+Assumptions!$D$24)^($B68-1)+Assumptions!$C$38*Assumptions!$C$39*(1+Assumptions!$D$24)^($B68-1)+Assumptions!$C$40*$H68+Assumptions!$C$41*$H68+Assumptions!$D$23*((($E68*Assumptions!$D$16+$F68*Assumptions!$D$17+$G68*Assumptions!$D$18+($E68*Assumptions!$C$33)*Assumptions!$D$19)*12*(1+Assumptions!$C$35)^($B68-1))+(Assumptions!$D$21*MIN(1,$B68/Assumptions!$C$31)))</f>
        <v/>
      </c>
      <c r="J68" s="15">
        <f>(Construction_Budget!$E$8*Assumptions!$D$25)/Assumptions!$C$42*(1+Assumptions!$D$24)^($B68-1)</f>
        <v/>
      </c>
      <c r="K68" s="15">
        <f>$H68-$I68-$J68</f>
        <v/>
      </c>
      <c r="L68" s="15">
        <f>CHOOSE(Assumptions!$C$9,Assumptions!$C$49*(1+Assumptions!$C$50)^($B68-1),Assumptions!$C$51*$H68,Assumptions!$C$52*MAX(0,$K68),Assumptions!$C$53+Assumptions!$C$54*$H68,IF($B68&lt;=Assumptions!$C$55,0,Assumptions!$C$56*(1+Assumptions!$C$57)^($B68-Assumptions!$C$55-1)))</f>
        <v/>
      </c>
      <c r="M68" s="15">
        <f>$K68-$L68</f>
        <v/>
      </c>
      <c r="N68" s="15">
        <f>$H68-$I68-$J68</f>
        <v/>
      </c>
    </row>
    <row r="69">
      <c r="B69" s="32" t="n">
        <v>26</v>
      </c>
      <c r="C69" s="13">
        <f>Assumptions!$C$30*MIN(1,$B69/Assumptions!$C$31)</f>
        <v/>
      </c>
      <c r="D69" s="16">
        <f>Assumptions!$D$14*MIN(1,$B69/Assumptions!$D$15)</f>
        <v/>
      </c>
      <c r="E69" s="13">
        <f>$C69*$D69</f>
        <v/>
      </c>
      <c r="F69" s="13">
        <f>$C69*Assumptions!$C$32</f>
        <v/>
      </c>
      <c r="G69" s="13">
        <f>Assumptions!$D$20*MIN(1,$B69/Assumptions!$D$15)</f>
        <v/>
      </c>
      <c r="H69" s="15">
        <f>(($E69*Assumptions!$D$16+$F69*Assumptions!$D$17+$G69*Assumptions!$D$18+($E69*Assumptions!$C$33)*Assumptions!$D$19)*12*(1+Assumptions!$C$35)^($B69-1))+(Assumptions!$D$21*MIN(1,$B69/Assumptions!$C$31))+((MAX(0,($E69+$F69+$G69)-(($E68+$F68+$G68)))+(($E68+$F68+$G68))*Assumptions!$D$22)*Assumptions!$C$34)</f>
        <v/>
      </c>
      <c r="I69" s="15">
        <f>($E69+$F69+$G69)*Assumptions!$C$36*(1+Assumptions!$D$24)^($B69-1)+Assumptions!$C$37*(Construction_Budget!$E$15*Assumptions!$D$25)*(1+Assumptions!$D$24)^($B69-1)+Assumptions!$C$38*Assumptions!$C$39*(1+Assumptions!$D$24)^($B69-1)+Assumptions!$C$40*$H69+Assumptions!$C$41*$H69+Assumptions!$D$23*((($E69*Assumptions!$D$16+$F69*Assumptions!$D$17+$G69*Assumptions!$D$18+($E69*Assumptions!$C$33)*Assumptions!$D$19)*12*(1+Assumptions!$C$35)^($B69-1))+(Assumptions!$D$21*MIN(1,$B69/Assumptions!$C$31)))</f>
        <v/>
      </c>
      <c r="J69" s="15">
        <f>(Construction_Budget!$E$8*Assumptions!$D$25)/Assumptions!$C$42*(1+Assumptions!$D$24)^($B69-1)</f>
        <v/>
      </c>
      <c r="K69" s="15">
        <f>$H69-$I69-$J69</f>
        <v/>
      </c>
      <c r="L69" s="15">
        <f>CHOOSE(Assumptions!$C$9,Assumptions!$C$49*(1+Assumptions!$C$50)^($B69-1),Assumptions!$C$51*$H69,Assumptions!$C$52*MAX(0,$K69),Assumptions!$C$53+Assumptions!$C$54*$H69,IF($B69&lt;=Assumptions!$C$55,0,Assumptions!$C$56*(1+Assumptions!$C$57)^($B69-Assumptions!$C$55-1)))</f>
        <v/>
      </c>
      <c r="M69" s="15">
        <f>$K69-$L69</f>
        <v/>
      </c>
      <c r="N69" s="15">
        <f>$H69-$I69-$J69</f>
        <v/>
      </c>
    </row>
    <row r="70">
      <c r="B70" s="32" t="n">
        <v>27</v>
      </c>
      <c r="C70" s="13">
        <f>Assumptions!$C$30*MIN(1,$B70/Assumptions!$C$31)</f>
        <v/>
      </c>
      <c r="D70" s="16">
        <f>Assumptions!$D$14*MIN(1,$B70/Assumptions!$D$15)</f>
        <v/>
      </c>
      <c r="E70" s="13">
        <f>$C70*$D70</f>
        <v/>
      </c>
      <c r="F70" s="13">
        <f>$C70*Assumptions!$C$32</f>
        <v/>
      </c>
      <c r="G70" s="13">
        <f>Assumptions!$D$20*MIN(1,$B70/Assumptions!$D$15)</f>
        <v/>
      </c>
      <c r="H70" s="15">
        <f>(($E70*Assumptions!$D$16+$F70*Assumptions!$D$17+$G70*Assumptions!$D$18+($E70*Assumptions!$C$33)*Assumptions!$D$19)*12*(1+Assumptions!$C$35)^($B70-1))+(Assumptions!$D$21*MIN(1,$B70/Assumptions!$C$31))+((MAX(0,($E70+$F70+$G70)-(($E69+$F69+$G69)))+(($E69+$F69+$G69))*Assumptions!$D$22)*Assumptions!$C$34)</f>
        <v/>
      </c>
      <c r="I70" s="15">
        <f>($E70+$F70+$G70)*Assumptions!$C$36*(1+Assumptions!$D$24)^($B70-1)+Assumptions!$C$37*(Construction_Budget!$E$15*Assumptions!$D$25)*(1+Assumptions!$D$24)^($B70-1)+Assumptions!$C$38*Assumptions!$C$39*(1+Assumptions!$D$24)^($B70-1)+Assumptions!$C$40*$H70+Assumptions!$C$41*$H70+Assumptions!$D$23*((($E70*Assumptions!$D$16+$F70*Assumptions!$D$17+$G70*Assumptions!$D$18+($E70*Assumptions!$C$33)*Assumptions!$D$19)*12*(1+Assumptions!$C$35)^($B70-1))+(Assumptions!$D$21*MIN(1,$B70/Assumptions!$C$31)))</f>
        <v/>
      </c>
      <c r="J70" s="15">
        <f>(Construction_Budget!$E$8*Assumptions!$D$25)/Assumptions!$C$42*(1+Assumptions!$D$24)^($B70-1)</f>
        <v/>
      </c>
      <c r="K70" s="15">
        <f>$H70-$I70-$J70</f>
        <v/>
      </c>
      <c r="L70" s="15">
        <f>CHOOSE(Assumptions!$C$9,Assumptions!$C$49*(1+Assumptions!$C$50)^($B70-1),Assumptions!$C$51*$H70,Assumptions!$C$52*MAX(0,$K70),Assumptions!$C$53+Assumptions!$C$54*$H70,IF($B70&lt;=Assumptions!$C$55,0,Assumptions!$C$56*(1+Assumptions!$C$57)^($B70-Assumptions!$C$55-1)))</f>
        <v/>
      </c>
      <c r="M70" s="15">
        <f>$K70-$L70</f>
        <v/>
      </c>
      <c r="N70" s="15">
        <f>$H70-$I70-$J70</f>
        <v/>
      </c>
    </row>
    <row r="71">
      <c r="B71" s="32" t="n">
        <v>28</v>
      </c>
      <c r="C71" s="13">
        <f>Assumptions!$C$30*MIN(1,$B71/Assumptions!$C$31)</f>
        <v/>
      </c>
      <c r="D71" s="16">
        <f>Assumptions!$D$14*MIN(1,$B71/Assumptions!$D$15)</f>
        <v/>
      </c>
      <c r="E71" s="13">
        <f>$C71*$D71</f>
        <v/>
      </c>
      <c r="F71" s="13">
        <f>$C71*Assumptions!$C$32</f>
        <v/>
      </c>
      <c r="G71" s="13">
        <f>Assumptions!$D$20*MIN(1,$B71/Assumptions!$D$15)</f>
        <v/>
      </c>
      <c r="H71" s="15">
        <f>(($E71*Assumptions!$D$16+$F71*Assumptions!$D$17+$G71*Assumptions!$D$18+($E71*Assumptions!$C$33)*Assumptions!$D$19)*12*(1+Assumptions!$C$35)^($B71-1))+(Assumptions!$D$21*MIN(1,$B71/Assumptions!$C$31))+((MAX(0,($E71+$F71+$G71)-(($E70+$F70+$G70)))+(($E70+$F70+$G70))*Assumptions!$D$22)*Assumptions!$C$34)</f>
        <v/>
      </c>
      <c r="I71" s="15">
        <f>($E71+$F71+$G71)*Assumptions!$C$36*(1+Assumptions!$D$24)^($B71-1)+Assumptions!$C$37*(Construction_Budget!$E$15*Assumptions!$D$25)*(1+Assumptions!$D$24)^($B71-1)+Assumptions!$C$38*Assumptions!$C$39*(1+Assumptions!$D$24)^($B71-1)+Assumptions!$C$40*$H71+Assumptions!$C$41*$H71+Assumptions!$D$23*((($E71*Assumptions!$D$16+$F71*Assumptions!$D$17+$G71*Assumptions!$D$18+($E71*Assumptions!$C$33)*Assumptions!$D$19)*12*(1+Assumptions!$C$35)^($B71-1))+(Assumptions!$D$21*MIN(1,$B71/Assumptions!$C$31)))</f>
        <v/>
      </c>
      <c r="J71" s="15">
        <f>(Construction_Budget!$E$8*Assumptions!$D$25)/Assumptions!$C$42*(1+Assumptions!$D$24)^($B71-1)</f>
        <v/>
      </c>
      <c r="K71" s="15">
        <f>$H71-$I71-$J71</f>
        <v/>
      </c>
      <c r="L71" s="15">
        <f>CHOOSE(Assumptions!$C$9,Assumptions!$C$49*(1+Assumptions!$C$50)^($B71-1),Assumptions!$C$51*$H71,Assumptions!$C$52*MAX(0,$K71),Assumptions!$C$53+Assumptions!$C$54*$H71,IF($B71&lt;=Assumptions!$C$55,0,Assumptions!$C$56*(1+Assumptions!$C$57)^($B71-Assumptions!$C$55-1)))</f>
        <v/>
      </c>
      <c r="M71" s="15">
        <f>$K71-$L71</f>
        <v/>
      </c>
      <c r="N71" s="15">
        <f>$H71-$I71-$J71</f>
        <v/>
      </c>
    </row>
    <row r="72">
      <c r="B72" s="32" t="n">
        <v>29</v>
      </c>
      <c r="C72" s="13">
        <f>Assumptions!$C$30*MIN(1,$B72/Assumptions!$C$31)</f>
        <v/>
      </c>
      <c r="D72" s="16">
        <f>Assumptions!$D$14*MIN(1,$B72/Assumptions!$D$15)</f>
        <v/>
      </c>
      <c r="E72" s="13">
        <f>$C72*$D72</f>
        <v/>
      </c>
      <c r="F72" s="13">
        <f>$C72*Assumptions!$C$32</f>
        <v/>
      </c>
      <c r="G72" s="13">
        <f>Assumptions!$D$20*MIN(1,$B72/Assumptions!$D$15)</f>
        <v/>
      </c>
      <c r="H72" s="15">
        <f>(($E72*Assumptions!$D$16+$F72*Assumptions!$D$17+$G72*Assumptions!$D$18+($E72*Assumptions!$C$33)*Assumptions!$D$19)*12*(1+Assumptions!$C$35)^($B72-1))+(Assumptions!$D$21*MIN(1,$B72/Assumptions!$C$31))+((MAX(0,($E72+$F72+$G72)-(($E71+$F71+$G71)))+(($E71+$F71+$G71))*Assumptions!$D$22)*Assumptions!$C$34)</f>
        <v/>
      </c>
      <c r="I72" s="15">
        <f>($E72+$F72+$G72)*Assumptions!$C$36*(1+Assumptions!$D$24)^($B72-1)+Assumptions!$C$37*(Construction_Budget!$E$15*Assumptions!$D$25)*(1+Assumptions!$D$24)^($B72-1)+Assumptions!$C$38*Assumptions!$C$39*(1+Assumptions!$D$24)^($B72-1)+Assumptions!$C$40*$H72+Assumptions!$C$41*$H72+Assumptions!$D$23*((($E72*Assumptions!$D$16+$F72*Assumptions!$D$17+$G72*Assumptions!$D$18+($E72*Assumptions!$C$33)*Assumptions!$D$19)*12*(1+Assumptions!$C$35)^($B72-1))+(Assumptions!$D$21*MIN(1,$B72/Assumptions!$C$31)))</f>
        <v/>
      </c>
      <c r="J72" s="15">
        <f>(Construction_Budget!$E$8*Assumptions!$D$25)/Assumptions!$C$42*(1+Assumptions!$D$24)^($B72-1)</f>
        <v/>
      </c>
      <c r="K72" s="15">
        <f>$H72-$I72-$J72</f>
        <v/>
      </c>
      <c r="L72" s="15">
        <f>CHOOSE(Assumptions!$C$9,Assumptions!$C$49*(1+Assumptions!$C$50)^($B72-1),Assumptions!$C$51*$H72,Assumptions!$C$52*MAX(0,$K72),Assumptions!$C$53+Assumptions!$C$54*$H72,IF($B72&lt;=Assumptions!$C$55,0,Assumptions!$C$56*(1+Assumptions!$C$57)^($B72-Assumptions!$C$55-1)))</f>
        <v/>
      </c>
      <c r="M72" s="15">
        <f>$K72-$L72</f>
        <v/>
      </c>
      <c r="N72" s="15">
        <f>$H72-$I72-$J72</f>
        <v/>
      </c>
    </row>
    <row r="73">
      <c r="B73" s="32" t="n">
        <v>30</v>
      </c>
      <c r="C73" s="13">
        <f>Assumptions!$C$30*MIN(1,$B73/Assumptions!$C$31)</f>
        <v/>
      </c>
      <c r="D73" s="16">
        <f>Assumptions!$D$14*MIN(1,$B73/Assumptions!$D$15)</f>
        <v/>
      </c>
      <c r="E73" s="13">
        <f>$C73*$D73</f>
        <v/>
      </c>
      <c r="F73" s="13">
        <f>$C73*Assumptions!$C$32</f>
        <v/>
      </c>
      <c r="G73" s="13">
        <f>Assumptions!$D$20*MIN(1,$B73/Assumptions!$D$15)</f>
        <v/>
      </c>
      <c r="H73" s="15">
        <f>(($E73*Assumptions!$D$16+$F73*Assumptions!$D$17+$G73*Assumptions!$D$18+($E73*Assumptions!$C$33)*Assumptions!$D$19)*12*(1+Assumptions!$C$35)^($B73-1))+(Assumptions!$D$21*MIN(1,$B73/Assumptions!$C$31))+((MAX(0,($E73+$F73+$G73)-(($E72+$F72+$G72)))+(($E72+$F72+$G72))*Assumptions!$D$22)*Assumptions!$C$34)</f>
        <v/>
      </c>
      <c r="I73" s="15">
        <f>($E73+$F73+$G73)*Assumptions!$C$36*(1+Assumptions!$D$24)^($B73-1)+Assumptions!$C$37*(Construction_Budget!$E$15*Assumptions!$D$25)*(1+Assumptions!$D$24)^($B73-1)+Assumptions!$C$38*Assumptions!$C$39*(1+Assumptions!$D$24)^($B73-1)+Assumptions!$C$40*$H73+Assumptions!$C$41*$H73+Assumptions!$D$23*((($E73*Assumptions!$D$16+$F73*Assumptions!$D$17+$G73*Assumptions!$D$18+($E73*Assumptions!$C$33)*Assumptions!$D$19)*12*(1+Assumptions!$C$35)^($B73-1))+(Assumptions!$D$21*MIN(1,$B73/Assumptions!$C$31)))</f>
        <v/>
      </c>
      <c r="J73" s="15">
        <f>(Construction_Budget!$E$8*Assumptions!$D$25)/Assumptions!$C$42*(1+Assumptions!$D$24)^($B73-1)</f>
        <v/>
      </c>
      <c r="K73" s="15">
        <f>$H73-$I73-$J73</f>
        <v/>
      </c>
      <c r="L73" s="15">
        <f>CHOOSE(Assumptions!$C$9,Assumptions!$C$49*(1+Assumptions!$C$50)^($B73-1),Assumptions!$C$51*$H73,Assumptions!$C$52*MAX(0,$K73),Assumptions!$C$53+Assumptions!$C$54*$H73,IF($B73&lt;=Assumptions!$C$55,0,Assumptions!$C$56*(1+Assumptions!$C$57)^($B73-Assumptions!$C$55-1)))</f>
        <v/>
      </c>
      <c r="M73" s="15">
        <f>$K73-$L73</f>
        <v/>
      </c>
      <c r="N73" s="15">
        <f>$H73-$I73-$J73</f>
        <v/>
      </c>
    </row>
    <row r="76">
      <c r="B76" s="10" t="inlineStr">
        <is>
          <t>HIGH CASE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B77" s="24" t="inlineStr">
        <is>
          <t>Year</t>
        </is>
      </c>
      <c r="C77" s="24" t="inlineStr">
        <is>
          <t>Homes</t>
        </is>
      </c>
      <c r="D77" s="24" t="inlineStr">
        <is>
          <t>TakeRate</t>
        </is>
      </c>
      <c r="E77" s="24" t="inlineStr">
        <is>
          <t>Res Subs</t>
        </is>
      </c>
      <c r="F77" s="24" t="inlineStr">
        <is>
          <t>Bus Subs</t>
        </is>
      </c>
      <c r="G77" s="24" t="inlineStr">
        <is>
          <t>Ent Subs</t>
        </is>
      </c>
      <c r="H77" s="24" t="inlineStr">
        <is>
          <t>Gross Rev</t>
        </is>
      </c>
      <c r="I77" s="24" t="inlineStr">
        <is>
          <t>Opex</t>
        </is>
      </c>
      <c r="J77" s="24" t="inlineStr">
        <is>
          <t>Capital</t>
        </is>
      </c>
      <c r="K77" s="24" t="inlineStr">
        <is>
          <t>Adj Op CF</t>
        </is>
      </c>
      <c r="L77" s="24" t="inlineStr">
        <is>
          <t>Tribal Pmt</t>
        </is>
      </c>
      <c r="M77" s="24" t="inlineStr">
        <is>
          <t>RIVR Net</t>
        </is>
      </c>
      <c r="N77" s="24" t="inlineStr">
        <is>
          <t>Proj Net</t>
        </is>
      </c>
    </row>
    <row r="78">
      <c r="B78" s="32" t="n">
        <v>0</v>
      </c>
      <c r="D78" s="15" t="n">
        <v>0</v>
      </c>
      <c r="E78" s="15" t="n">
        <v>0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>
        <f>-Assumptions!$C$45</f>
        <v/>
      </c>
      <c r="N78" s="15">
        <f>-((Construction_Budget!$E$15*Assumptions!$E$25)+Assumptions!$C$45)</f>
        <v/>
      </c>
    </row>
    <row r="79">
      <c r="B79" s="32" t="n">
        <v>1</v>
      </c>
      <c r="C79" s="13">
        <f>Assumptions!$C$30*MIN(1,$B79/Assumptions!$C$31)</f>
        <v/>
      </c>
      <c r="D79" s="16">
        <f>Assumptions!$E$14*MIN(1,$B79/Assumptions!$E$15)</f>
        <v/>
      </c>
      <c r="E79" s="13">
        <f>$C79*$D79</f>
        <v/>
      </c>
      <c r="F79" s="13">
        <f>$C79*Assumptions!$C$32</f>
        <v/>
      </c>
      <c r="G79" s="13">
        <f>Assumptions!$E$20*MIN(1,$B79/Assumptions!$E$15)</f>
        <v/>
      </c>
      <c r="H79" s="15">
        <f>(($E79*Assumptions!$E$16+$F79*Assumptions!$E$17+$G79*Assumptions!$E$18+($E79*Assumptions!$C$33)*Assumptions!$E$19)*12*(1+Assumptions!$C$35)^($B79-1))+(Assumptions!$E$21*MIN(1,$B79/Assumptions!$C$31))+((MAX(0,($E79+$F79+$G79)-(0))+(0)*Assumptions!$E$22)*Assumptions!$C$34)</f>
        <v/>
      </c>
      <c r="I79" s="15">
        <f>($E79+$F79+$G79)*Assumptions!$C$36*(1+Assumptions!$E$24)^($B79-1)+Assumptions!$C$37*(Construction_Budget!$E$15*Assumptions!$E$25)*(1+Assumptions!$E$24)^($B79-1)+Assumptions!$C$38*Assumptions!$C$39*(1+Assumptions!$E$24)^($B79-1)+Assumptions!$C$40*$H79+Assumptions!$C$41*$H79+Assumptions!$E$23*((($E79*Assumptions!$E$16+$F79*Assumptions!$E$17+$G79*Assumptions!$E$18+($E79*Assumptions!$C$33)*Assumptions!$E$19)*12*(1+Assumptions!$C$35)^($B79-1))+(Assumptions!$E$21*MIN(1,$B79/Assumptions!$C$31)))</f>
        <v/>
      </c>
      <c r="J79" s="15">
        <f>(Construction_Budget!$E$8*Assumptions!$E$25)/Assumptions!$C$42*(1+Assumptions!$E$24)^($B79-1)</f>
        <v/>
      </c>
      <c r="K79" s="15">
        <f>$H79-$I79-$J79</f>
        <v/>
      </c>
      <c r="L79" s="15">
        <f>CHOOSE(Assumptions!$C$9,Assumptions!$C$49*(1+Assumptions!$C$50)^($B79-1),Assumptions!$C$51*$H79,Assumptions!$C$52*MAX(0,$K79),Assumptions!$C$53+Assumptions!$C$54*$H79,IF($B79&lt;=Assumptions!$C$55,0,Assumptions!$C$56*(1+Assumptions!$C$57)^($B79-Assumptions!$C$55-1)))</f>
        <v/>
      </c>
      <c r="M79" s="15">
        <f>$K79-$L79</f>
        <v/>
      </c>
      <c r="N79" s="15">
        <f>$H79-$I79-$J79</f>
        <v/>
      </c>
    </row>
    <row r="80">
      <c r="B80" s="32" t="n">
        <v>2</v>
      </c>
      <c r="C80" s="13">
        <f>Assumptions!$C$30*MIN(1,$B80/Assumptions!$C$31)</f>
        <v/>
      </c>
      <c r="D80" s="16">
        <f>Assumptions!$E$14*MIN(1,$B80/Assumptions!$E$15)</f>
        <v/>
      </c>
      <c r="E80" s="13">
        <f>$C80*$D80</f>
        <v/>
      </c>
      <c r="F80" s="13">
        <f>$C80*Assumptions!$C$32</f>
        <v/>
      </c>
      <c r="G80" s="13">
        <f>Assumptions!$E$20*MIN(1,$B80/Assumptions!$E$15)</f>
        <v/>
      </c>
      <c r="H80" s="15">
        <f>(($E80*Assumptions!$E$16+$F80*Assumptions!$E$17+$G80*Assumptions!$E$18+($E80*Assumptions!$C$33)*Assumptions!$E$19)*12*(1+Assumptions!$C$35)^($B80-1))+(Assumptions!$E$21*MIN(1,$B80/Assumptions!$C$31))+((MAX(0,($E80+$F80+$G80)-(($E79+$F79+$G79)))+(($E79+$F79+$G79))*Assumptions!$E$22)*Assumptions!$C$34)</f>
        <v/>
      </c>
      <c r="I80" s="15">
        <f>($E80+$F80+$G80)*Assumptions!$C$36*(1+Assumptions!$E$24)^($B80-1)+Assumptions!$C$37*(Construction_Budget!$E$15*Assumptions!$E$25)*(1+Assumptions!$E$24)^($B80-1)+Assumptions!$C$38*Assumptions!$C$39*(1+Assumptions!$E$24)^($B80-1)+Assumptions!$C$40*$H80+Assumptions!$C$41*$H80+Assumptions!$E$23*((($E80*Assumptions!$E$16+$F80*Assumptions!$E$17+$G80*Assumptions!$E$18+($E80*Assumptions!$C$33)*Assumptions!$E$19)*12*(1+Assumptions!$C$35)^($B80-1))+(Assumptions!$E$21*MIN(1,$B80/Assumptions!$C$31)))</f>
        <v/>
      </c>
      <c r="J80" s="15">
        <f>(Construction_Budget!$E$8*Assumptions!$E$25)/Assumptions!$C$42*(1+Assumptions!$E$24)^($B80-1)</f>
        <v/>
      </c>
      <c r="K80" s="15">
        <f>$H80-$I80-$J80</f>
        <v/>
      </c>
      <c r="L80" s="15">
        <f>CHOOSE(Assumptions!$C$9,Assumptions!$C$49*(1+Assumptions!$C$50)^($B80-1),Assumptions!$C$51*$H80,Assumptions!$C$52*MAX(0,$K80),Assumptions!$C$53+Assumptions!$C$54*$H80,IF($B80&lt;=Assumptions!$C$55,0,Assumptions!$C$56*(1+Assumptions!$C$57)^($B80-Assumptions!$C$55-1)))</f>
        <v/>
      </c>
      <c r="M80" s="15">
        <f>$K80-$L80</f>
        <v/>
      </c>
      <c r="N80" s="15">
        <f>$H80-$I80-$J80</f>
        <v/>
      </c>
    </row>
    <row r="81">
      <c r="B81" s="32" t="n">
        <v>3</v>
      </c>
      <c r="C81" s="13">
        <f>Assumptions!$C$30*MIN(1,$B81/Assumptions!$C$31)</f>
        <v/>
      </c>
      <c r="D81" s="16">
        <f>Assumptions!$E$14*MIN(1,$B81/Assumptions!$E$15)</f>
        <v/>
      </c>
      <c r="E81" s="13">
        <f>$C81*$D81</f>
        <v/>
      </c>
      <c r="F81" s="13">
        <f>$C81*Assumptions!$C$32</f>
        <v/>
      </c>
      <c r="G81" s="13">
        <f>Assumptions!$E$20*MIN(1,$B81/Assumptions!$E$15)</f>
        <v/>
      </c>
      <c r="H81" s="15">
        <f>(($E81*Assumptions!$E$16+$F81*Assumptions!$E$17+$G81*Assumptions!$E$18+($E81*Assumptions!$C$33)*Assumptions!$E$19)*12*(1+Assumptions!$C$35)^($B81-1))+(Assumptions!$E$21*MIN(1,$B81/Assumptions!$C$31))+((MAX(0,($E81+$F81+$G81)-(($E80+$F80+$G80)))+(($E80+$F80+$G80))*Assumptions!$E$22)*Assumptions!$C$34)</f>
        <v/>
      </c>
      <c r="I81" s="15">
        <f>($E81+$F81+$G81)*Assumptions!$C$36*(1+Assumptions!$E$24)^($B81-1)+Assumptions!$C$37*(Construction_Budget!$E$15*Assumptions!$E$25)*(1+Assumptions!$E$24)^($B81-1)+Assumptions!$C$38*Assumptions!$C$39*(1+Assumptions!$E$24)^($B81-1)+Assumptions!$C$40*$H81+Assumptions!$C$41*$H81+Assumptions!$E$23*((($E81*Assumptions!$E$16+$F81*Assumptions!$E$17+$G81*Assumptions!$E$18+($E81*Assumptions!$C$33)*Assumptions!$E$19)*12*(1+Assumptions!$C$35)^($B81-1))+(Assumptions!$E$21*MIN(1,$B81/Assumptions!$C$31)))</f>
        <v/>
      </c>
      <c r="J81" s="15">
        <f>(Construction_Budget!$E$8*Assumptions!$E$25)/Assumptions!$C$42*(1+Assumptions!$E$24)^($B81-1)</f>
        <v/>
      </c>
      <c r="K81" s="15">
        <f>$H81-$I81-$J81</f>
        <v/>
      </c>
      <c r="L81" s="15">
        <f>CHOOSE(Assumptions!$C$9,Assumptions!$C$49*(1+Assumptions!$C$50)^($B81-1),Assumptions!$C$51*$H81,Assumptions!$C$52*MAX(0,$K81),Assumptions!$C$53+Assumptions!$C$54*$H81,IF($B81&lt;=Assumptions!$C$55,0,Assumptions!$C$56*(1+Assumptions!$C$57)^($B81-Assumptions!$C$55-1)))</f>
        <v/>
      </c>
      <c r="M81" s="15">
        <f>$K81-$L81</f>
        <v/>
      </c>
      <c r="N81" s="15">
        <f>$H81-$I81-$J81</f>
        <v/>
      </c>
    </row>
    <row r="82">
      <c r="B82" s="32" t="n">
        <v>4</v>
      </c>
      <c r="C82" s="13">
        <f>Assumptions!$C$30*MIN(1,$B82/Assumptions!$C$31)</f>
        <v/>
      </c>
      <c r="D82" s="16">
        <f>Assumptions!$E$14*MIN(1,$B82/Assumptions!$E$15)</f>
        <v/>
      </c>
      <c r="E82" s="13">
        <f>$C82*$D82</f>
        <v/>
      </c>
      <c r="F82" s="13">
        <f>$C82*Assumptions!$C$32</f>
        <v/>
      </c>
      <c r="G82" s="13">
        <f>Assumptions!$E$20*MIN(1,$B82/Assumptions!$E$15)</f>
        <v/>
      </c>
      <c r="H82" s="15">
        <f>(($E82*Assumptions!$E$16+$F82*Assumptions!$E$17+$G82*Assumptions!$E$18+($E82*Assumptions!$C$33)*Assumptions!$E$19)*12*(1+Assumptions!$C$35)^($B82-1))+(Assumptions!$E$21*MIN(1,$B82/Assumptions!$C$31))+((MAX(0,($E82+$F82+$G82)-(($E81+$F81+$G81)))+(($E81+$F81+$G81))*Assumptions!$E$22)*Assumptions!$C$34)</f>
        <v/>
      </c>
      <c r="I82" s="15">
        <f>($E82+$F82+$G82)*Assumptions!$C$36*(1+Assumptions!$E$24)^($B82-1)+Assumptions!$C$37*(Construction_Budget!$E$15*Assumptions!$E$25)*(1+Assumptions!$E$24)^($B82-1)+Assumptions!$C$38*Assumptions!$C$39*(1+Assumptions!$E$24)^($B82-1)+Assumptions!$C$40*$H82+Assumptions!$C$41*$H82+Assumptions!$E$23*((($E82*Assumptions!$E$16+$F82*Assumptions!$E$17+$G82*Assumptions!$E$18+($E82*Assumptions!$C$33)*Assumptions!$E$19)*12*(1+Assumptions!$C$35)^($B82-1))+(Assumptions!$E$21*MIN(1,$B82/Assumptions!$C$31)))</f>
        <v/>
      </c>
      <c r="J82" s="15">
        <f>(Construction_Budget!$E$8*Assumptions!$E$25)/Assumptions!$C$42*(1+Assumptions!$E$24)^($B82-1)</f>
        <v/>
      </c>
      <c r="K82" s="15">
        <f>$H82-$I82-$J82</f>
        <v/>
      </c>
      <c r="L82" s="15">
        <f>CHOOSE(Assumptions!$C$9,Assumptions!$C$49*(1+Assumptions!$C$50)^($B82-1),Assumptions!$C$51*$H82,Assumptions!$C$52*MAX(0,$K82),Assumptions!$C$53+Assumptions!$C$54*$H82,IF($B82&lt;=Assumptions!$C$55,0,Assumptions!$C$56*(1+Assumptions!$C$57)^($B82-Assumptions!$C$55-1)))</f>
        <v/>
      </c>
      <c r="M82" s="15">
        <f>$K82-$L82</f>
        <v/>
      </c>
      <c r="N82" s="15">
        <f>$H82-$I82-$J82</f>
        <v/>
      </c>
    </row>
    <row r="83">
      <c r="B83" s="32" t="n">
        <v>5</v>
      </c>
      <c r="C83" s="13">
        <f>Assumptions!$C$30*MIN(1,$B83/Assumptions!$C$31)</f>
        <v/>
      </c>
      <c r="D83" s="16">
        <f>Assumptions!$E$14*MIN(1,$B83/Assumptions!$E$15)</f>
        <v/>
      </c>
      <c r="E83" s="13">
        <f>$C83*$D83</f>
        <v/>
      </c>
      <c r="F83" s="13">
        <f>$C83*Assumptions!$C$32</f>
        <v/>
      </c>
      <c r="G83" s="13">
        <f>Assumptions!$E$20*MIN(1,$B83/Assumptions!$E$15)</f>
        <v/>
      </c>
      <c r="H83" s="15">
        <f>(($E83*Assumptions!$E$16+$F83*Assumptions!$E$17+$G83*Assumptions!$E$18+($E83*Assumptions!$C$33)*Assumptions!$E$19)*12*(1+Assumptions!$C$35)^($B83-1))+(Assumptions!$E$21*MIN(1,$B83/Assumptions!$C$31))+((MAX(0,($E83+$F83+$G83)-(($E82+$F82+$G82)))+(($E82+$F82+$G82))*Assumptions!$E$22)*Assumptions!$C$34)</f>
        <v/>
      </c>
      <c r="I83" s="15">
        <f>($E83+$F83+$G83)*Assumptions!$C$36*(1+Assumptions!$E$24)^($B83-1)+Assumptions!$C$37*(Construction_Budget!$E$15*Assumptions!$E$25)*(1+Assumptions!$E$24)^($B83-1)+Assumptions!$C$38*Assumptions!$C$39*(1+Assumptions!$E$24)^($B83-1)+Assumptions!$C$40*$H83+Assumptions!$C$41*$H83+Assumptions!$E$23*((($E83*Assumptions!$E$16+$F83*Assumptions!$E$17+$G83*Assumptions!$E$18+($E83*Assumptions!$C$33)*Assumptions!$E$19)*12*(1+Assumptions!$C$35)^($B83-1))+(Assumptions!$E$21*MIN(1,$B83/Assumptions!$C$31)))</f>
        <v/>
      </c>
      <c r="J83" s="15">
        <f>(Construction_Budget!$E$8*Assumptions!$E$25)/Assumptions!$C$42*(1+Assumptions!$E$24)^($B83-1)</f>
        <v/>
      </c>
      <c r="K83" s="15">
        <f>$H83-$I83-$J83</f>
        <v/>
      </c>
      <c r="L83" s="15">
        <f>CHOOSE(Assumptions!$C$9,Assumptions!$C$49*(1+Assumptions!$C$50)^($B83-1),Assumptions!$C$51*$H83,Assumptions!$C$52*MAX(0,$K83),Assumptions!$C$53+Assumptions!$C$54*$H83,IF($B83&lt;=Assumptions!$C$55,0,Assumptions!$C$56*(1+Assumptions!$C$57)^($B83-Assumptions!$C$55-1)))</f>
        <v/>
      </c>
      <c r="M83" s="15">
        <f>$K83-$L83</f>
        <v/>
      </c>
      <c r="N83" s="15">
        <f>$H83-$I83-$J83</f>
        <v/>
      </c>
    </row>
    <row r="84">
      <c r="B84" s="32" t="n">
        <v>6</v>
      </c>
      <c r="C84" s="13">
        <f>Assumptions!$C$30*MIN(1,$B84/Assumptions!$C$31)</f>
        <v/>
      </c>
      <c r="D84" s="16">
        <f>Assumptions!$E$14*MIN(1,$B84/Assumptions!$E$15)</f>
        <v/>
      </c>
      <c r="E84" s="13">
        <f>$C84*$D84</f>
        <v/>
      </c>
      <c r="F84" s="13">
        <f>$C84*Assumptions!$C$32</f>
        <v/>
      </c>
      <c r="G84" s="13">
        <f>Assumptions!$E$20*MIN(1,$B84/Assumptions!$E$15)</f>
        <v/>
      </c>
      <c r="H84" s="15">
        <f>(($E84*Assumptions!$E$16+$F84*Assumptions!$E$17+$G84*Assumptions!$E$18+($E84*Assumptions!$C$33)*Assumptions!$E$19)*12*(1+Assumptions!$C$35)^($B84-1))+(Assumptions!$E$21*MIN(1,$B84/Assumptions!$C$31))+((MAX(0,($E84+$F84+$G84)-(($E83+$F83+$G83)))+(($E83+$F83+$G83))*Assumptions!$E$22)*Assumptions!$C$34)</f>
        <v/>
      </c>
      <c r="I84" s="15">
        <f>($E84+$F84+$G84)*Assumptions!$C$36*(1+Assumptions!$E$24)^($B84-1)+Assumptions!$C$37*(Construction_Budget!$E$15*Assumptions!$E$25)*(1+Assumptions!$E$24)^($B84-1)+Assumptions!$C$38*Assumptions!$C$39*(1+Assumptions!$E$24)^($B84-1)+Assumptions!$C$40*$H84+Assumptions!$C$41*$H84+Assumptions!$E$23*((($E84*Assumptions!$E$16+$F84*Assumptions!$E$17+$G84*Assumptions!$E$18+($E84*Assumptions!$C$33)*Assumptions!$E$19)*12*(1+Assumptions!$C$35)^($B84-1))+(Assumptions!$E$21*MIN(1,$B84/Assumptions!$C$31)))</f>
        <v/>
      </c>
      <c r="J84" s="15">
        <f>(Construction_Budget!$E$8*Assumptions!$E$25)/Assumptions!$C$42*(1+Assumptions!$E$24)^($B84-1)</f>
        <v/>
      </c>
      <c r="K84" s="15">
        <f>$H84-$I84-$J84</f>
        <v/>
      </c>
      <c r="L84" s="15">
        <f>CHOOSE(Assumptions!$C$9,Assumptions!$C$49*(1+Assumptions!$C$50)^($B84-1),Assumptions!$C$51*$H84,Assumptions!$C$52*MAX(0,$K84),Assumptions!$C$53+Assumptions!$C$54*$H84,IF($B84&lt;=Assumptions!$C$55,0,Assumptions!$C$56*(1+Assumptions!$C$57)^($B84-Assumptions!$C$55-1)))</f>
        <v/>
      </c>
      <c r="M84" s="15">
        <f>$K84-$L84</f>
        <v/>
      </c>
      <c r="N84" s="15">
        <f>$H84-$I84-$J84</f>
        <v/>
      </c>
    </row>
    <row r="85">
      <c r="B85" s="32" t="n">
        <v>7</v>
      </c>
      <c r="C85" s="13">
        <f>Assumptions!$C$30*MIN(1,$B85/Assumptions!$C$31)</f>
        <v/>
      </c>
      <c r="D85" s="16">
        <f>Assumptions!$E$14*MIN(1,$B85/Assumptions!$E$15)</f>
        <v/>
      </c>
      <c r="E85" s="13">
        <f>$C85*$D85</f>
        <v/>
      </c>
      <c r="F85" s="13">
        <f>$C85*Assumptions!$C$32</f>
        <v/>
      </c>
      <c r="G85" s="13">
        <f>Assumptions!$E$20*MIN(1,$B85/Assumptions!$E$15)</f>
        <v/>
      </c>
      <c r="H85" s="15">
        <f>(($E85*Assumptions!$E$16+$F85*Assumptions!$E$17+$G85*Assumptions!$E$18+($E85*Assumptions!$C$33)*Assumptions!$E$19)*12*(1+Assumptions!$C$35)^($B85-1))+(Assumptions!$E$21*MIN(1,$B85/Assumptions!$C$31))+((MAX(0,($E85+$F85+$G85)-(($E84+$F84+$G84)))+(($E84+$F84+$G84))*Assumptions!$E$22)*Assumptions!$C$34)</f>
        <v/>
      </c>
      <c r="I85" s="15">
        <f>($E85+$F85+$G85)*Assumptions!$C$36*(1+Assumptions!$E$24)^($B85-1)+Assumptions!$C$37*(Construction_Budget!$E$15*Assumptions!$E$25)*(1+Assumptions!$E$24)^($B85-1)+Assumptions!$C$38*Assumptions!$C$39*(1+Assumptions!$E$24)^($B85-1)+Assumptions!$C$40*$H85+Assumptions!$C$41*$H85+Assumptions!$E$23*((($E85*Assumptions!$E$16+$F85*Assumptions!$E$17+$G85*Assumptions!$E$18+($E85*Assumptions!$C$33)*Assumptions!$E$19)*12*(1+Assumptions!$C$35)^($B85-1))+(Assumptions!$E$21*MIN(1,$B85/Assumptions!$C$31)))</f>
        <v/>
      </c>
      <c r="J85" s="15">
        <f>(Construction_Budget!$E$8*Assumptions!$E$25)/Assumptions!$C$42*(1+Assumptions!$E$24)^($B85-1)</f>
        <v/>
      </c>
      <c r="K85" s="15">
        <f>$H85-$I85-$J85</f>
        <v/>
      </c>
      <c r="L85" s="15">
        <f>CHOOSE(Assumptions!$C$9,Assumptions!$C$49*(1+Assumptions!$C$50)^($B85-1),Assumptions!$C$51*$H85,Assumptions!$C$52*MAX(0,$K85),Assumptions!$C$53+Assumptions!$C$54*$H85,IF($B85&lt;=Assumptions!$C$55,0,Assumptions!$C$56*(1+Assumptions!$C$57)^($B85-Assumptions!$C$55-1)))</f>
        <v/>
      </c>
      <c r="M85" s="15">
        <f>$K85-$L85</f>
        <v/>
      </c>
      <c r="N85" s="15">
        <f>$H85-$I85-$J85</f>
        <v/>
      </c>
    </row>
    <row r="86">
      <c r="B86" s="32" t="n">
        <v>8</v>
      </c>
      <c r="C86" s="13">
        <f>Assumptions!$C$30*MIN(1,$B86/Assumptions!$C$31)</f>
        <v/>
      </c>
      <c r="D86" s="16">
        <f>Assumptions!$E$14*MIN(1,$B86/Assumptions!$E$15)</f>
        <v/>
      </c>
      <c r="E86" s="13">
        <f>$C86*$D86</f>
        <v/>
      </c>
      <c r="F86" s="13">
        <f>$C86*Assumptions!$C$32</f>
        <v/>
      </c>
      <c r="G86" s="13">
        <f>Assumptions!$E$20*MIN(1,$B86/Assumptions!$E$15)</f>
        <v/>
      </c>
      <c r="H86" s="15">
        <f>(($E86*Assumptions!$E$16+$F86*Assumptions!$E$17+$G86*Assumptions!$E$18+($E86*Assumptions!$C$33)*Assumptions!$E$19)*12*(1+Assumptions!$C$35)^($B86-1))+(Assumptions!$E$21*MIN(1,$B86/Assumptions!$C$31))+((MAX(0,($E86+$F86+$G86)-(($E85+$F85+$G85)))+(($E85+$F85+$G85))*Assumptions!$E$22)*Assumptions!$C$34)</f>
        <v/>
      </c>
      <c r="I86" s="15">
        <f>($E86+$F86+$G86)*Assumptions!$C$36*(1+Assumptions!$E$24)^($B86-1)+Assumptions!$C$37*(Construction_Budget!$E$15*Assumptions!$E$25)*(1+Assumptions!$E$24)^($B86-1)+Assumptions!$C$38*Assumptions!$C$39*(1+Assumptions!$E$24)^($B86-1)+Assumptions!$C$40*$H86+Assumptions!$C$41*$H86+Assumptions!$E$23*((($E86*Assumptions!$E$16+$F86*Assumptions!$E$17+$G86*Assumptions!$E$18+($E86*Assumptions!$C$33)*Assumptions!$E$19)*12*(1+Assumptions!$C$35)^($B86-1))+(Assumptions!$E$21*MIN(1,$B86/Assumptions!$C$31)))</f>
        <v/>
      </c>
      <c r="J86" s="15">
        <f>(Construction_Budget!$E$8*Assumptions!$E$25)/Assumptions!$C$42*(1+Assumptions!$E$24)^($B86-1)</f>
        <v/>
      </c>
      <c r="K86" s="15">
        <f>$H86-$I86-$J86</f>
        <v/>
      </c>
      <c r="L86" s="15">
        <f>CHOOSE(Assumptions!$C$9,Assumptions!$C$49*(1+Assumptions!$C$50)^($B86-1),Assumptions!$C$51*$H86,Assumptions!$C$52*MAX(0,$K86),Assumptions!$C$53+Assumptions!$C$54*$H86,IF($B86&lt;=Assumptions!$C$55,0,Assumptions!$C$56*(1+Assumptions!$C$57)^($B86-Assumptions!$C$55-1)))</f>
        <v/>
      </c>
      <c r="M86" s="15">
        <f>$K86-$L86</f>
        <v/>
      </c>
      <c r="N86" s="15">
        <f>$H86-$I86-$J86</f>
        <v/>
      </c>
    </row>
    <row r="87">
      <c r="B87" s="32" t="n">
        <v>9</v>
      </c>
      <c r="C87" s="13">
        <f>Assumptions!$C$30*MIN(1,$B87/Assumptions!$C$31)</f>
        <v/>
      </c>
      <c r="D87" s="16">
        <f>Assumptions!$E$14*MIN(1,$B87/Assumptions!$E$15)</f>
        <v/>
      </c>
      <c r="E87" s="13">
        <f>$C87*$D87</f>
        <v/>
      </c>
      <c r="F87" s="13">
        <f>$C87*Assumptions!$C$32</f>
        <v/>
      </c>
      <c r="G87" s="13">
        <f>Assumptions!$E$20*MIN(1,$B87/Assumptions!$E$15)</f>
        <v/>
      </c>
      <c r="H87" s="15">
        <f>(($E87*Assumptions!$E$16+$F87*Assumptions!$E$17+$G87*Assumptions!$E$18+($E87*Assumptions!$C$33)*Assumptions!$E$19)*12*(1+Assumptions!$C$35)^($B87-1))+(Assumptions!$E$21*MIN(1,$B87/Assumptions!$C$31))+((MAX(0,($E87+$F87+$G87)-(($E86+$F86+$G86)))+(($E86+$F86+$G86))*Assumptions!$E$22)*Assumptions!$C$34)</f>
        <v/>
      </c>
      <c r="I87" s="15">
        <f>($E87+$F87+$G87)*Assumptions!$C$36*(1+Assumptions!$E$24)^($B87-1)+Assumptions!$C$37*(Construction_Budget!$E$15*Assumptions!$E$25)*(1+Assumptions!$E$24)^($B87-1)+Assumptions!$C$38*Assumptions!$C$39*(1+Assumptions!$E$24)^($B87-1)+Assumptions!$C$40*$H87+Assumptions!$C$41*$H87+Assumptions!$E$23*((($E87*Assumptions!$E$16+$F87*Assumptions!$E$17+$G87*Assumptions!$E$18+($E87*Assumptions!$C$33)*Assumptions!$E$19)*12*(1+Assumptions!$C$35)^($B87-1))+(Assumptions!$E$21*MIN(1,$B87/Assumptions!$C$31)))</f>
        <v/>
      </c>
      <c r="J87" s="15">
        <f>(Construction_Budget!$E$8*Assumptions!$E$25)/Assumptions!$C$42*(1+Assumptions!$E$24)^($B87-1)</f>
        <v/>
      </c>
      <c r="K87" s="15">
        <f>$H87-$I87-$J87</f>
        <v/>
      </c>
      <c r="L87" s="15">
        <f>CHOOSE(Assumptions!$C$9,Assumptions!$C$49*(1+Assumptions!$C$50)^($B87-1),Assumptions!$C$51*$H87,Assumptions!$C$52*MAX(0,$K87),Assumptions!$C$53+Assumptions!$C$54*$H87,IF($B87&lt;=Assumptions!$C$55,0,Assumptions!$C$56*(1+Assumptions!$C$57)^($B87-Assumptions!$C$55-1)))</f>
        <v/>
      </c>
      <c r="M87" s="15">
        <f>$K87-$L87</f>
        <v/>
      </c>
      <c r="N87" s="15">
        <f>$H87-$I87-$J87</f>
        <v/>
      </c>
    </row>
    <row r="88">
      <c r="B88" s="32" t="n">
        <v>10</v>
      </c>
      <c r="C88" s="13">
        <f>Assumptions!$C$30*MIN(1,$B88/Assumptions!$C$31)</f>
        <v/>
      </c>
      <c r="D88" s="16">
        <f>Assumptions!$E$14*MIN(1,$B88/Assumptions!$E$15)</f>
        <v/>
      </c>
      <c r="E88" s="13">
        <f>$C88*$D88</f>
        <v/>
      </c>
      <c r="F88" s="13">
        <f>$C88*Assumptions!$C$32</f>
        <v/>
      </c>
      <c r="G88" s="13">
        <f>Assumptions!$E$20*MIN(1,$B88/Assumptions!$E$15)</f>
        <v/>
      </c>
      <c r="H88" s="15">
        <f>(($E88*Assumptions!$E$16+$F88*Assumptions!$E$17+$G88*Assumptions!$E$18+($E88*Assumptions!$C$33)*Assumptions!$E$19)*12*(1+Assumptions!$C$35)^($B88-1))+(Assumptions!$E$21*MIN(1,$B88/Assumptions!$C$31))+((MAX(0,($E88+$F88+$G88)-(($E87+$F87+$G87)))+(($E87+$F87+$G87))*Assumptions!$E$22)*Assumptions!$C$34)</f>
        <v/>
      </c>
      <c r="I88" s="15">
        <f>($E88+$F88+$G88)*Assumptions!$C$36*(1+Assumptions!$E$24)^($B88-1)+Assumptions!$C$37*(Construction_Budget!$E$15*Assumptions!$E$25)*(1+Assumptions!$E$24)^($B88-1)+Assumptions!$C$38*Assumptions!$C$39*(1+Assumptions!$E$24)^($B88-1)+Assumptions!$C$40*$H88+Assumptions!$C$41*$H88+Assumptions!$E$23*((($E88*Assumptions!$E$16+$F88*Assumptions!$E$17+$G88*Assumptions!$E$18+($E88*Assumptions!$C$33)*Assumptions!$E$19)*12*(1+Assumptions!$C$35)^($B88-1))+(Assumptions!$E$21*MIN(1,$B88/Assumptions!$C$31)))</f>
        <v/>
      </c>
      <c r="J88" s="15">
        <f>(Construction_Budget!$E$8*Assumptions!$E$25)/Assumptions!$C$42*(1+Assumptions!$E$24)^($B88-1)</f>
        <v/>
      </c>
      <c r="K88" s="15">
        <f>$H88-$I88-$J88</f>
        <v/>
      </c>
      <c r="L88" s="15">
        <f>CHOOSE(Assumptions!$C$9,Assumptions!$C$49*(1+Assumptions!$C$50)^($B88-1),Assumptions!$C$51*$H88,Assumptions!$C$52*MAX(0,$K88),Assumptions!$C$53+Assumptions!$C$54*$H88,IF($B88&lt;=Assumptions!$C$55,0,Assumptions!$C$56*(1+Assumptions!$C$57)^($B88-Assumptions!$C$55-1)))</f>
        <v/>
      </c>
      <c r="M88" s="15">
        <f>$K88-$L88</f>
        <v/>
      </c>
      <c r="N88" s="15">
        <f>$H88-$I88-$J88</f>
        <v/>
      </c>
    </row>
    <row r="89">
      <c r="B89" s="32" t="n">
        <v>11</v>
      </c>
      <c r="C89" s="13">
        <f>Assumptions!$C$30*MIN(1,$B89/Assumptions!$C$31)</f>
        <v/>
      </c>
      <c r="D89" s="16">
        <f>Assumptions!$E$14*MIN(1,$B89/Assumptions!$E$15)</f>
        <v/>
      </c>
      <c r="E89" s="13">
        <f>$C89*$D89</f>
        <v/>
      </c>
      <c r="F89" s="13">
        <f>$C89*Assumptions!$C$32</f>
        <v/>
      </c>
      <c r="G89" s="13">
        <f>Assumptions!$E$20*MIN(1,$B89/Assumptions!$E$15)</f>
        <v/>
      </c>
      <c r="H89" s="15">
        <f>(($E89*Assumptions!$E$16+$F89*Assumptions!$E$17+$G89*Assumptions!$E$18+($E89*Assumptions!$C$33)*Assumptions!$E$19)*12*(1+Assumptions!$C$35)^($B89-1))+(Assumptions!$E$21*MIN(1,$B89/Assumptions!$C$31))+((MAX(0,($E89+$F89+$G89)-(($E88+$F88+$G88)))+(($E88+$F88+$G88))*Assumptions!$E$22)*Assumptions!$C$34)</f>
        <v/>
      </c>
      <c r="I89" s="15">
        <f>($E89+$F89+$G89)*Assumptions!$C$36*(1+Assumptions!$E$24)^($B89-1)+Assumptions!$C$37*(Construction_Budget!$E$15*Assumptions!$E$25)*(1+Assumptions!$E$24)^($B89-1)+Assumptions!$C$38*Assumptions!$C$39*(1+Assumptions!$E$24)^($B89-1)+Assumptions!$C$40*$H89+Assumptions!$C$41*$H89+Assumptions!$E$23*((($E89*Assumptions!$E$16+$F89*Assumptions!$E$17+$G89*Assumptions!$E$18+($E89*Assumptions!$C$33)*Assumptions!$E$19)*12*(1+Assumptions!$C$35)^($B89-1))+(Assumptions!$E$21*MIN(1,$B89/Assumptions!$C$31)))</f>
        <v/>
      </c>
      <c r="J89" s="15">
        <f>(Construction_Budget!$E$8*Assumptions!$E$25)/Assumptions!$C$42*(1+Assumptions!$E$24)^($B89-1)</f>
        <v/>
      </c>
      <c r="K89" s="15">
        <f>$H89-$I89-$J89</f>
        <v/>
      </c>
      <c r="L89" s="15">
        <f>CHOOSE(Assumptions!$C$9,Assumptions!$C$49*(1+Assumptions!$C$50)^($B89-1),Assumptions!$C$51*$H89,Assumptions!$C$52*MAX(0,$K89),Assumptions!$C$53+Assumptions!$C$54*$H89,IF($B89&lt;=Assumptions!$C$55,0,Assumptions!$C$56*(1+Assumptions!$C$57)^($B89-Assumptions!$C$55-1)))</f>
        <v/>
      </c>
      <c r="M89" s="15">
        <f>$K89-$L89</f>
        <v/>
      </c>
      <c r="N89" s="15">
        <f>$H89-$I89-$J89</f>
        <v/>
      </c>
    </row>
    <row r="90">
      <c r="B90" s="32" t="n">
        <v>12</v>
      </c>
      <c r="C90" s="13">
        <f>Assumptions!$C$30*MIN(1,$B90/Assumptions!$C$31)</f>
        <v/>
      </c>
      <c r="D90" s="16">
        <f>Assumptions!$E$14*MIN(1,$B90/Assumptions!$E$15)</f>
        <v/>
      </c>
      <c r="E90" s="13">
        <f>$C90*$D90</f>
        <v/>
      </c>
      <c r="F90" s="13">
        <f>$C90*Assumptions!$C$32</f>
        <v/>
      </c>
      <c r="G90" s="13">
        <f>Assumptions!$E$20*MIN(1,$B90/Assumptions!$E$15)</f>
        <v/>
      </c>
      <c r="H90" s="15">
        <f>(($E90*Assumptions!$E$16+$F90*Assumptions!$E$17+$G90*Assumptions!$E$18+($E90*Assumptions!$C$33)*Assumptions!$E$19)*12*(1+Assumptions!$C$35)^($B90-1))+(Assumptions!$E$21*MIN(1,$B90/Assumptions!$C$31))+((MAX(0,($E90+$F90+$G90)-(($E89+$F89+$G89)))+(($E89+$F89+$G89))*Assumptions!$E$22)*Assumptions!$C$34)</f>
        <v/>
      </c>
      <c r="I90" s="15">
        <f>($E90+$F90+$G90)*Assumptions!$C$36*(1+Assumptions!$E$24)^($B90-1)+Assumptions!$C$37*(Construction_Budget!$E$15*Assumptions!$E$25)*(1+Assumptions!$E$24)^($B90-1)+Assumptions!$C$38*Assumptions!$C$39*(1+Assumptions!$E$24)^($B90-1)+Assumptions!$C$40*$H90+Assumptions!$C$41*$H90+Assumptions!$E$23*((($E90*Assumptions!$E$16+$F90*Assumptions!$E$17+$G90*Assumptions!$E$18+($E90*Assumptions!$C$33)*Assumptions!$E$19)*12*(1+Assumptions!$C$35)^($B90-1))+(Assumptions!$E$21*MIN(1,$B90/Assumptions!$C$31)))</f>
        <v/>
      </c>
      <c r="J90" s="15">
        <f>(Construction_Budget!$E$8*Assumptions!$E$25)/Assumptions!$C$42*(1+Assumptions!$E$24)^($B90-1)</f>
        <v/>
      </c>
      <c r="K90" s="15">
        <f>$H90-$I90-$J90</f>
        <v/>
      </c>
      <c r="L90" s="15">
        <f>CHOOSE(Assumptions!$C$9,Assumptions!$C$49*(1+Assumptions!$C$50)^($B90-1),Assumptions!$C$51*$H90,Assumptions!$C$52*MAX(0,$K90),Assumptions!$C$53+Assumptions!$C$54*$H90,IF($B90&lt;=Assumptions!$C$55,0,Assumptions!$C$56*(1+Assumptions!$C$57)^($B90-Assumptions!$C$55-1)))</f>
        <v/>
      </c>
      <c r="M90" s="15">
        <f>$K90-$L90</f>
        <v/>
      </c>
      <c r="N90" s="15">
        <f>$H90-$I90-$J90</f>
        <v/>
      </c>
    </row>
    <row r="91">
      <c r="B91" s="32" t="n">
        <v>13</v>
      </c>
      <c r="C91" s="13">
        <f>Assumptions!$C$30*MIN(1,$B91/Assumptions!$C$31)</f>
        <v/>
      </c>
      <c r="D91" s="16">
        <f>Assumptions!$E$14*MIN(1,$B91/Assumptions!$E$15)</f>
        <v/>
      </c>
      <c r="E91" s="13">
        <f>$C91*$D91</f>
        <v/>
      </c>
      <c r="F91" s="13">
        <f>$C91*Assumptions!$C$32</f>
        <v/>
      </c>
      <c r="G91" s="13">
        <f>Assumptions!$E$20*MIN(1,$B91/Assumptions!$E$15)</f>
        <v/>
      </c>
      <c r="H91" s="15">
        <f>(($E91*Assumptions!$E$16+$F91*Assumptions!$E$17+$G91*Assumptions!$E$18+($E91*Assumptions!$C$33)*Assumptions!$E$19)*12*(1+Assumptions!$C$35)^($B91-1))+(Assumptions!$E$21*MIN(1,$B91/Assumptions!$C$31))+((MAX(0,($E91+$F91+$G91)-(($E90+$F90+$G90)))+(($E90+$F90+$G90))*Assumptions!$E$22)*Assumptions!$C$34)</f>
        <v/>
      </c>
      <c r="I91" s="15">
        <f>($E91+$F91+$G91)*Assumptions!$C$36*(1+Assumptions!$E$24)^($B91-1)+Assumptions!$C$37*(Construction_Budget!$E$15*Assumptions!$E$25)*(1+Assumptions!$E$24)^($B91-1)+Assumptions!$C$38*Assumptions!$C$39*(1+Assumptions!$E$24)^($B91-1)+Assumptions!$C$40*$H91+Assumptions!$C$41*$H91+Assumptions!$E$23*((($E91*Assumptions!$E$16+$F91*Assumptions!$E$17+$G91*Assumptions!$E$18+($E91*Assumptions!$C$33)*Assumptions!$E$19)*12*(1+Assumptions!$C$35)^($B91-1))+(Assumptions!$E$21*MIN(1,$B91/Assumptions!$C$31)))</f>
        <v/>
      </c>
      <c r="J91" s="15">
        <f>(Construction_Budget!$E$8*Assumptions!$E$25)/Assumptions!$C$42*(1+Assumptions!$E$24)^($B91-1)</f>
        <v/>
      </c>
      <c r="K91" s="15">
        <f>$H91-$I91-$J91</f>
        <v/>
      </c>
      <c r="L91" s="15">
        <f>CHOOSE(Assumptions!$C$9,Assumptions!$C$49*(1+Assumptions!$C$50)^($B91-1),Assumptions!$C$51*$H91,Assumptions!$C$52*MAX(0,$K91),Assumptions!$C$53+Assumptions!$C$54*$H91,IF($B91&lt;=Assumptions!$C$55,0,Assumptions!$C$56*(1+Assumptions!$C$57)^($B91-Assumptions!$C$55-1)))</f>
        <v/>
      </c>
      <c r="M91" s="15">
        <f>$K91-$L91</f>
        <v/>
      </c>
      <c r="N91" s="15">
        <f>$H91-$I91-$J91</f>
        <v/>
      </c>
    </row>
    <row r="92">
      <c r="B92" s="32" t="n">
        <v>14</v>
      </c>
      <c r="C92" s="13">
        <f>Assumptions!$C$30*MIN(1,$B92/Assumptions!$C$31)</f>
        <v/>
      </c>
      <c r="D92" s="16">
        <f>Assumptions!$E$14*MIN(1,$B92/Assumptions!$E$15)</f>
        <v/>
      </c>
      <c r="E92" s="13">
        <f>$C92*$D92</f>
        <v/>
      </c>
      <c r="F92" s="13">
        <f>$C92*Assumptions!$C$32</f>
        <v/>
      </c>
      <c r="G92" s="13">
        <f>Assumptions!$E$20*MIN(1,$B92/Assumptions!$E$15)</f>
        <v/>
      </c>
      <c r="H92" s="15">
        <f>(($E92*Assumptions!$E$16+$F92*Assumptions!$E$17+$G92*Assumptions!$E$18+($E92*Assumptions!$C$33)*Assumptions!$E$19)*12*(1+Assumptions!$C$35)^($B92-1))+(Assumptions!$E$21*MIN(1,$B92/Assumptions!$C$31))+((MAX(0,($E92+$F92+$G92)-(($E91+$F91+$G91)))+(($E91+$F91+$G91))*Assumptions!$E$22)*Assumptions!$C$34)</f>
        <v/>
      </c>
      <c r="I92" s="15">
        <f>($E92+$F92+$G92)*Assumptions!$C$36*(1+Assumptions!$E$24)^($B92-1)+Assumptions!$C$37*(Construction_Budget!$E$15*Assumptions!$E$25)*(1+Assumptions!$E$24)^($B92-1)+Assumptions!$C$38*Assumptions!$C$39*(1+Assumptions!$E$24)^($B92-1)+Assumptions!$C$40*$H92+Assumptions!$C$41*$H92+Assumptions!$E$23*((($E92*Assumptions!$E$16+$F92*Assumptions!$E$17+$G92*Assumptions!$E$18+($E92*Assumptions!$C$33)*Assumptions!$E$19)*12*(1+Assumptions!$C$35)^($B92-1))+(Assumptions!$E$21*MIN(1,$B92/Assumptions!$C$31)))</f>
        <v/>
      </c>
      <c r="J92" s="15">
        <f>(Construction_Budget!$E$8*Assumptions!$E$25)/Assumptions!$C$42*(1+Assumptions!$E$24)^($B92-1)</f>
        <v/>
      </c>
      <c r="K92" s="15">
        <f>$H92-$I92-$J92</f>
        <v/>
      </c>
      <c r="L92" s="15">
        <f>CHOOSE(Assumptions!$C$9,Assumptions!$C$49*(1+Assumptions!$C$50)^($B92-1),Assumptions!$C$51*$H92,Assumptions!$C$52*MAX(0,$K92),Assumptions!$C$53+Assumptions!$C$54*$H92,IF($B92&lt;=Assumptions!$C$55,0,Assumptions!$C$56*(1+Assumptions!$C$57)^($B92-Assumptions!$C$55-1)))</f>
        <v/>
      </c>
      <c r="M92" s="15">
        <f>$K92-$L92</f>
        <v/>
      </c>
      <c r="N92" s="15">
        <f>$H92-$I92-$J92</f>
        <v/>
      </c>
    </row>
    <row r="93">
      <c r="B93" s="32" t="n">
        <v>15</v>
      </c>
      <c r="C93" s="13">
        <f>Assumptions!$C$30*MIN(1,$B93/Assumptions!$C$31)</f>
        <v/>
      </c>
      <c r="D93" s="16">
        <f>Assumptions!$E$14*MIN(1,$B93/Assumptions!$E$15)</f>
        <v/>
      </c>
      <c r="E93" s="13">
        <f>$C93*$D93</f>
        <v/>
      </c>
      <c r="F93" s="13">
        <f>$C93*Assumptions!$C$32</f>
        <v/>
      </c>
      <c r="G93" s="13">
        <f>Assumptions!$E$20*MIN(1,$B93/Assumptions!$E$15)</f>
        <v/>
      </c>
      <c r="H93" s="15">
        <f>(($E93*Assumptions!$E$16+$F93*Assumptions!$E$17+$G93*Assumptions!$E$18+($E93*Assumptions!$C$33)*Assumptions!$E$19)*12*(1+Assumptions!$C$35)^($B93-1))+(Assumptions!$E$21*MIN(1,$B93/Assumptions!$C$31))+((MAX(0,($E93+$F93+$G93)-(($E92+$F92+$G92)))+(($E92+$F92+$G92))*Assumptions!$E$22)*Assumptions!$C$34)</f>
        <v/>
      </c>
      <c r="I93" s="15">
        <f>($E93+$F93+$G93)*Assumptions!$C$36*(1+Assumptions!$E$24)^($B93-1)+Assumptions!$C$37*(Construction_Budget!$E$15*Assumptions!$E$25)*(1+Assumptions!$E$24)^($B93-1)+Assumptions!$C$38*Assumptions!$C$39*(1+Assumptions!$E$24)^($B93-1)+Assumptions!$C$40*$H93+Assumptions!$C$41*$H93+Assumptions!$E$23*((($E93*Assumptions!$E$16+$F93*Assumptions!$E$17+$G93*Assumptions!$E$18+($E93*Assumptions!$C$33)*Assumptions!$E$19)*12*(1+Assumptions!$C$35)^($B93-1))+(Assumptions!$E$21*MIN(1,$B93/Assumptions!$C$31)))</f>
        <v/>
      </c>
      <c r="J93" s="15">
        <f>(Construction_Budget!$E$8*Assumptions!$E$25)/Assumptions!$C$42*(1+Assumptions!$E$24)^($B93-1)</f>
        <v/>
      </c>
      <c r="K93" s="15">
        <f>$H93-$I93-$J93</f>
        <v/>
      </c>
      <c r="L93" s="15">
        <f>CHOOSE(Assumptions!$C$9,Assumptions!$C$49*(1+Assumptions!$C$50)^($B93-1),Assumptions!$C$51*$H93,Assumptions!$C$52*MAX(0,$K93),Assumptions!$C$53+Assumptions!$C$54*$H93,IF($B93&lt;=Assumptions!$C$55,0,Assumptions!$C$56*(1+Assumptions!$C$57)^($B93-Assumptions!$C$55-1)))</f>
        <v/>
      </c>
      <c r="M93" s="15">
        <f>$K93-$L93</f>
        <v/>
      </c>
      <c r="N93" s="15">
        <f>$H93-$I93-$J93</f>
        <v/>
      </c>
    </row>
    <row r="94">
      <c r="B94" s="32" t="n">
        <v>16</v>
      </c>
      <c r="C94" s="13">
        <f>Assumptions!$C$30*MIN(1,$B94/Assumptions!$C$31)</f>
        <v/>
      </c>
      <c r="D94" s="16">
        <f>Assumptions!$E$14*MIN(1,$B94/Assumptions!$E$15)</f>
        <v/>
      </c>
      <c r="E94" s="13">
        <f>$C94*$D94</f>
        <v/>
      </c>
      <c r="F94" s="13">
        <f>$C94*Assumptions!$C$32</f>
        <v/>
      </c>
      <c r="G94" s="13">
        <f>Assumptions!$E$20*MIN(1,$B94/Assumptions!$E$15)</f>
        <v/>
      </c>
      <c r="H94" s="15">
        <f>(($E94*Assumptions!$E$16+$F94*Assumptions!$E$17+$G94*Assumptions!$E$18+($E94*Assumptions!$C$33)*Assumptions!$E$19)*12*(1+Assumptions!$C$35)^($B94-1))+(Assumptions!$E$21*MIN(1,$B94/Assumptions!$C$31))+((MAX(0,($E94+$F94+$G94)-(($E93+$F93+$G93)))+(($E93+$F93+$G93))*Assumptions!$E$22)*Assumptions!$C$34)</f>
        <v/>
      </c>
      <c r="I94" s="15">
        <f>($E94+$F94+$G94)*Assumptions!$C$36*(1+Assumptions!$E$24)^($B94-1)+Assumptions!$C$37*(Construction_Budget!$E$15*Assumptions!$E$25)*(1+Assumptions!$E$24)^($B94-1)+Assumptions!$C$38*Assumptions!$C$39*(1+Assumptions!$E$24)^($B94-1)+Assumptions!$C$40*$H94+Assumptions!$C$41*$H94+Assumptions!$E$23*((($E94*Assumptions!$E$16+$F94*Assumptions!$E$17+$G94*Assumptions!$E$18+($E94*Assumptions!$C$33)*Assumptions!$E$19)*12*(1+Assumptions!$C$35)^($B94-1))+(Assumptions!$E$21*MIN(1,$B94/Assumptions!$C$31)))</f>
        <v/>
      </c>
      <c r="J94" s="15">
        <f>(Construction_Budget!$E$8*Assumptions!$E$25)/Assumptions!$C$42*(1+Assumptions!$E$24)^($B94-1)</f>
        <v/>
      </c>
      <c r="K94" s="15">
        <f>$H94-$I94-$J94</f>
        <v/>
      </c>
      <c r="L94" s="15">
        <f>CHOOSE(Assumptions!$C$9,Assumptions!$C$49*(1+Assumptions!$C$50)^($B94-1),Assumptions!$C$51*$H94,Assumptions!$C$52*MAX(0,$K94),Assumptions!$C$53+Assumptions!$C$54*$H94,IF($B94&lt;=Assumptions!$C$55,0,Assumptions!$C$56*(1+Assumptions!$C$57)^($B94-Assumptions!$C$55-1)))</f>
        <v/>
      </c>
      <c r="M94" s="15">
        <f>$K94-$L94</f>
        <v/>
      </c>
      <c r="N94" s="15">
        <f>$H94-$I94-$J94</f>
        <v/>
      </c>
    </row>
    <row r="95">
      <c r="B95" s="32" t="n">
        <v>17</v>
      </c>
      <c r="C95" s="13">
        <f>Assumptions!$C$30*MIN(1,$B95/Assumptions!$C$31)</f>
        <v/>
      </c>
      <c r="D95" s="16">
        <f>Assumptions!$E$14*MIN(1,$B95/Assumptions!$E$15)</f>
        <v/>
      </c>
      <c r="E95" s="13">
        <f>$C95*$D95</f>
        <v/>
      </c>
      <c r="F95" s="13">
        <f>$C95*Assumptions!$C$32</f>
        <v/>
      </c>
      <c r="G95" s="13">
        <f>Assumptions!$E$20*MIN(1,$B95/Assumptions!$E$15)</f>
        <v/>
      </c>
      <c r="H95" s="15">
        <f>(($E95*Assumptions!$E$16+$F95*Assumptions!$E$17+$G95*Assumptions!$E$18+($E95*Assumptions!$C$33)*Assumptions!$E$19)*12*(1+Assumptions!$C$35)^($B95-1))+(Assumptions!$E$21*MIN(1,$B95/Assumptions!$C$31))+((MAX(0,($E95+$F95+$G95)-(($E94+$F94+$G94)))+(($E94+$F94+$G94))*Assumptions!$E$22)*Assumptions!$C$34)</f>
        <v/>
      </c>
      <c r="I95" s="15">
        <f>($E95+$F95+$G95)*Assumptions!$C$36*(1+Assumptions!$E$24)^($B95-1)+Assumptions!$C$37*(Construction_Budget!$E$15*Assumptions!$E$25)*(1+Assumptions!$E$24)^($B95-1)+Assumptions!$C$38*Assumptions!$C$39*(1+Assumptions!$E$24)^($B95-1)+Assumptions!$C$40*$H95+Assumptions!$C$41*$H95+Assumptions!$E$23*((($E95*Assumptions!$E$16+$F95*Assumptions!$E$17+$G95*Assumptions!$E$18+($E95*Assumptions!$C$33)*Assumptions!$E$19)*12*(1+Assumptions!$C$35)^($B95-1))+(Assumptions!$E$21*MIN(1,$B95/Assumptions!$C$31)))</f>
        <v/>
      </c>
      <c r="J95" s="15">
        <f>(Construction_Budget!$E$8*Assumptions!$E$25)/Assumptions!$C$42*(1+Assumptions!$E$24)^($B95-1)</f>
        <v/>
      </c>
      <c r="K95" s="15">
        <f>$H95-$I95-$J95</f>
        <v/>
      </c>
      <c r="L95" s="15">
        <f>CHOOSE(Assumptions!$C$9,Assumptions!$C$49*(1+Assumptions!$C$50)^($B95-1),Assumptions!$C$51*$H95,Assumptions!$C$52*MAX(0,$K95),Assumptions!$C$53+Assumptions!$C$54*$H95,IF($B95&lt;=Assumptions!$C$55,0,Assumptions!$C$56*(1+Assumptions!$C$57)^($B95-Assumptions!$C$55-1)))</f>
        <v/>
      </c>
      <c r="M95" s="15">
        <f>$K95-$L95</f>
        <v/>
      </c>
      <c r="N95" s="15">
        <f>$H95-$I95-$J95</f>
        <v/>
      </c>
    </row>
    <row r="96">
      <c r="B96" s="32" t="n">
        <v>18</v>
      </c>
      <c r="C96" s="13">
        <f>Assumptions!$C$30*MIN(1,$B96/Assumptions!$C$31)</f>
        <v/>
      </c>
      <c r="D96" s="16">
        <f>Assumptions!$E$14*MIN(1,$B96/Assumptions!$E$15)</f>
        <v/>
      </c>
      <c r="E96" s="13">
        <f>$C96*$D96</f>
        <v/>
      </c>
      <c r="F96" s="13">
        <f>$C96*Assumptions!$C$32</f>
        <v/>
      </c>
      <c r="G96" s="13">
        <f>Assumptions!$E$20*MIN(1,$B96/Assumptions!$E$15)</f>
        <v/>
      </c>
      <c r="H96" s="15">
        <f>(($E96*Assumptions!$E$16+$F96*Assumptions!$E$17+$G96*Assumptions!$E$18+($E96*Assumptions!$C$33)*Assumptions!$E$19)*12*(1+Assumptions!$C$35)^($B96-1))+(Assumptions!$E$21*MIN(1,$B96/Assumptions!$C$31))+((MAX(0,($E96+$F96+$G96)-(($E95+$F95+$G95)))+(($E95+$F95+$G95))*Assumptions!$E$22)*Assumptions!$C$34)</f>
        <v/>
      </c>
      <c r="I96" s="15">
        <f>($E96+$F96+$G96)*Assumptions!$C$36*(1+Assumptions!$E$24)^($B96-1)+Assumptions!$C$37*(Construction_Budget!$E$15*Assumptions!$E$25)*(1+Assumptions!$E$24)^($B96-1)+Assumptions!$C$38*Assumptions!$C$39*(1+Assumptions!$E$24)^($B96-1)+Assumptions!$C$40*$H96+Assumptions!$C$41*$H96+Assumptions!$E$23*((($E96*Assumptions!$E$16+$F96*Assumptions!$E$17+$G96*Assumptions!$E$18+($E96*Assumptions!$C$33)*Assumptions!$E$19)*12*(1+Assumptions!$C$35)^($B96-1))+(Assumptions!$E$21*MIN(1,$B96/Assumptions!$C$31)))</f>
        <v/>
      </c>
      <c r="J96" s="15">
        <f>(Construction_Budget!$E$8*Assumptions!$E$25)/Assumptions!$C$42*(1+Assumptions!$E$24)^($B96-1)</f>
        <v/>
      </c>
      <c r="K96" s="15">
        <f>$H96-$I96-$J96</f>
        <v/>
      </c>
      <c r="L96" s="15">
        <f>CHOOSE(Assumptions!$C$9,Assumptions!$C$49*(1+Assumptions!$C$50)^($B96-1),Assumptions!$C$51*$H96,Assumptions!$C$52*MAX(0,$K96),Assumptions!$C$53+Assumptions!$C$54*$H96,IF($B96&lt;=Assumptions!$C$55,0,Assumptions!$C$56*(1+Assumptions!$C$57)^($B96-Assumptions!$C$55-1)))</f>
        <v/>
      </c>
      <c r="M96" s="15">
        <f>$K96-$L96</f>
        <v/>
      </c>
      <c r="N96" s="15">
        <f>$H96-$I96-$J96</f>
        <v/>
      </c>
    </row>
    <row r="97">
      <c r="B97" s="32" t="n">
        <v>19</v>
      </c>
      <c r="C97" s="13">
        <f>Assumptions!$C$30*MIN(1,$B97/Assumptions!$C$31)</f>
        <v/>
      </c>
      <c r="D97" s="16">
        <f>Assumptions!$E$14*MIN(1,$B97/Assumptions!$E$15)</f>
        <v/>
      </c>
      <c r="E97" s="13">
        <f>$C97*$D97</f>
        <v/>
      </c>
      <c r="F97" s="13">
        <f>$C97*Assumptions!$C$32</f>
        <v/>
      </c>
      <c r="G97" s="13">
        <f>Assumptions!$E$20*MIN(1,$B97/Assumptions!$E$15)</f>
        <v/>
      </c>
      <c r="H97" s="15">
        <f>(($E97*Assumptions!$E$16+$F97*Assumptions!$E$17+$G97*Assumptions!$E$18+($E97*Assumptions!$C$33)*Assumptions!$E$19)*12*(1+Assumptions!$C$35)^($B97-1))+(Assumptions!$E$21*MIN(1,$B97/Assumptions!$C$31))+((MAX(0,($E97+$F97+$G97)-(($E96+$F96+$G96)))+(($E96+$F96+$G96))*Assumptions!$E$22)*Assumptions!$C$34)</f>
        <v/>
      </c>
      <c r="I97" s="15">
        <f>($E97+$F97+$G97)*Assumptions!$C$36*(1+Assumptions!$E$24)^($B97-1)+Assumptions!$C$37*(Construction_Budget!$E$15*Assumptions!$E$25)*(1+Assumptions!$E$24)^($B97-1)+Assumptions!$C$38*Assumptions!$C$39*(1+Assumptions!$E$24)^($B97-1)+Assumptions!$C$40*$H97+Assumptions!$C$41*$H97+Assumptions!$E$23*((($E97*Assumptions!$E$16+$F97*Assumptions!$E$17+$G97*Assumptions!$E$18+($E97*Assumptions!$C$33)*Assumptions!$E$19)*12*(1+Assumptions!$C$35)^($B97-1))+(Assumptions!$E$21*MIN(1,$B97/Assumptions!$C$31)))</f>
        <v/>
      </c>
      <c r="J97" s="15">
        <f>(Construction_Budget!$E$8*Assumptions!$E$25)/Assumptions!$C$42*(1+Assumptions!$E$24)^($B97-1)</f>
        <v/>
      </c>
      <c r="K97" s="15">
        <f>$H97-$I97-$J97</f>
        <v/>
      </c>
      <c r="L97" s="15">
        <f>CHOOSE(Assumptions!$C$9,Assumptions!$C$49*(1+Assumptions!$C$50)^($B97-1),Assumptions!$C$51*$H97,Assumptions!$C$52*MAX(0,$K97),Assumptions!$C$53+Assumptions!$C$54*$H97,IF($B97&lt;=Assumptions!$C$55,0,Assumptions!$C$56*(1+Assumptions!$C$57)^($B97-Assumptions!$C$55-1)))</f>
        <v/>
      </c>
      <c r="M97" s="15">
        <f>$K97-$L97</f>
        <v/>
      </c>
      <c r="N97" s="15">
        <f>$H97-$I97-$J97</f>
        <v/>
      </c>
    </row>
    <row r="98">
      <c r="B98" s="32" t="n">
        <v>20</v>
      </c>
      <c r="C98" s="13">
        <f>Assumptions!$C$30*MIN(1,$B98/Assumptions!$C$31)</f>
        <v/>
      </c>
      <c r="D98" s="16">
        <f>Assumptions!$E$14*MIN(1,$B98/Assumptions!$E$15)</f>
        <v/>
      </c>
      <c r="E98" s="13">
        <f>$C98*$D98</f>
        <v/>
      </c>
      <c r="F98" s="13">
        <f>$C98*Assumptions!$C$32</f>
        <v/>
      </c>
      <c r="G98" s="13">
        <f>Assumptions!$E$20*MIN(1,$B98/Assumptions!$E$15)</f>
        <v/>
      </c>
      <c r="H98" s="15">
        <f>(($E98*Assumptions!$E$16+$F98*Assumptions!$E$17+$G98*Assumptions!$E$18+($E98*Assumptions!$C$33)*Assumptions!$E$19)*12*(1+Assumptions!$C$35)^($B98-1))+(Assumptions!$E$21*MIN(1,$B98/Assumptions!$C$31))+((MAX(0,($E98+$F98+$G98)-(($E97+$F97+$G97)))+(($E97+$F97+$G97))*Assumptions!$E$22)*Assumptions!$C$34)</f>
        <v/>
      </c>
      <c r="I98" s="15">
        <f>($E98+$F98+$G98)*Assumptions!$C$36*(1+Assumptions!$E$24)^($B98-1)+Assumptions!$C$37*(Construction_Budget!$E$15*Assumptions!$E$25)*(1+Assumptions!$E$24)^($B98-1)+Assumptions!$C$38*Assumptions!$C$39*(1+Assumptions!$E$24)^($B98-1)+Assumptions!$C$40*$H98+Assumptions!$C$41*$H98+Assumptions!$E$23*((($E98*Assumptions!$E$16+$F98*Assumptions!$E$17+$G98*Assumptions!$E$18+($E98*Assumptions!$C$33)*Assumptions!$E$19)*12*(1+Assumptions!$C$35)^($B98-1))+(Assumptions!$E$21*MIN(1,$B98/Assumptions!$C$31)))</f>
        <v/>
      </c>
      <c r="J98" s="15">
        <f>(Construction_Budget!$E$8*Assumptions!$E$25)/Assumptions!$C$42*(1+Assumptions!$E$24)^($B98-1)</f>
        <v/>
      </c>
      <c r="K98" s="15">
        <f>$H98-$I98-$J98</f>
        <v/>
      </c>
      <c r="L98" s="15">
        <f>CHOOSE(Assumptions!$C$9,Assumptions!$C$49*(1+Assumptions!$C$50)^($B98-1),Assumptions!$C$51*$H98,Assumptions!$C$52*MAX(0,$K98),Assumptions!$C$53+Assumptions!$C$54*$H98,IF($B98&lt;=Assumptions!$C$55,0,Assumptions!$C$56*(1+Assumptions!$C$57)^($B98-Assumptions!$C$55-1)))</f>
        <v/>
      </c>
      <c r="M98" s="15">
        <f>$K98-$L98</f>
        <v/>
      </c>
      <c r="N98" s="15">
        <f>$H98-$I98-$J98</f>
        <v/>
      </c>
    </row>
    <row r="99">
      <c r="B99" s="32" t="n">
        <v>21</v>
      </c>
      <c r="C99" s="13">
        <f>Assumptions!$C$30*MIN(1,$B99/Assumptions!$C$31)</f>
        <v/>
      </c>
      <c r="D99" s="16">
        <f>Assumptions!$E$14*MIN(1,$B99/Assumptions!$E$15)</f>
        <v/>
      </c>
      <c r="E99" s="13">
        <f>$C99*$D99</f>
        <v/>
      </c>
      <c r="F99" s="13">
        <f>$C99*Assumptions!$C$32</f>
        <v/>
      </c>
      <c r="G99" s="13">
        <f>Assumptions!$E$20*MIN(1,$B99/Assumptions!$E$15)</f>
        <v/>
      </c>
      <c r="H99" s="15">
        <f>(($E99*Assumptions!$E$16+$F99*Assumptions!$E$17+$G99*Assumptions!$E$18+($E99*Assumptions!$C$33)*Assumptions!$E$19)*12*(1+Assumptions!$C$35)^($B99-1))+(Assumptions!$E$21*MIN(1,$B99/Assumptions!$C$31))+((MAX(0,($E99+$F99+$G99)-(($E98+$F98+$G98)))+(($E98+$F98+$G98))*Assumptions!$E$22)*Assumptions!$C$34)</f>
        <v/>
      </c>
      <c r="I99" s="15">
        <f>($E99+$F99+$G99)*Assumptions!$C$36*(1+Assumptions!$E$24)^($B99-1)+Assumptions!$C$37*(Construction_Budget!$E$15*Assumptions!$E$25)*(1+Assumptions!$E$24)^($B99-1)+Assumptions!$C$38*Assumptions!$C$39*(1+Assumptions!$E$24)^($B99-1)+Assumptions!$C$40*$H99+Assumptions!$C$41*$H99+Assumptions!$E$23*((($E99*Assumptions!$E$16+$F99*Assumptions!$E$17+$G99*Assumptions!$E$18+($E99*Assumptions!$C$33)*Assumptions!$E$19)*12*(1+Assumptions!$C$35)^($B99-1))+(Assumptions!$E$21*MIN(1,$B99/Assumptions!$C$31)))</f>
        <v/>
      </c>
      <c r="J99" s="15">
        <f>(Construction_Budget!$E$8*Assumptions!$E$25)/Assumptions!$C$42*(1+Assumptions!$E$24)^($B99-1)</f>
        <v/>
      </c>
      <c r="K99" s="15">
        <f>$H99-$I99-$J99</f>
        <v/>
      </c>
      <c r="L99" s="15">
        <f>CHOOSE(Assumptions!$C$9,Assumptions!$C$49*(1+Assumptions!$C$50)^($B99-1),Assumptions!$C$51*$H99,Assumptions!$C$52*MAX(0,$K99),Assumptions!$C$53+Assumptions!$C$54*$H99,IF($B99&lt;=Assumptions!$C$55,0,Assumptions!$C$56*(1+Assumptions!$C$57)^($B99-Assumptions!$C$55-1)))</f>
        <v/>
      </c>
      <c r="M99" s="15">
        <f>$K99-$L99</f>
        <v/>
      </c>
      <c r="N99" s="15">
        <f>$H99-$I99-$J99</f>
        <v/>
      </c>
    </row>
    <row r="100">
      <c r="B100" s="32" t="n">
        <v>22</v>
      </c>
      <c r="C100" s="13">
        <f>Assumptions!$C$30*MIN(1,$B100/Assumptions!$C$31)</f>
        <v/>
      </c>
      <c r="D100" s="16">
        <f>Assumptions!$E$14*MIN(1,$B100/Assumptions!$E$15)</f>
        <v/>
      </c>
      <c r="E100" s="13">
        <f>$C100*$D100</f>
        <v/>
      </c>
      <c r="F100" s="13">
        <f>$C100*Assumptions!$C$32</f>
        <v/>
      </c>
      <c r="G100" s="13">
        <f>Assumptions!$E$20*MIN(1,$B100/Assumptions!$E$15)</f>
        <v/>
      </c>
      <c r="H100" s="15">
        <f>(($E100*Assumptions!$E$16+$F100*Assumptions!$E$17+$G100*Assumptions!$E$18+($E100*Assumptions!$C$33)*Assumptions!$E$19)*12*(1+Assumptions!$C$35)^($B100-1))+(Assumptions!$E$21*MIN(1,$B100/Assumptions!$C$31))+((MAX(0,($E100+$F100+$G100)-(($E99+$F99+$G99)))+(($E99+$F99+$G99))*Assumptions!$E$22)*Assumptions!$C$34)</f>
        <v/>
      </c>
      <c r="I100" s="15">
        <f>($E100+$F100+$G100)*Assumptions!$C$36*(1+Assumptions!$E$24)^($B100-1)+Assumptions!$C$37*(Construction_Budget!$E$15*Assumptions!$E$25)*(1+Assumptions!$E$24)^($B100-1)+Assumptions!$C$38*Assumptions!$C$39*(1+Assumptions!$E$24)^($B100-1)+Assumptions!$C$40*$H100+Assumptions!$C$41*$H100+Assumptions!$E$23*((($E100*Assumptions!$E$16+$F100*Assumptions!$E$17+$G100*Assumptions!$E$18+($E100*Assumptions!$C$33)*Assumptions!$E$19)*12*(1+Assumptions!$C$35)^($B100-1))+(Assumptions!$E$21*MIN(1,$B100/Assumptions!$C$31)))</f>
        <v/>
      </c>
      <c r="J100" s="15">
        <f>(Construction_Budget!$E$8*Assumptions!$E$25)/Assumptions!$C$42*(1+Assumptions!$E$24)^($B100-1)</f>
        <v/>
      </c>
      <c r="K100" s="15">
        <f>$H100-$I100-$J100</f>
        <v/>
      </c>
      <c r="L100" s="15">
        <f>CHOOSE(Assumptions!$C$9,Assumptions!$C$49*(1+Assumptions!$C$50)^($B100-1),Assumptions!$C$51*$H100,Assumptions!$C$52*MAX(0,$K100),Assumptions!$C$53+Assumptions!$C$54*$H100,IF($B100&lt;=Assumptions!$C$55,0,Assumptions!$C$56*(1+Assumptions!$C$57)^($B100-Assumptions!$C$55-1)))</f>
        <v/>
      </c>
      <c r="M100" s="15">
        <f>$K100-$L100</f>
        <v/>
      </c>
      <c r="N100" s="15">
        <f>$H100-$I100-$J100</f>
        <v/>
      </c>
    </row>
    <row r="101">
      <c r="B101" s="32" t="n">
        <v>23</v>
      </c>
      <c r="C101" s="13">
        <f>Assumptions!$C$30*MIN(1,$B101/Assumptions!$C$31)</f>
        <v/>
      </c>
      <c r="D101" s="16">
        <f>Assumptions!$E$14*MIN(1,$B101/Assumptions!$E$15)</f>
        <v/>
      </c>
      <c r="E101" s="13">
        <f>$C101*$D101</f>
        <v/>
      </c>
      <c r="F101" s="13">
        <f>$C101*Assumptions!$C$32</f>
        <v/>
      </c>
      <c r="G101" s="13">
        <f>Assumptions!$E$20*MIN(1,$B101/Assumptions!$E$15)</f>
        <v/>
      </c>
      <c r="H101" s="15">
        <f>(($E101*Assumptions!$E$16+$F101*Assumptions!$E$17+$G101*Assumptions!$E$18+($E101*Assumptions!$C$33)*Assumptions!$E$19)*12*(1+Assumptions!$C$35)^($B101-1))+(Assumptions!$E$21*MIN(1,$B101/Assumptions!$C$31))+((MAX(0,($E101+$F101+$G101)-(($E100+$F100+$G100)))+(($E100+$F100+$G100))*Assumptions!$E$22)*Assumptions!$C$34)</f>
        <v/>
      </c>
      <c r="I101" s="15">
        <f>($E101+$F101+$G101)*Assumptions!$C$36*(1+Assumptions!$E$24)^($B101-1)+Assumptions!$C$37*(Construction_Budget!$E$15*Assumptions!$E$25)*(1+Assumptions!$E$24)^($B101-1)+Assumptions!$C$38*Assumptions!$C$39*(1+Assumptions!$E$24)^($B101-1)+Assumptions!$C$40*$H101+Assumptions!$C$41*$H101+Assumptions!$E$23*((($E101*Assumptions!$E$16+$F101*Assumptions!$E$17+$G101*Assumptions!$E$18+($E101*Assumptions!$C$33)*Assumptions!$E$19)*12*(1+Assumptions!$C$35)^($B101-1))+(Assumptions!$E$21*MIN(1,$B101/Assumptions!$C$31)))</f>
        <v/>
      </c>
      <c r="J101" s="15">
        <f>(Construction_Budget!$E$8*Assumptions!$E$25)/Assumptions!$C$42*(1+Assumptions!$E$24)^($B101-1)</f>
        <v/>
      </c>
      <c r="K101" s="15">
        <f>$H101-$I101-$J101</f>
        <v/>
      </c>
      <c r="L101" s="15">
        <f>CHOOSE(Assumptions!$C$9,Assumptions!$C$49*(1+Assumptions!$C$50)^($B101-1),Assumptions!$C$51*$H101,Assumptions!$C$52*MAX(0,$K101),Assumptions!$C$53+Assumptions!$C$54*$H101,IF($B101&lt;=Assumptions!$C$55,0,Assumptions!$C$56*(1+Assumptions!$C$57)^($B101-Assumptions!$C$55-1)))</f>
        <v/>
      </c>
      <c r="M101" s="15">
        <f>$K101-$L101</f>
        <v/>
      </c>
      <c r="N101" s="15">
        <f>$H101-$I101-$J101</f>
        <v/>
      </c>
    </row>
    <row r="102">
      <c r="B102" s="32" t="n">
        <v>24</v>
      </c>
      <c r="C102" s="13">
        <f>Assumptions!$C$30*MIN(1,$B102/Assumptions!$C$31)</f>
        <v/>
      </c>
      <c r="D102" s="16">
        <f>Assumptions!$E$14*MIN(1,$B102/Assumptions!$E$15)</f>
        <v/>
      </c>
      <c r="E102" s="13">
        <f>$C102*$D102</f>
        <v/>
      </c>
      <c r="F102" s="13">
        <f>$C102*Assumptions!$C$32</f>
        <v/>
      </c>
      <c r="G102" s="13">
        <f>Assumptions!$E$20*MIN(1,$B102/Assumptions!$E$15)</f>
        <v/>
      </c>
      <c r="H102" s="15">
        <f>(($E102*Assumptions!$E$16+$F102*Assumptions!$E$17+$G102*Assumptions!$E$18+($E102*Assumptions!$C$33)*Assumptions!$E$19)*12*(1+Assumptions!$C$35)^($B102-1))+(Assumptions!$E$21*MIN(1,$B102/Assumptions!$C$31))+((MAX(0,($E102+$F102+$G102)-(($E101+$F101+$G101)))+(($E101+$F101+$G101))*Assumptions!$E$22)*Assumptions!$C$34)</f>
        <v/>
      </c>
      <c r="I102" s="15">
        <f>($E102+$F102+$G102)*Assumptions!$C$36*(1+Assumptions!$E$24)^($B102-1)+Assumptions!$C$37*(Construction_Budget!$E$15*Assumptions!$E$25)*(1+Assumptions!$E$24)^($B102-1)+Assumptions!$C$38*Assumptions!$C$39*(1+Assumptions!$E$24)^($B102-1)+Assumptions!$C$40*$H102+Assumptions!$C$41*$H102+Assumptions!$E$23*((($E102*Assumptions!$E$16+$F102*Assumptions!$E$17+$G102*Assumptions!$E$18+($E102*Assumptions!$C$33)*Assumptions!$E$19)*12*(1+Assumptions!$C$35)^($B102-1))+(Assumptions!$E$21*MIN(1,$B102/Assumptions!$C$31)))</f>
        <v/>
      </c>
      <c r="J102" s="15">
        <f>(Construction_Budget!$E$8*Assumptions!$E$25)/Assumptions!$C$42*(1+Assumptions!$E$24)^($B102-1)</f>
        <v/>
      </c>
      <c r="K102" s="15">
        <f>$H102-$I102-$J102</f>
        <v/>
      </c>
      <c r="L102" s="15">
        <f>CHOOSE(Assumptions!$C$9,Assumptions!$C$49*(1+Assumptions!$C$50)^($B102-1),Assumptions!$C$51*$H102,Assumptions!$C$52*MAX(0,$K102),Assumptions!$C$53+Assumptions!$C$54*$H102,IF($B102&lt;=Assumptions!$C$55,0,Assumptions!$C$56*(1+Assumptions!$C$57)^($B102-Assumptions!$C$55-1)))</f>
        <v/>
      </c>
      <c r="M102" s="15">
        <f>$K102-$L102</f>
        <v/>
      </c>
      <c r="N102" s="15">
        <f>$H102-$I102-$J102</f>
        <v/>
      </c>
    </row>
    <row r="103">
      <c r="B103" s="32" t="n">
        <v>25</v>
      </c>
      <c r="C103" s="13">
        <f>Assumptions!$C$30*MIN(1,$B103/Assumptions!$C$31)</f>
        <v/>
      </c>
      <c r="D103" s="16">
        <f>Assumptions!$E$14*MIN(1,$B103/Assumptions!$E$15)</f>
        <v/>
      </c>
      <c r="E103" s="13">
        <f>$C103*$D103</f>
        <v/>
      </c>
      <c r="F103" s="13">
        <f>$C103*Assumptions!$C$32</f>
        <v/>
      </c>
      <c r="G103" s="13">
        <f>Assumptions!$E$20*MIN(1,$B103/Assumptions!$E$15)</f>
        <v/>
      </c>
      <c r="H103" s="15">
        <f>(($E103*Assumptions!$E$16+$F103*Assumptions!$E$17+$G103*Assumptions!$E$18+($E103*Assumptions!$C$33)*Assumptions!$E$19)*12*(1+Assumptions!$C$35)^($B103-1))+(Assumptions!$E$21*MIN(1,$B103/Assumptions!$C$31))+((MAX(0,($E103+$F103+$G103)-(($E102+$F102+$G102)))+(($E102+$F102+$G102))*Assumptions!$E$22)*Assumptions!$C$34)</f>
        <v/>
      </c>
      <c r="I103" s="15">
        <f>($E103+$F103+$G103)*Assumptions!$C$36*(1+Assumptions!$E$24)^($B103-1)+Assumptions!$C$37*(Construction_Budget!$E$15*Assumptions!$E$25)*(1+Assumptions!$E$24)^($B103-1)+Assumptions!$C$38*Assumptions!$C$39*(1+Assumptions!$E$24)^($B103-1)+Assumptions!$C$40*$H103+Assumptions!$C$41*$H103+Assumptions!$E$23*((($E103*Assumptions!$E$16+$F103*Assumptions!$E$17+$G103*Assumptions!$E$18+($E103*Assumptions!$C$33)*Assumptions!$E$19)*12*(1+Assumptions!$C$35)^($B103-1))+(Assumptions!$E$21*MIN(1,$B103/Assumptions!$C$31)))</f>
        <v/>
      </c>
      <c r="J103" s="15">
        <f>(Construction_Budget!$E$8*Assumptions!$E$25)/Assumptions!$C$42*(1+Assumptions!$E$24)^($B103-1)</f>
        <v/>
      </c>
      <c r="K103" s="15">
        <f>$H103-$I103-$J103</f>
        <v/>
      </c>
      <c r="L103" s="15">
        <f>CHOOSE(Assumptions!$C$9,Assumptions!$C$49*(1+Assumptions!$C$50)^($B103-1),Assumptions!$C$51*$H103,Assumptions!$C$52*MAX(0,$K103),Assumptions!$C$53+Assumptions!$C$54*$H103,IF($B103&lt;=Assumptions!$C$55,0,Assumptions!$C$56*(1+Assumptions!$C$57)^($B103-Assumptions!$C$55-1)))</f>
        <v/>
      </c>
      <c r="M103" s="15">
        <f>$K103-$L103</f>
        <v/>
      </c>
      <c r="N103" s="15">
        <f>$H103-$I103-$J103</f>
        <v/>
      </c>
    </row>
    <row r="104">
      <c r="B104" s="32" t="n">
        <v>26</v>
      </c>
      <c r="C104" s="13">
        <f>Assumptions!$C$30*MIN(1,$B104/Assumptions!$C$31)</f>
        <v/>
      </c>
      <c r="D104" s="16">
        <f>Assumptions!$E$14*MIN(1,$B104/Assumptions!$E$15)</f>
        <v/>
      </c>
      <c r="E104" s="13">
        <f>$C104*$D104</f>
        <v/>
      </c>
      <c r="F104" s="13">
        <f>$C104*Assumptions!$C$32</f>
        <v/>
      </c>
      <c r="G104" s="13">
        <f>Assumptions!$E$20*MIN(1,$B104/Assumptions!$E$15)</f>
        <v/>
      </c>
      <c r="H104" s="15">
        <f>(($E104*Assumptions!$E$16+$F104*Assumptions!$E$17+$G104*Assumptions!$E$18+($E104*Assumptions!$C$33)*Assumptions!$E$19)*12*(1+Assumptions!$C$35)^($B104-1))+(Assumptions!$E$21*MIN(1,$B104/Assumptions!$C$31))+((MAX(0,($E104+$F104+$G104)-(($E103+$F103+$G103)))+(($E103+$F103+$G103))*Assumptions!$E$22)*Assumptions!$C$34)</f>
        <v/>
      </c>
      <c r="I104" s="15">
        <f>($E104+$F104+$G104)*Assumptions!$C$36*(1+Assumptions!$E$24)^($B104-1)+Assumptions!$C$37*(Construction_Budget!$E$15*Assumptions!$E$25)*(1+Assumptions!$E$24)^($B104-1)+Assumptions!$C$38*Assumptions!$C$39*(1+Assumptions!$E$24)^($B104-1)+Assumptions!$C$40*$H104+Assumptions!$C$41*$H104+Assumptions!$E$23*((($E104*Assumptions!$E$16+$F104*Assumptions!$E$17+$G104*Assumptions!$E$18+($E104*Assumptions!$C$33)*Assumptions!$E$19)*12*(1+Assumptions!$C$35)^($B104-1))+(Assumptions!$E$21*MIN(1,$B104/Assumptions!$C$31)))</f>
        <v/>
      </c>
      <c r="J104" s="15">
        <f>(Construction_Budget!$E$8*Assumptions!$E$25)/Assumptions!$C$42*(1+Assumptions!$E$24)^($B104-1)</f>
        <v/>
      </c>
      <c r="K104" s="15">
        <f>$H104-$I104-$J104</f>
        <v/>
      </c>
      <c r="L104" s="15">
        <f>CHOOSE(Assumptions!$C$9,Assumptions!$C$49*(1+Assumptions!$C$50)^($B104-1),Assumptions!$C$51*$H104,Assumptions!$C$52*MAX(0,$K104),Assumptions!$C$53+Assumptions!$C$54*$H104,IF($B104&lt;=Assumptions!$C$55,0,Assumptions!$C$56*(1+Assumptions!$C$57)^($B104-Assumptions!$C$55-1)))</f>
        <v/>
      </c>
      <c r="M104" s="15">
        <f>$K104-$L104</f>
        <v/>
      </c>
      <c r="N104" s="15">
        <f>$H104-$I104-$J104</f>
        <v/>
      </c>
    </row>
    <row r="105">
      <c r="B105" s="32" t="n">
        <v>27</v>
      </c>
      <c r="C105" s="13">
        <f>Assumptions!$C$30*MIN(1,$B105/Assumptions!$C$31)</f>
        <v/>
      </c>
      <c r="D105" s="16">
        <f>Assumptions!$E$14*MIN(1,$B105/Assumptions!$E$15)</f>
        <v/>
      </c>
      <c r="E105" s="13">
        <f>$C105*$D105</f>
        <v/>
      </c>
      <c r="F105" s="13">
        <f>$C105*Assumptions!$C$32</f>
        <v/>
      </c>
      <c r="G105" s="13">
        <f>Assumptions!$E$20*MIN(1,$B105/Assumptions!$E$15)</f>
        <v/>
      </c>
      <c r="H105" s="15">
        <f>(($E105*Assumptions!$E$16+$F105*Assumptions!$E$17+$G105*Assumptions!$E$18+($E105*Assumptions!$C$33)*Assumptions!$E$19)*12*(1+Assumptions!$C$35)^($B105-1))+(Assumptions!$E$21*MIN(1,$B105/Assumptions!$C$31))+((MAX(0,($E105+$F105+$G105)-(($E104+$F104+$G104)))+(($E104+$F104+$G104))*Assumptions!$E$22)*Assumptions!$C$34)</f>
        <v/>
      </c>
      <c r="I105" s="15">
        <f>($E105+$F105+$G105)*Assumptions!$C$36*(1+Assumptions!$E$24)^($B105-1)+Assumptions!$C$37*(Construction_Budget!$E$15*Assumptions!$E$25)*(1+Assumptions!$E$24)^($B105-1)+Assumptions!$C$38*Assumptions!$C$39*(1+Assumptions!$E$24)^($B105-1)+Assumptions!$C$40*$H105+Assumptions!$C$41*$H105+Assumptions!$E$23*((($E105*Assumptions!$E$16+$F105*Assumptions!$E$17+$G105*Assumptions!$E$18+($E105*Assumptions!$C$33)*Assumptions!$E$19)*12*(1+Assumptions!$C$35)^($B105-1))+(Assumptions!$E$21*MIN(1,$B105/Assumptions!$C$31)))</f>
        <v/>
      </c>
      <c r="J105" s="15">
        <f>(Construction_Budget!$E$8*Assumptions!$E$25)/Assumptions!$C$42*(1+Assumptions!$E$24)^($B105-1)</f>
        <v/>
      </c>
      <c r="K105" s="15">
        <f>$H105-$I105-$J105</f>
        <v/>
      </c>
      <c r="L105" s="15">
        <f>CHOOSE(Assumptions!$C$9,Assumptions!$C$49*(1+Assumptions!$C$50)^($B105-1),Assumptions!$C$51*$H105,Assumptions!$C$52*MAX(0,$K105),Assumptions!$C$53+Assumptions!$C$54*$H105,IF($B105&lt;=Assumptions!$C$55,0,Assumptions!$C$56*(1+Assumptions!$C$57)^($B105-Assumptions!$C$55-1)))</f>
        <v/>
      </c>
      <c r="M105" s="15">
        <f>$K105-$L105</f>
        <v/>
      </c>
      <c r="N105" s="15">
        <f>$H105-$I105-$J105</f>
        <v/>
      </c>
    </row>
    <row r="106">
      <c r="B106" s="32" t="n">
        <v>28</v>
      </c>
      <c r="C106" s="13">
        <f>Assumptions!$C$30*MIN(1,$B106/Assumptions!$C$31)</f>
        <v/>
      </c>
      <c r="D106" s="16">
        <f>Assumptions!$E$14*MIN(1,$B106/Assumptions!$E$15)</f>
        <v/>
      </c>
      <c r="E106" s="13">
        <f>$C106*$D106</f>
        <v/>
      </c>
      <c r="F106" s="13">
        <f>$C106*Assumptions!$C$32</f>
        <v/>
      </c>
      <c r="G106" s="13">
        <f>Assumptions!$E$20*MIN(1,$B106/Assumptions!$E$15)</f>
        <v/>
      </c>
      <c r="H106" s="15">
        <f>(($E106*Assumptions!$E$16+$F106*Assumptions!$E$17+$G106*Assumptions!$E$18+($E106*Assumptions!$C$33)*Assumptions!$E$19)*12*(1+Assumptions!$C$35)^($B106-1))+(Assumptions!$E$21*MIN(1,$B106/Assumptions!$C$31))+((MAX(0,($E106+$F106+$G106)-(($E105+$F105+$G105)))+(($E105+$F105+$G105))*Assumptions!$E$22)*Assumptions!$C$34)</f>
        <v/>
      </c>
      <c r="I106" s="15">
        <f>($E106+$F106+$G106)*Assumptions!$C$36*(1+Assumptions!$E$24)^($B106-1)+Assumptions!$C$37*(Construction_Budget!$E$15*Assumptions!$E$25)*(1+Assumptions!$E$24)^($B106-1)+Assumptions!$C$38*Assumptions!$C$39*(1+Assumptions!$E$24)^($B106-1)+Assumptions!$C$40*$H106+Assumptions!$C$41*$H106+Assumptions!$E$23*((($E106*Assumptions!$E$16+$F106*Assumptions!$E$17+$G106*Assumptions!$E$18+($E106*Assumptions!$C$33)*Assumptions!$E$19)*12*(1+Assumptions!$C$35)^($B106-1))+(Assumptions!$E$21*MIN(1,$B106/Assumptions!$C$31)))</f>
        <v/>
      </c>
      <c r="J106" s="15">
        <f>(Construction_Budget!$E$8*Assumptions!$E$25)/Assumptions!$C$42*(1+Assumptions!$E$24)^($B106-1)</f>
        <v/>
      </c>
      <c r="K106" s="15">
        <f>$H106-$I106-$J106</f>
        <v/>
      </c>
      <c r="L106" s="15">
        <f>CHOOSE(Assumptions!$C$9,Assumptions!$C$49*(1+Assumptions!$C$50)^($B106-1),Assumptions!$C$51*$H106,Assumptions!$C$52*MAX(0,$K106),Assumptions!$C$53+Assumptions!$C$54*$H106,IF($B106&lt;=Assumptions!$C$55,0,Assumptions!$C$56*(1+Assumptions!$C$57)^($B106-Assumptions!$C$55-1)))</f>
        <v/>
      </c>
      <c r="M106" s="15">
        <f>$K106-$L106</f>
        <v/>
      </c>
      <c r="N106" s="15">
        <f>$H106-$I106-$J106</f>
        <v/>
      </c>
    </row>
    <row r="107">
      <c r="B107" s="32" t="n">
        <v>29</v>
      </c>
      <c r="C107" s="13">
        <f>Assumptions!$C$30*MIN(1,$B107/Assumptions!$C$31)</f>
        <v/>
      </c>
      <c r="D107" s="16">
        <f>Assumptions!$E$14*MIN(1,$B107/Assumptions!$E$15)</f>
        <v/>
      </c>
      <c r="E107" s="13">
        <f>$C107*$D107</f>
        <v/>
      </c>
      <c r="F107" s="13">
        <f>$C107*Assumptions!$C$32</f>
        <v/>
      </c>
      <c r="G107" s="13">
        <f>Assumptions!$E$20*MIN(1,$B107/Assumptions!$E$15)</f>
        <v/>
      </c>
      <c r="H107" s="15">
        <f>(($E107*Assumptions!$E$16+$F107*Assumptions!$E$17+$G107*Assumptions!$E$18+($E107*Assumptions!$C$33)*Assumptions!$E$19)*12*(1+Assumptions!$C$35)^($B107-1))+(Assumptions!$E$21*MIN(1,$B107/Assumptions!$C$31))+((MAX(0,($E107+$F107+$G107)-(($E106+$F106+$G106)))+(($E106+$F106+$G106))*Assumptions!$E$22)*Assumptions!$C$34)</f>
        <v/>
      </c>
      <c r="I107" s="15">
        <f>($E107+$F107+$G107)*Assumptions!$C$36*(1+Assumptions!$E$24)^($B107-1)+Assumptions!$C$37*(Construction_Budget!$E$15*Assumptions!$E$25)*(1+Assumptions!$E$24)^($B107-1)+Assumptions!$C$38*Assumptions!$C$39*(1+Assumptions!$E$24)^($B107-1)+Assumptions!$C$40*$H107+Assumptions!$C$41*$H107+Assumptions!$E$23*((($E107*Assumptions!$E$16+$F107*Assumptions!$E$17+$G107*Assumptions!$E$18+($E107*Assumptions!$C$33)*Assumptions!$E$19)*12*(1+Assumptions!$C$35)^($B107-1))+(Assumptions!$E$21*MIN(1,$B107/Assumptions!$C$31)))</f>
        <v/>
      </c>
      <c r="J107" s="15">
        <f>(Construction_Budget!$E$8*Assumptions!$E$25)/Assumptions!$C$42*(1+Assumptions!$E$24)^($B107-1)</f>
        <v/>
      </c>
      <c r="K107" s="15">
        <f>$H107-$I107-$J107</f>
        <v/>
      </c>
      <c r="L107" s="15">
        <f>CHOOSE(Assumptions!$C$9,Assumptions!$C$49*(1+Assumptions!$C$50)^($B107-1),Assumptions!$C$51*$H107,Assumptions!$C$52*MAX(0,$K107),Assumptions!$C$53+Assumptions!$C$54*$H107,IF($B107&lt;=Assumptions!$C$55,0,Assumptions!$C$56*(1+Assumptions!$C$57)^($B107-Assumptions!$C$55-1)))</f>
        <v/>
      </c>
      <c r="M107" s="15">
        <f>$K107-$L107</f>
        <v/>
      </c>
      <c r="N107" s="15">
        <f>$H107-$I107-$J107</f>
        <v/>
      </c>
    </row>
    <row r="108">
      <c r="B108" s="32" t="n">
        <v>30</v>
      </c>
      <c r="C108" s="13">
        <f>Assumptions!$C$30*MIN(1,$B108/Assumptions!$C$31)</f>
        <v/>
      </c>
      <c r="D108" s="16">
        <f>Assumptions!$E$14*MIN(1,$B108/Assumptions!$E$15)</f>
        <v/>
      </c>
      <c r="E108" s="13">
        <f>$C108*$D108</f>
        <v/>
      </c>
      <c r="F108" s="13">
        <f>$C108*Assumptions!$C$32</f>
        <v/>
      </c>
      <c r="G108" s="13">
        <f>Assumptions!$E$20*MIN(1,$B108/Assumptions!$E$15)</f>
        <v/>
      </c>
      <c r="H108" s="15">
        <f>(($E108*Assumptions!$E$16+$F108*Assumptions!$E$17+$G108*Assumptions!$E$18+($E108*Assumptions!$C$33)*Assumptions!$E$19)*12*(1+Assumptions!$C$35)^($B108-1))+(Assumptions!$E$21*MIN(1,$B108/Assumptions!$C$31))+((MAX(0,($E108+$F108+$G108)-(($E107+$F107+$G107)))+(($E107+$F107+$G107))*Assumptions!$E$22)*Assumptions!$C$34)</f>
        <v/>
      </c>
      <c r="I108" s="15">
        <f>($E108+$F108+$G108)*Assumptions!$C$36*(1+Assumptions!$E$24)^($B108-1)+Assumptions!$C$37*(Construction_Budget!$E$15*Assumptions!$E$25)*(1+Assumptions!$E$24)^($B108-1)+Assumptions!$C$38*Assumptions!$C$39*(1+Assumptions!$E$24)^($B108-1)+Assumptions!$C$40*$H108+Assumptions!$C$41*$H108+Assumptions!$E$23*((($E108*Assumptions!$E$16+$F108*Assumptions!$E$17+$G108*Assumptions!$E$18+($E108*Assumptions!$C$33)*Assumptions!$E$19)*12*(1+Assumptions!$C$35)^($B108-1))+(Assumptions!$E$21*MIN(1,$B108/Assumptions!$C$31)))</f>
        <v/>
      </c>
      <c r="J108" s="15">
        <f>(Construction_Budget!$E$8*Assumptions!$E$25)/Assumptions!$C$42*(1+Assumptions!$E$24)^($B108-1)</f>
        <v/>
      </c>
      <c r="K108" s="15">
        <f>$H108-$I108-$J108</f>
        <v/>
      </c>
      <c r="L108" s="15">
        <f>CHOOSE(Assumptions!$C$9,Assumptions!$C$49*(1+Assumptions!$C$50)^($B108-1),Assumptions!$C$51*$H108,Assumptions!$C$52*MAX(0,$K108),Assumptions!$C$53+Assumptions!$C$54*$H108,IF($B108&lt;=Assumptions!$C$55,0,Assumptions!$C$56*(1+Assumptions!$C$57)^($B108-Assumptions!$C$55-1)))</f>
        <v/>
      </c>
      <c r="M108" s="15">
        <f>$K108-$L108</f>
        <v/>
      </c>
      <c r="N108" s="15">
        <f>$H108-$I108-$J108</f>
        <v/>
      </c>
    </row>
    <row r="111">
      <c r="B111" s="11" t="inlineStr">
        <is>
          <t>Reconciliation (valid when Scenario switch = 2 / Base):</t>
        </is>
      </c>
    </row>
    <row r="112">
      <c r="B112" s="30" t="inlineStr">
        <is>
          <t>CHECK: Base-case Y30 gross revenue reconciles to live Revenue sheet (set Scenario=2)</t>
        </is>
      </c>
      <c r="F112" s="31">
        <f>IF(OR(Assumptions!$C$7&lt;&gt;2,ABS($H73-Revenue!$I$36)&lt;50),"PASS","FAIL")</f>
        <v/>
      </c>
    </row>
  </sheetData>
  <mergeCells count="3">
    <mergeCell ref="A3:M3"/>
    <mergeCell ref="A2:M2"/>
    <mergeCell ref="A1:M1"/>
  </mergeCells>
  <conditionalFormatting sqref="F112">
    <cfRule type="expression" priority="1" dxfId="0" stopIfTrue="1">
      <formula>ISNUMBER(SEARCH("PASS",F112))</formula>
    </cfRule>
    <cfRule type="expression" priority="2" dxfId="1">
      <formula>NOT(ISNUMBER(SEARCH("PASS",F112)))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NPV &amp; IRR — 3 Cases x 3 IRU Terms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Computed from Case_Engine parallel cash flows. NPV discounts Years 1..T; IRR over Years 0..T. Discount rate &amp; option follow Assumptions.</t>
        </is>
      </c>
    </row>
    <row r="6">
      <c r="B6" s="10" t="inlineStr">
        <is>
          <t>LOW CASE</t>
        </is>
      </c>
      <c r="C6" s="10" t="n"/>
      <c r="D6" s="10" t="n"/>
      <c r="E6" s="10" t="n"/>
    </row>
    <row r="7">
      <c r="B7" s="24" t="inlineStr">
        <is>
          <t>Metric \ IRU Term</t>
        </is>
      </c>
      <c r="C7" s="24" t="inlineStr">
        <is>
          <t>20-yr</t>
        </is>
      </c>
      <c r="D7" s="24" t="inlineStr">
        <is>
          <t>25-yr</t>
        </is>
      </c>
      <c r="E7" s="24" t="inlineStr">
        <is>
          <t>30-yr</t>
        </is>
      </c>
    </row>
    <row r="8">
      <c r="B8" s="11" t="inlineStr">
        <is>
          <t>RIVR NPV (Low case)</t>
        </is>
      </c>
      <c r="C8" s="33">
        <f>Case_Engine!$M$8+NPV(Assumptions!$C$44,Case_Engine!$M$9:$M$28)</f>
        <v/>
      </c>
      <c r="D8" s="33">
        <f>Case_Engine!$M$8+NPV(Assumptions!$C$44,Case_Engine!$M$9:$M$33)</f>
        <v/>
      </c>
      <c r="E8" s="33">
        <f>Case_Engine!$M$8+NPV(Assumptions!$C$44,Case_Engine!$M$9:$M$38)</f>
        <v/>
      </c>
    </row>
    <row r="9">
      <c r="B9" s="11" t="inlineStr">
        <is>
          <t>RIVR IRR (Low case)</t>
        </is>
      </c>
      <c r="C9" s="34">
        <f>IFERROR(IRR(Case_Engine!$M$8:$M$28),"n/m")</f>
        <v/>
      </c>
      <c r="D9" s="34">
        <f>IFERROR(IRR(Case_Engine!$M$8:$M$33),"n/m")</f>
        <v/>
      </c>
      <c r="E9" s="34">
        <f>IFERROR(IRR(Case_Engine!$M$8:$M$38),"n/m")</f>
        <v/>
      </c>
    </row>
    <row r="10">
      <c r="B10" s="11" t="inlineStr">
        <is>
          <t>Project NPV (Low case)</t>
        </is>
      </c>
      <c r="C10" s="33">
        <f>Case_Engine!$N$8+NPV(Assumptions!$C$44,Case_Engine!$N$9:$N$28)</f>
        <v/>
      </c>
      <c r="D10" s="33">
        <f>Case_Engine!$N$8+NPV(Assumptions!$C$44,Case_Engine!$N$9:$N$33)</f>
        <v/>
      </c>
      <c r="E10" s="33">
        <f>Case_Engine!$N$8+NPV(Assumptions!$C$44,Case_Engine!$N$9:$N$38)</f>
        <v/>
      </c>
    </row>
    <row r="11">
      <c r="B11" s="11" t="inlineStr">
        <is>
          <t>Project IRR (Low case)</t>
        </is>
      </c>
      <c r="C11" s="34">
        <f>IFERROR(IRR(Case_Engine!$N$8:$N$28),"n/m")</f>
        <v/>
      </c>
      <c r="D11" s="34">
        <f>IFERROR(IRR(Case_Engine!$N$8:$N$33),"n/m")</f>
        <v/>
      </c>
      <c r="E11" s="34">
        <f>IFERROR(IRR(Case_Engine!$N$8:$N$38),"n/m")</f>
        <v/>
      </c>
    </row>
    <row r="13">
      <c r="B13" s="10" t="inlineStr">
        <is>
          <t>BASE CASE</t>
        </is>
      </c>
      <c r="C13" s="10" t="n"/>
      <c r="D13" s="10" t="n"/>
      <c r="E13" s="10" t="n"/>
    </row>
    <row r="14">
      <c r="B14" s="24" t="inlineStr">
        <is>
          <t>Metric \ IRU Term</t>
        </is>
      </c>
      <c r="C14" s="24" t="inlineStr">
        <is>
          <t>20-yr</t>
        </is>
      </c>
      <c r="D14" s="24" t="inlineStr">
        <is>
          <t>25-yr</t>
        </is>
      </c>
      <c r="E14" s="24" t="inlineStr">
        <is>
          <t>30-yr</t>
        </is>
      </c>
    </row>
    <row r="15">
      <c r="B15" s="11" t="inlineStr">
        <is>
          <t>RIVR NPV (Base case)</t>
        </is>
      </c>
      <c r="C15" s="33">
        <f>Case_Engine!$M$43+NPV(Assumptions!$C$44,Case_Engine!$M$44:$M$63)</f>
        <v/>
      </c>
      <c r="D15" s="33">
        <f>Case_Engine!$M$43+NPV(Assumptions!$C$44,Case_Engine!$M$44:$M$68)</f>
        <v/>
      </c>
      <c r="E15" s="33">
        <f>Case_Engine!$M$43+NPV(Assumptions!$C$44,Case_Engine!$M$44:$M$73)</f>
        <v/>
      </c>
    </row>
    <row r="16">
      <c r="B16" s="11" t="inlineStr">
        <is>
          <t>RIVR IRR (Base case)</t>
        </is>
      </c>
      <c r="C16" s="34">
        <f>IFERROR(IRR(Case_Engine!$M$43:$M$63),"n/m")</f>
        <v/>
      </c>
      <c r="D16" s="34">
        <f>IFERROR(IRR(Case_Engine!$M$43:$M$68),"n/m")</f>
        <v/>
      </c>
      <c r="E16" s="34">
        <f>IFERROR(IRR(Case_Engine!$M$43:$M$73),"n/m")</f>
        <v/>
      </c>
    </row>
    <row r="17">
      <c r="B17" s="11" t="inlineStr">
        <is>
          <t>Project NPV (Base case)</t>
        </is>
      </c>
      <c r="C17" s="33">
        <f>Case_Engine!$N$43+NPV(Assumptions!$C$44,Case_Engine!$N$44:$N$63)</f>
        <v/>
      </c>
      <c r="D17" s="33">
        <f>Case_Engine!$N$43+NPV(Assumptions!$C$44,Case_Engine!$N$44:$N$68)</f>
        <v/>
      </c>
      <c r="E17" s="33">
        <f>Case_Engine!$N$43+NPV(Assumptions!$C$44,Case_Engine!$N$44:$N$73)</f>
        <v/>
      </c>
    </row>
    <row r="18">
      <c r="B18" s="11" t="inlineStr">
        <is>
          <t>Project IRR (Base case)</t>
        </is>
      </c>
      <c r="C18" s="34">
        <f>IFERROR(IRR(Case_Engine!$N$43:$N$63),"n/m")</f>
        <v/>
      </c>
      <c r="D18" s="34">
        <f>IFERROR(IRR(Case_Engine!$N$43:$N$68),"n/m")</f>
        <v/>
      </c>
      <c r="E18" s="34">
        <f>IFERROR(IRR(Case_Engine!$N$43:$N$73),"n/m")</f>
        <v/>
      </c>
    </row>
    <row r="20">
      <c r="B20" s="10" t="inlineStr">
        <is>
          <t>HIGH CASE</t>
        </is>
      </c>
      <c r="C20" s="10" t="n"/>
      <c r="D20" s="10" t="n"/>
      <c r="E20" s="10" t="n"/>
    </row>
    <row r="21">
      <c r="B21" s="24" t="inlineStr">
        <is>
          <t>Metric \ IRU Term</t>
        </is>
      </c>
      <c r="C21" s="24" t="inlineStr">
        <is>
          <t>20-yr</t>
        </is>
      </c>
      <c r="D21" s="24" t="inlineStr">
        <is>
          <t>25-yr</t>
        </is>
      </c>
      <c r="E21" s="24" t="inlineStr">
        <is>
          <t>30-yr</t>
        </is>
      </c>
    </row>
    <row r="22">
      <c r="B22" s="11" t="inlineStr">
        <is>
          <t>RIVR NPV (High case)</t>
        </is>
      </c>
      <c r="C22" s="33">
        <f>Case_Engine!$M$78+NPV(Assumptions!$C$44,Case_Engine!$M$79:$M$98)</f>
        <v/>
      </c>
      <c r="D22" s="33">
        <f>Case_Engine!$M$78+NPV(Assumptions!$C$44,Case_Engine!$M$79:$M$103)</f>
        <v/>
      </c>
      <c r="E22" s="33">
        <f>Case_Engine!$M$78+NPV(Assumptions!$C$44,Case_Engine!$M$79:$M$108)</f>
        <v/>
      </c>
    </row>
    <row r="23">
      <c r="B23" s="11" t="inlineStr">
        <is>
          <t>RIVR IRR (High case)</t>
        </is>
      </c>
      <c r="C23" s="34">
        <f>IFERROR(IRR(Case_Engine!$M$78:$M$98),"n/m")</f>
        <v/>
      </c>
      <c r="D23" s="34">
        <f>IFERROR(IRR(Case_Engine!$M$78:$M$103),"n/m")</f>
        <v/>
      </c>
      <c r="E23" s="34">
        <f>IFERROR(IRR(Case_Engine!$M$78:$M$108),"n/m")</f>
        <v/>
      </c>
    </row>
    <row r="24">
      <c r="B24" s="11" t="inlineStr">
        <is>
          <t>Project NPV (High case)</t>
        </is>
      </c>
      <c r="C24" s="33">
        <f>Case_Engine!$N$78+NPV(Assumptions!$C$44,Case_Engine!$N$79:$N$98)</f>
        <v/>
      </c>
      <c r="D24" s="33">
        <f>Case_Engine!$N$78+NPV(Assumptions!$C$44,Case_Engine!$N$79:$N$103)</f>
        <v/>
      </c>
      <c r="E24" s="33">
        <f>Case_Engine!$N$78+NPV(Assumptions!$C$44,Case_Engine!$N$79:$N$108)</f>
        <v/>
      </c>
    </row>
    <row r="25">
      <c r="B25" s="11" t="inlineStr">
        <is>
          <t>Project IRR (High case)</t>
        </is>
      </c>
      <c r="C25" s="34">
        <f>IFERROR(IRR(Case_Engine!$N$78:$N$98),"n/m")</f>
        <v/>
      </c>
      <c r="D25" s="34">
        <f>IFERROR(IRR(Case_Engine!$N$78:$N$103),"n/m")</f>
        <v/>
      </c>
      <c r="E25" s="34">
        <f>IFERROR(IRR(Case_Engine!$N$78:$N$108),"n/m")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SENSITIVITY — Take Rate &amp; ARPU vs RIVR NPV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Formula-driven. Recomputes a simplified 30-yr RIVR NPV as take rate and residential ARPU flex around the active case.</t>
        </is>
      </c>
    </row>
    <row r="5">
      <c r="B5" s="10" t="inlineStr">
        <is>
          <t>Two-way sensitivity: Residential ARPU (rows) x Terminal Take Rate (cols)</t>
        </is>
      </c>
      <c r="C5" s="10" t="n"/>
      <c r="D5" s="10" t="n"/>
      <c r="E5" s="10" t="n"/>
      <c r="F5" s="10" t="n"/>
      <c r="G5" s="10" t="n"/>
      <c r="H5" s="10" t="n"/>
      <c r="I5" s="10" t="n"/>
    </row>
    <row r="6">
      <c r="B6" s="11" t="inlineStr">
        <is>
          <t>Simplified steady-state RIVR NPV proxy ($). Holds other active drivers fixed; for directional read only.</t>
        </is>
      </c>
      <c r="C6" s="23" t="n"/>
      <c r="D6" s="23" t="n"/>
      <c r="E6" s="23" t="n"/>
      <c r="F6" s="23" t="n"/>
      <c r="G6" s="23" t="n"/>
      <c r="H6" s="23" t="n"/>
      <c r="I6" s="14" t="n"/>
    </row>
    <row r="8">
      <c r="B8" s="35" t="inlineStr">
        <is>
          <t>ARPU \ Take</t>
        </is>
      </c>
      <c r="C8" s="25" t="n">
        <v>0.3</v>
      </c>
      <c r="D8" s="25" t="n">
        <v>0.375</v>
      </c>
      <c r="E8" s="25" t="n">
        <v>0.45</v>
      </c>
      <c r="F8" s="25" t="n">
        <v>0.525</v>
      </c>
      <c r="G8" s="25" t="n">
        <v>0.6</v>
      </c>
    </row>
    <row r="9">
      <c r="B9" s="26" t="n">
        <v>55</v>
      </c>
      <c r="C9" s="33">
        <f>((Assumptions!$C$30*C8*$B9*12)-((Assumptions!$C$40+Assumptions!$C$41)*(Assumptions!$C$30*C8*$B9*12)+Assumptions!$C$30*C8*Assumptions!$C$36)-(Assumptions!$C$51*(Assumptions!$C$30*C8*$B9*12)))*((1-(1+Assumptions!$C$44)^-30)/Assumptions!$C$44)</f>
        <v/>
      </c>
      <c r="D9" s="33">
        <f>((Assumptions!$C$30*D8*$B9*12)-((Assumptions!$C$40+Assumptions!$C$41)*(Assumptions!$C$30*D8*$B9*12)+Assumptions!$C$30*D8*Assumptions!$C$36)-(Assumptions!$C$51*(Assumptions!$C$30*D8*$B9*12)))*((1-(1+Assumptions!$C$44)^-30)/Assumptions!$C$44)</f>
        <v/>
      </c>
      <c r="E9" s="33">
        <f>((Assumptions!$C$30*E8*$B9*12)-((Assumptions!$C$40+Assumptions!$C$41)*(Assumptions!$C$30*E8*$B9*12)+Assumptions!$C$30*E8*Assumptions!$C$36)-(Assumptions!$C$51*(Assumptions!$C$30*E8*$B9*12)))*((1-(1+Assumptions!$C$44)^-30)/Assumptions!$C$44)</f>
        <v/>
      </c>
      <c r="F9" s="33">
        <f>((Assumptions!$C$30*F8*$B9*12)-((Assumptions!$C$40+Assumptions!$C$41)*(Assumptions!$C$30*F8*$B9*12)+Assumptions!$C$30*F8*Assumptions!$C$36)-(Assumptions!$C$51*(Assumptions!$C$30*F8*$B9*12)))*((1-(1+Assumptions!$C$44)^-30)/Assumptions!$C$44)</f>
        <v/>
      </c>
      <c r="G9" s="33">
        <f>((Assumptions!$C$30*G8*$B9*12)-((Assumptions!$C$40+Assumptions!$C$41)*(Assumptions!$C$30*G8*$B9*12)+Assumptions!$C$30*G8*Assumptions!$C$36)-(Assumptions!$C$51*(Assumptions!$C$30*G8*$B9*12)))*((1-(1+Assumptions!$C$44)^-30)/Assumptions!$C$44)</f>
        <v/>
      </c>
    </row>
    <row r="10">
      <c r="B10" s="26" t="n">
        <v>65</v>
      </c>
      <c r="C10" s="33">
        <f>((Assumptions!$C$30*C8*$B10*12)-((Assumptions!$C$40+Assumptions!$C$41)*(Assumptions!$C$30*C8*$B10*12)+Assumptions!$C$30*C8*Assumptions!$C$36)-(Assumptions!$C$51*(Assumptions!$C$30*C8*$B10*12)))*((1-(1+Assumptions!$C$44)^-30)/Assumptions!$C$44)</f>
        <v/>
      </c>
      <c r="D10" s="33">
        <f>((Assumptions!$C$30*D8*$B10*12)-((Assumptions!$C$40+Assumptions!$C$41)*(Assumptions!$C$30*D8*$B10*12)+Assumptions!$C$30*D8*Assumptions!$C$36)-(Assumptions!$C$51*(Assumptions!$C$30*D8*$B10*12)))*((1-(1+Assumptions!$C$44)^-30)/Assumptions!$C$44)</f>
        <v/>
      </c>
      <c r="E10" s="33">
        <f>((Assumptions!$C$30*E8*$B10*12)-((Assumptions!$C$40+Assumptions!$C$41)*(Assumptions!$C$30*E8*$B10*12)+Assumptions!$C$30*E8*Assumptions!$C$36)-(Assumptions!$C$51*(Assumptions!$C$30*E8*$B10*12)))*((1-(1+Assumptions!$C$44)^-30)/Assumptions!$C$44)</f>
        <v/>
      </c>
      <c r="F10" s="33">
        <f>((Assumptions!$C$30*F8*$B10*12)-((Assumptions!$C$40+Assumptions!$C$41)*(Assumptions!$C$30*F8*$B10*12)+Assumptions!$C$30*F8*Assumptions!$C$36)-(Assumptions!$C$51*(Assumptions!$C$30*F8*$B10*12)))*((1-(1+Assumptions!$C$44)^-30)/Assumptions!$C$44)</f>
        <v/>
      </c>
      <c r="G10" s="33">
        <f>((Assumptions!$C$30*G8*$B10*12)-((Assumptions!$C$40+Assumptions!$C$41)*(Assumptions!$C$30*G8*$B10*12)+Assumptions!$C$30*G8*Assumptions!$C$36)-(Assumptions!$C$51*(Assumptions!$C$30*G8*$B10*12)))*((1-(1+Assumptions!$C$44)^-30)/Assumptions!$C$44)</f>
        <v/>
      </c>
    </row>
    <row r="11">
      <c r="B11" s="26" t="n">
        <v>75</v>
      </c>
      <c r="C11" s="33">
        <f>((Assumptions!$C$30*C8*$B11*12)-((Assumptions!$C$40+Assumptions!$C$41)*(Assumptions!$C$30*C8*$B11*12)+Assumptions!$C$30*C8*Assumptions!$C$36)-(Assumptions!$C$51*(Assumptions!$C$30*C8*$B11*12)))*((1-(1+Assumptions!$C$44)^-30)/Assumptions!$C$44)</f>
        <v/>
      </c>
      <c r="D11" s="33">
        <f>((Assumptions!$C$30*D8*$B11*12)-((Assumptions!$C$40+Assumptions!$C$41)*(Assumptions!$C$30*D8*$B11*12)+Assumptions!$C$30*D8*Assumptions!$C$36)-(Assumptions!$C$51*(Assumptions!$C$30*D8*$B11*12)))*((1-(1+Assumptions!$C$44)^-30)/Assumptions!$C$44)</f>
        <v/>
      </c>
      <c r="E11" s="33">
        <f>((Assumptions!$C$30*E8*$B11*12)-((Assumptions!$C$40+Assumptions!$C$41)*(Assumptions!$C$30*E8*$B11*12)+Assumptions!$C$30*E8*Assumptions!$C$36)-(Assumptions!$C$51*(Assumptions!$C$30*E8*$B11*12)))*((1-(1+Assumptions!$C$44)^-30)/Assumptions!$C$44)</f>
        <v/>
      </c>
      <c r="F11" s="33">
        <f>((Assumptions!$C$30*F8*$B11*12)-((Assumptions!$C$40+Assumptions!$C$41)*(Assumptions!$C$30*F8*$B11*12)+Assumptions!$C$30*F8*Assumptions!$C$36)-(Assumptions!$C$51*(Assumptions!$C$30*F8*$B11*12)))*((1-(1+Assumptions!$C$44)^-30)/Assumptions!$C$44)</f>
        <v/>
      </c>
      <c r="G11" s="33">
        <f>((Assumptions!$C$30*G8*$B11*12)-((Assumptions!$C$40+Assumptions!$C$41)*(Assumptions!$C$30*G8*$B11*12)+Assumptions!$C$30*G8*Assumptions!$C$36)-(Assumptions!$C$51*(Assumptions!$C$30*G8*$B11*12)))*((1-(1+Assumptions!$C$44)^-30)/Assumptions!$C$44)</f>
        <v/>
      </c>
    </row>
    <row r="12">
      <c r="B12" s="26" t="n">
        <v>85</v>
      </c>
      <c r="C12" s="33">
        <f>((Assumptions!$C$30*C8*$B12*12)-((Assumptions!$C$40+Assumptions!$C$41)*(Assumptions!$C$30*C8*$B12*12)+Assumptions!$C$30*C8*Assumptions!$C$36)-(Assumptions!$C$51*(Assumptions!$C$30*C8*$B12*12)))*((1-(1+Assumptions!$C$44)^-30)/Assumptions!$C$44)</f>
        <v/>
      </c>
      <c r="D12" s="33">
        <f>((Assumptions!$C$30*D8*$B12*12)-((Assumptions!$C$40+Assumptions!$C$41)*(Assumptions!$C$30*D8*$B12*12)+Assumptions!$C$30*D8*Assumptions!$C$36)-(Assumptions!$C$51*(Assumptions!$C$30*D8*$B12*12)))*((1-(1+Assumptions!$C$44)^-30)/Assumptions!$C$44)</f>
        <v/>
      </c>
      <c r="E12" s="33">
        <f>((Assumptions!$C$30*E8*$B12*12)-((Assumptions!$C$40+Assumptions!$C$41)*(Assumptions!$C$30*E8*$B12*12)+Assumptions!$C$30*E8*Assumptions!$C$36)-(Assumptions!$C$51*(Assumptions!$C$30*E8*$B12*12)))*((1-(1+Assumptions!$C$44)^-30)/Assumptions!$C$44)</f>
        <v/>
      </c>
      <c r="F12" s="33">
        <f>((Assumptions!$C$30*F8*$B12*12)-((Assumptions!$C$40+Assumptions!$C$41)*(Assumptions!$C$30*F8*$B12*12)+Assumptions!$C$30*F8*Assumptions!$C$36)-(Assumptions!$C$51*(Assumptions!$C$30*F8*$B12*12)))*((1-(1+Assumptions!$C$44)^-30)/Assumptions!$C$44)</f>
        <v/>
      </c>
      <c r="G12" s="33">
        <f>((Assumptions!$C$30*G8*$B12*12)-((Assumptions!$C$40+Assumptions!$C$41)*(Assumptions!$C$30*G8*$B12*12)+Assumptions!$C$30*G8*Assumptions!$C$36)-(Assumptions!$C$51*(Assumptions!$C$30*G8*$B12*12)))*((1-(1+Assumptions!$C$44)^-30)/Assumptions!$C$44)</f>
        <v/>
      </c>
    </row>
    <row r="13">
      <c r="B13" s="26" t="n">
        <v>95</v>
      </c>
      <c r="C13" s="33">
        <f>((Assumptions!$C$30*C8*$B13*12)-((Assumptions!$C$40+Assumptions!$C$41)*(Assumptions!$C$30*C8*$B13*12)+Assumptions!$C$30*C8*Assumptions!$C$36)-(Assumptions!$C$51*(Assumptions!$C$30*C8*$B13*12)))*((1-(1+Assumptions!$C$44)^-30)/Assumptions!$C$44)</f>
        <v/>
      </c>
      <c r="D13" s="33">
        <f>((Assumptions!$C$30*D8*$B13*12)-((Assumptions!$C$40+Assumptions!$C$41)*(Assumptions!$C$30*D8*$B13*12)+Assumptions!$C$30*D8*Assumptions!$C$36)-(Assumptions!$C$51*(Assumptions!$C$30*D8*$B13*12)))*((1-(1+Assumptions!$C$44)^-30)/Assumptions!$C$44)</f>
        <v/>
      </c>
      <c r="E13" s="33">
        <f>((Assumptions!$C$30*E8*$B13*12)-((Assumptions!$C$40+Assumptions!$C$41)*(Assumptions!$C$30*E8*$B13*12)+Assumptions!$C$30*E8*Assumptions!$C$36)-(Assumptions!$C$51*(Assumptions!$C$30*E8*$B13*12)))*((1-(1+Assumptions!$C$44)^-30)/Assumptions!$C$44)</f>
        <v/>
      </c>
      <c r="F13" s="33">
        <f>((Assumptions!$C$30*F8*$B13*12)-((Assumptions!$C$40+Assumptions!$C$41)*(Assumptions!$C$30*F8*$B13*12)+Assumptions!$C$30*F8*Assumptions!$C$36)-(Assumptions!$C$51*(Assumptions!$C$30*F8*$B13*12)))*((1-(1+Assumptions!$C$44)^-30)/Assumptions!$C$44)</f>
        <v/>
      </c>
      <c r="G13" s="33">
        <f>((Assumptions!$C$30*G8*$B13*12)-((Assumptions!$C$40+Assumptions!$C$41)*(Assumptions!$C$30*G8*$B13*12)+Assumptions!$C$30*G8*Assumptions!$C$36)-(Assumptions!$C$51*(Assumptions!$C$30*G8*$B13*12)))*((1-(1+Assumptions!$C$44)^-30)/Assumptions!$C$44)</f>
        <v/>
      </c>
    </row>
    <row r="15">
      <c r="B15" s="10" t="inlineStr">
        <is>
          <t>One-way sensitivity: Terminal Take Rate vs RIVR NPV proxy (residential ARPU = active case)</t>
        </is>
      </c>
      <c r="C15" s="10" t="n"/>
      <c r="D15" s="10" t="n"/>
      <c r="E15" s="10" t="n"/>
      <c r="F15" s="10" t="n"/>
      <c r="G15" s="10" t="n"/>
      <c r="H15" s="10" t="n"/>
      <c r="I15" s="10" t="n"/>
    </row>
    <row r="16">
      <c r="B16" s="24" t="inlineStr">
        <is>
          <t>Terminal Take Rate</t>
        </is>
      </c>
      <c r="C16" s="24" t="inlineStr">
        <is>
          <t>RIVR NPV proxy ($)</t>
        </is>
      </c>
    </row>
    <row r="17">
      <c r="B17" s="25" t="n">
        <v>0.3</v>
      </c>
      <c r="C17" s="33">
        <f>((Assumptions!$C$30*$B17*Assumptions!$F$16*12)-((Assumptions!$C$40+Assumptions!$C$41)*(Assumptions!$C$30*$B17*Assumptions!$F$16*12)+Assumptions!$C$30*$B17*Assumptions!$C$36)-(Assumptions!$C$51*(Assumptions!$C$30*$B17*Assumptions!$F$16*12)))*((1-(1+Assumptions!$C$44)^-30)/Assumptions!$C$44)</f>
        <v/>
      </c>
    </row>
    <row r="18">
      <c r="B18" s="25" t="n">
        <v>0.375</v>
      </c>
      <c r="C18" s="33">
        <f>((Assumptions!$C$30*$B18*Assumptions!$F$16*12)-((Assumptions!$C$40+Assumptions!$C$41)*(Assumptions!$C$30*$B18*Assumptions!$F$16*12)+Assumptions!$C$30*$B18*Assumptions!$C$36)-(Assumptions!$C$51*(Assumptions!$C$30*$B18*Assumptions!$F$16*12)))*((1-(1+Assumptions!$C$44)^-30)/Assumptions!$C$44)</f>
        <v/>
      </c>
    </row>
    <row r="19">
      <c r="B19" s="25" t="n">
        <v>0.45</v>
      </c>
      <c r="C19" s="33">
        <f>((Assumptions!$C$30*$B19*Assumptions!$F$16*12)-((Assumptions!$C$40+Assumptions!$C$41)*(Assumptions!$C$30*$B19*Assumptions!$F$16*12)+Assumptions!$C$30*$B19*Assumptions!$C$36)-(Assumptions!$C$51*(Assumptions!$C$30*$B19*Assumptions!$F$16*12)))*((1-(1+Assumptions!$C$44)^-30)/Assumptions!$C$44)</f>
        <v/>
      </c>
    </row>
    <row r="20">
      <c r="B20" s="25" t="n">
        <v>0.525</v>
      </c>
      <c r="C20" s="33">
        <f>((Assumptions!$C$30*$B20*Assumptions!$F$16*12)-((Assumptions!$C$40+Assumptions!$C$41)*(Assumptions!$C$30*$B20*Assumptions!$F$16*12)+Assumptions!$C$30*$B20*Assumptions!$C$36)-(Assumptions!$C$51*(Assumptions!$C$30*$B20*Assumptions!$F$16*12)))*((1-(1+Assumptions!$C$44)^-30)/Assumptions!$C$44)</f>
        <v/>
      </c>
    </row>
    <row r="21">
      <c r="B21" s="25" t="n">
        <v>0.6</v>
      </c>
      <c r="C21" s="33">
        <f>((Assumptions!$C$30*$B21*Assumptions!$F$16*12)-((Assumptions!$C$40+Assumptions!$C$41)*(Assumptions!$C$30*$B21*Assumptions!$F$16*12)+Assumptions!$C$30*$B21*Assumptions!$C$36)-(Assumptions!$C$51*(Assumptions!$C$30*$B21*Assumptions!$F$16*12)))*((1-(1+Assumptions!$C$44)^-30)/Assumptions!$C$44)</f>
        <v/>
      </c>
    </row>
  </sheetData>
  <mergeCells count="4">
    <mergeCell ref="A1:I1"/>
    <mergeCell ref="B6:I6"/>
    <mergeCell ref="A3:I3"/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SCENARIO COMPARISON — Low / Base / High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Key outputs from Case_Engine (30-yr horizon, active option). Independent of the Scenario switch.</t>
        </is>
      </c>
    </row>
    <row r="5">
      <c r="B5" s="24" t="inlineStr">
        <is>
          <t>Output Metric</t>
        </is>
      </c>
      <c r="C5" s="24" t="inlineStr">
        <is>
          <t>Low</t>
        </is>
      </c>
      <c r="D5" s="24" t="inlineStr">
        <is>
          <t>Base</t>
        </is>
      </c>
      <c r="E5" s="24" t="inlineStr">
        <is>
          <t>High</t>
        </is>
      </c>
    </row>
    <row r="6">
      <c r="B6" s="11" t="inlineStr">
        <is>
          <t>Year-30 gross revenue</t>
        </is>
      </c>
      <c r="C6" s="33">
        <f>Case_Engine!$H$38</f>
        <v/>
      </c>
      <c r="D6" s="33">
        <f>Case_Engine!$H$73</f>
        <v/>
      </c>
      <c r="E6" s="33">
        <f>Case_Engine!$H$108</f>
        <v/>
      </c>
    </row>
    <row r="7">
      <c r="B7" s="11" t="inlineStr">
        <is>
          <t>Cumulative Tribal payments (30 yr)</t>
        </is>
      </c>
      <c r="C7" s="33">
        <f>SUM(Case_Engine!$L$8:$L$38)</f>
        <v/>
      </c>
      <c r="D7" s="33">
        <f>SUM(Case_Engine!$L$43:$L$73)</f>
        <v/>
      </c>
      <c r="E7" s="33">
        <f>SUM(Case_Engine!$L$78:$L$108)</f>
        <v/>
      </c>
    </row>
    <row r="8">
      <c r="B8" s="11" t="inlineStr">
        <is>
          <t>RIVR NPV (30-yr term)</t>
        </is>
      </c>
      <c r="C8" s="33">
        <f>Case_Engine!$M$8+NPV(Assumptions!$C$44,Case_Engine!$M$9:$M$38)</f>
        <v/>
      </c>
      <c r="D8" s="33">
        <f>Case_Engine!$M$43+NPV(Assumptions!$C$44,Case_Engine!$M$44:$M$73)</f>
        <v/>
      </c>
      <c r="E8" s="33">
        <f>Case_Engine!$M$78+NPV(Assumptions!$C$44,Case_Engine!$M$79:$M$108)</f>
        <v/>
      </c>
    </row>
    <row r="9">
      <c r="B9" s="11" t="inlineStr">
        <is>
          <t>RIVR IRR (30-yr term)</t>
        </is>
      </c>
      <c r="C9" s="34">
        <f>IFERROR(IRR(Case_Engine!$M$8:$M$38),"n/m")</f>
        <v/>
      </c>
      <c r="D9" s="34">
        <f>IFERROR(IRR(Case_Engine!$M$43:$M$73),"n/m")</f>
        <v/>
      </c>
      <c r="E9" s="34">
        <f>IFERROR(IRR(Case_Engine!$M$78:$M$108),"n/m")</f>
        <v/>
      </c>
    </row>
    <row r="10">
      <c r="B10" s="11" t="inlineStr">
        <is>
          <t>Project NPV (30-yr term)</t>
        </is>
      </c>
      <c r="C10" s="33">
        <f>Case_Engine!$N$8+NPV(Assumptions!$C$44,Case_Engine!$N$9:$N$38)</f>
        <v/>
      </c>
      <c r="D10" s="33">
        <f>Case_Engine!$N$43+NPV(Assumptions!$C$44,Case_Engine!$N$44:$N$73)</f>
        <v/>
      </c>
      <c r="E10" s="33">
        <f>Case_Engine!$N$78+NPV(Assumptions!$C$44,Case_Engine!$N$79:$N$108)</f>
        <v/>
      </c>
    </row>
  </sheetData>
  <autoFilter ref="B5:E5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2026-07-17T15:31:19Z</dcterms:created>
  <dcterms:modified xmlns:dcterms="http://purl.org/dc/terms/" xmlns:xsi="http://www.w3.org/2001/XMLSchema-instance" xsi:type="dcterms:W3CDTF">2026-07-17T15:31:19Z</dcterms:modified>
</cp:coreProperties>
</file>