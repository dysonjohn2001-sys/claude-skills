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isk Matrix" sheetId="2" state="visible" r:id="rId2"/>
  </sheets>
  <definedNames>
    <definedName name="_xlnm._FilterDatabase" localSheetId="1" hidden="1">'Risk Matrix'!$A$5:$G$5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6" borderId="1" pivotButton="0" quotePrefix="0" xfId="0"/>
    <xf numFmtId="0" fontId="6" fillId="7" borderId="1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DRAFT FOR DISCUSSION – SUBJECT TO LEGAL, GRANT AND FINANCIAL REVIEW</t>
        </is>
      </c>
    </row>
    <row r="3">
      <c r="B3" s="9" t="inlineStr">
        <is>
          <t>Parties: Lumbee Tribe of North Carolina (the “Tribe”) and LREMC Technologies, LLC d/b/a RIVR Tech (“RIVR Tech”)</t>
        </is>
      </c>
    </row>
    <row r="4"/>
    <row r="5">
      <c r="B5" s="3" t="inlineStr">
        <is>
          <t>Negotiation Risk Matrix</t>
        </is>
      </c>
    </row>
    <row r="6">
      <c r="B6" s="4" t="inlineStr">
        <is>
          <t>Scores each material risk in the Lumbee Tribe / RIVR Tech transaction. Score = Likelihood x Impact (each 1–5, so 1–25).</t>
        </is>
      </c>
    </row>
    <row r="7">
      <c r="B7" s="4" t="inlineStr">
        <is>
          <t>• Enter Likelihood and Impact (amber input cells, 1–5). Score is a formula (blue) and auto-highlights: red when &gt;= 15 (high), amber 8–14 (medium), green &lt;= 7 (low).</t>
        </is>
      </c>
    </row>
    <row r="8">
      <c r="B8" s="4" t="inlineStr">
        <is>
          <t>• Likelihood/Impact scale: 1 = very low, 3 = moderate, 5 = very high.</t>
        </is>
      </c>
    </row>
    <row r="9">
      <c r="B9" s="4" t="inlineStr">
        <is>
          <t>• Mitigation and Owner columns capture the plan and accountable party.</t>
        </is>
      </c>
    </row>
    <row r="10"/>
    <row r="11">
      <c r="A11" s="5" t="inlineStr">
        <is>
          <t>Legend:</t>
        </is>
      </c>
      <c r="B11" s="6" t="inlineStr">
        <is>
          <t>INPUT (edit these)</t>
        </is>
      </c>
      <c r="C11" s="7" t="inlineStr">
        <is>
          <t>FORMULA (do not edit)</t>
        </is>
      </c>
      <c r="D11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2" customWidth="1" min="4" max="4"/>
    <col width="12" customWidth="1" min="5" max="5"/>
    <col width="44" customWidth="1" min="6" max="6"/>
    <col width="20" customWidth="1" min="7" max="7"/>
  </cols>
  <sheetData>
    <row r="1">
      <c r="A1" s="1" t="inlineStr">
        <is>
          <t>Negotiation Risk Matrix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Likelihood x Impact scoring — draft for counsel and business review</t>
        </is>
      </c>
    </row>
    <row r="5">
      <c r="A5" s="10" t="inlineStr">
        <is>
          <t>Risk</t>
        </is>
      </c>
      <c r="B5" s="10" t="inlineStr">
        <is>
          <t>Category</t>
        </is>
      </c>
      <c r="C5" s="10" t="inlineStr">
        <is>
          <t>Likelihood (1-5)</t>
        </is>
      </c>
      <c r="D5" s="10" t="inlineStr">
        <is>
          <t>Impact (1-5)</t>
        </is>
      </c>
      <c r="E5" s="10" t="inlineStr">
        <is>
          <t>Score (=LxI)</t>
        </is>
      </c>
      <c r="F5" s="10" t="inlineStr">
        <is>
          <t>Mitigation</t>
        </is>
      </c>
      <c r="G5" s="10" t="inlineStr">
        <is>
          <t>Owner</t>
        </is>
      </c>
    </row>
    <row r="6">
      <c r="A6" s="11" t="inlineStr">
        <is>
          <t>Lumbee federal recognition / TBCP eligibility</t>
        </is>
      </c>
      <c r="B6" s="11" t="inlineStr">
        <is>
          <t>Grant / Threshold</t>
        </is>
      </c>
      <c r="C6" s="12" t="n">
        <v>3</v>
      </c>
      <c r="D6" s="12" t="n">
        <v>5</v>
      </c>
      <c r="E6" s="13">
        <f>C6*D6</f>
        <v/>
      </c>
      <c r="F6" s="11" t="inlineStr">
        <is>
          <t>Confirm eligibility with NTIA in writing before acceptance; fallback eligible designated entity; condition agreements on confirmation.</t>
        </is>
      </c>
      <c r="G6" s="11" t="inlineStr">
        <is>
          <t>Tribal + Grant counsel</t>
        </is>
      </c>
    </row>
    <row r="7">
      <c r="A7" s="11" t="inlineStr">
        <is>
          <t>Grant clawback / recapture</t>
        </is>
      </c>
      <c r="B7" s="11" t="inlineStr">
        <is>
          <t>Grant</t>
        </is>
      </c>
      <c r="C7" s="12" t="n">
        <v>3</v>
      </c>
      <c r="D7" s="12" t="n">
        <v>5</v>
      </c>
      <c r="E7" s="13">
        <f>C7*D7</f>
        <v/>
      </c>
      <c r="F7" s="11" t="inlineStr">
        <is>
          <t>Fault-based allocation; RIVR indemnity for operator-caused noncompliance; compliance reserve; strict property/disposition controls.</t>
        </is>
      </c>
      <c r="G7" s="11" t="inlineStr">
        <is>
          <t>Grant counsel + Finance</t>
        </is>
      </c>
    </row>
    <row r="8">
      <c r="A8" s="11" t="inlineStr">
        <is>
          <t>Construction cost overrun</t>
        </is>
      </c>
      <c r="B8" s="11" t="inlineStr">
        <is>
          <t>Construction / Financial</t>
        </is>
      </c>
      <c r="C8" s="12" t="n">
        <v>4</v>
      </c>
      <c r="D8" s="12" t="n">
        <v>4</v>
      </c>
      <c r="E8" s="13">
        <f>C8*D8</f>
        <v/>
      </c>
      <c r="F8" s="11" t="inlineStr">
        <is>
          <t>GMP/fixed-price where possible; contingency; change-order controls; performance/payment bonds.</t>
        </is>
      </c>
      <c r="G8" s="11" t="inlineStr">
        <is>
          <t>RIVR + Finance</t>
        </is>
      </c>
    </row>
    <row r="9">
      <c r="A9" s="11" t="inlineStr">
        <is>
          <t>Take-rate / adoption shortfall</t>
        </is>
      </c>
      <c r="B9" s="11" t="inlineStr">
        <is>
          <t>Commercial</t>
        </is>
      </c>
      <c r="C9" s="12" t="n">
        <v>4</v>
      </c>
      <c r="D9" s="12" t="n">
        <v>4</v>
      </c>
      <c r="E9" s="13">
        <f>C9*D9</f>
        <v/>
      </c>
      <c r="F9" s="11" t="inlineStr">
        <is>
          <t>Conservative model; affordability tier + marketing plan; revenue-share sized to downside; milestone-based obligations.</t>
        </is>
      </c>
      <c r="G9" s="11" t="inlineStr">
        <is>
          <t>Business + Finance</t>
        </is>
      </c>
    </row>
    <row r="10">
      <c r="A10" s="11" t="inlineStr">
        <is>
          <t>Sovereign-immunity impasse</t>
        </is>
      </c>
      <c r="B10" s="11" t="inlineStr">
        <is>
          <t>Legal</t>
        </is>
      </c>
      <c r="C10" s="12" t="n">
        <v>3</v>
      </c>
      <c r="D10" s="12" t="n">
        <v>4</v>
      </c>
      <c r="E10" s="13">
        <f>C10*D10</f>
        <v/>
      </c>
      <c r="F10" s="11" t="inlineStr">
        <is>
          <t>Early principled negotiation; limited express waiver for arbitration only; asset-limited caps; separate Council action.</t>
        </is>
      </c>
      <c r="G10" s="11" t="inlineStr">
        <is>
          <t>Both parties' counsel</t>
        </is>
      </c>
    </row>
    <row r="11">
      <c r="A11" s="11" t="inlineStr">
        <is>
          <t>Environmental / historic-review delay</t>
        </is>
      </c>
      <c r="B11" s="11" t="inlineStr">
        <is>
          <t>Regulatory</t>
        </is>
      </c>
      <c r="C11" s="12" t="n">
        <v>3</v>
      </c>
      <c r="D11" s="12" t="n">
        <v>3</v>
      </c>
      <c r="E11" s="13">
        <f>C11*D11</f>
        <v/>
      </c>
      <c r="F11" s="11" t="inlineStr">
        <is>
          <t>Start NEPA/NHPA §106 early; route around sensitive sites; schedule float; SHPO/THPO consultation.</t>
        </is>
      </c>
      <c r="G11" s="11" t="inlineStr">
        <is>
          <t>Grant counsel + RIVR</t>
        </is>
      </c>
    </row>
    <row r="12">
      <c r="A12" s="11" t="inlineStr">
        <is>
          <t>BABA sourcing non-compliance / delay</t>
        </is>
      </c>
      <c r="B12" s="11" t="inlineStr">
        <is>
          <t>Grant / Supply</t>
        </is>
      </c>
      <c r="C12" s="12" t="n">
        <v>3</v>
      </c>
      <c r="D12" s="12" t="n">
        <v>4</v>
      </c>
      <c r="E12" s="13">
        <f>C12*D12</f>
        <v/>
      </c>
      <c r="F12" s="11" t="inlineStr">
        <is>
          <t>Early BABA-compliant sourcing; supplier certifications; waiver process if needed; document domestic content.</t>
        </is>
      </c>
      <c r="G12" s="11" t="inlineStr">
        <is>
          <t>RIVR + Grant counsel</t>
        </is>
      </c>
    </row>
    <row r="13">
      <c r="A13" s="11" t="inlineStr">
        <is>
          <t>Program-income treatment dispute</t>
        </is>
      </c>
      <c r="B13" s="11" t="inlineStr">
        <is>
          <t>Grant / Financial</t>
        </is>
      </c>
      <c r="C13" s="12" t="n">
        <v>3</v>
      </c>
      <c r="D13" s="12" t="n">
        <v>3</v>
      </c>
      <c r="E13" s="13">
        <f>C13*D13</f>
        <v/>
      </c>
      <c r="F13" s="11" t="inlineStr">
        <is>
          <t>Confirm method with NTIA up front; structure revenue-share to satisfy 200.307; document in financial schedule.</t>
        </is>
      </c>
      <c r="G13" s="11" t="inlineStr">
        <is>
          <t>Grant counsel + Finance</t>
        </is>
      </c>
    </row>
    <row r="14">
      <c r="A14" s="11" t="inlineStr">
        <is>
          <t>Impermissible private benefit</t>
        </is>
      </c>
      <c r="B14" s="11" t="inlineStr">
        <is>
          <t>Grant</t>
        </is>
      </c>
      <c r="C14" s="12" t="n">
        <v>2</v>
      </c>
      <c r="D14" s="12" t="n">
        <v>5</v>
      </c>
      <c r="E14" s="13">
        <f>C14*D14</f>
        <v/>
      </c>
      <c r="F14" s="11" t="inlineStr">
        <is>
          <t>Fair, benchmarked, documented consideration to Tribe; public-purpose protections; reversion; arm's-length terms.</t>
        </is>
      </c>
      <c r="G14" s="11" t="inlineStr">
        <is>
          <t>Grant counsel + Finance</t>
        </is>
      </c>
    </row>
    <row r="15">
      <c r="A15" s="11" t="inlineStr">
        <is>
          <t>Operator default / step-in event</t>
        </is>
      </c>
      <c r="B15" s="11" t="inlineStr">
        <is>
          <t>Operational / Legal</t>
        </is>
      </c>
      <c r="C15" s="12" t="n">
        <v>2</v>
      </c>
      <c r="D15" s="12" t="n">
        <v>5</v>
      </c>
      <c r="E15" s="13">
        <f>C15*D15</f>
        <v/>
      </c>
      <c r="F15" s="11" t="inlineStr">
        <is>
          <t>Clear default/cure; Tribe emergency step-in; replacement-operator plan; escrow of records/credentials.</t>
        </is>
      </c>
      <c r="G15" s="11" t="inlineStr">
        <is>
          <t>Tribal counsel + RIVR</t>
        </is>
      </c>
    </row>
    <row r="16">
      <c r="A16" s="11" t="inlineStr">
        <is>
          <t>Asset encumbrance conflict with federal interest</t>
        </is>
      </c>
      <c r="B16" s="11" t="inlineStr">
        <is>
          <t>Grant / Legal</t>
        </is>
      </c>
      <c r="C16" s="12" t="n">
        <v>3</v>
      </c>
      <c r="D16" s="12" t="n">
        <v>4</v>
      </c>
      <c r="E16" s="13">
        <f>C16*D16</f>
        <v/>
      </c>
      <c r="F16" s="11" t="inlineStr">
        <is>
          <t>No liens on Tribal Assets; confirm IRU is permissible use; security from RIVR assets only; NTIA position letter.</t>
        </is>
      </c>
      <c r="G16" s="11" t="inlineStr">
        <is>
          <t>Grant + Tribal counsel</t>
        </is>
      </c>
    </row>
    <row r="17">
      <c r="A17" s="11" t="inlineStr">
        <is>
          <t>Easement / ROW / pole-attachment failure</t>
        </is>
      </c>
      <c r="B17" s="11" t="inlineStr">
        <is>
          <t>Real Estate</t>
        </is>
      </c>
      <c r="C17" s="12" t="n">
        <v>3</v>
      </c>
      <c r="D17" s="12" t="n">
        <v>3</v>
      </c>
      <c r="E17" s="13">
        <f>C17*D17</f>
        <v/>
      </c>
      <c r="F17" s="11" t="inlineStr">
        <is>
          <t>Secure recordable long-duration easements/ROW; pole agreements; allocate permitting risk; survival on transition.</t>
        </is>
      </c>
      <c r="G17" s="11" t="inlineStr">
        <is>
          <t>Real-estate counsel + RIVR</t>
        </is>
      </c>
    </row>
    <row r="18">
      <c r="A18" s="11" t="inlineStr">
        <is>
          <t>Governing-law / jurisdiction dispute</t>
        </is>
      </c>
      <c r="B18" s="11" t="inlineStr">
        <is>
          <t>Legal</t>
        </is>
      </c>
      <c r="C18" s="12" t="n">
        <v>2</v>
      </c>
      <c r="D18" s="12" t="n">
        <v>4</v>
      </c>
      <c r="E18" s="13">
        <f>C18*D18</f>
        <v/>
      </c>
      <c r="F18" s="11" t="inlineStr">
        <is>
          <t>Resolve choice-of-law + forum + exhaustion together; consistent across the agreement suite.</t>
        </is>
      </c>
      <c r="G18" s="11" t="inlineStr">
        <is>
          <t>Both parties' counsel</t>
        </is>
      </c>
    </row>
    <row r="19">
      <c r="A19" s="11" t="inlineStr">
        <is>
          <t>Regulatory / ETC / USAC compliance gap</t>
        </is>
      </c>
      <c r="B19" s="11" t="inlineStr">
        <is>
          <t>Regulatory</t>
        </is>
      </c>
      <c r="C19" s="12" t="n">
        <v>2</v>
      </c>
      <c r="D19" s="12" t="n">
        <v>3</v>
      </c>
      <c r="E19" s="13">
        <f>C19*D19</f>
        <v/>
      </c>
      <c r="F19" s="11" t="inlineStr">
        <is>
          <t>RIVR holds carrier authorizations/ETC; assign CPNI; compliance calendar.</t>
        </is>
      </c>
      <c r="G19" s="11" t="inlineStr">
        <is>
          <t>Regulatory counsel + RIVR</t>
        </is>
      </c>
    </row>
    <row r="20">
      <c r="A20" s="11" t="inlineStr">
        <is>
          <t>Insurance / bonding inadequacy</t>
        </is>
      </c>
      <c r="B20" s="11" t="inlineStr">
        <is>
          <t>Risk</t>
        </is>
      </c>
      <c r="C20" s="12" t="n">
        <v>2</v>
      </c>
      <c r="D20" s="12" t="n">
        <v>3</v>
      </c>
      <c r="E20" s="13">
        <f>C20*D20</f>
        <v/>
      </c>
      <c r="F20" s="11" t="inlineStr">
        <is>
          <t>Enforce Exhibit I limits; additional-insured/waiver of subrogation; annual COI verification.</t>
        </is>
      </c>
      <c r="G20" s="11" t="inlineStr">
        <is>
          <t>Risk + RIVR</t>
        </is>
      </c>
    </row>
    <row r="21">
      <c r="A21" s="11" t="inlineStr">
        <is>
          <t>Transition / end-of-term service disruption</t>
        </is>
      </c>
      <c r="B21" s="11" t="inlineStr">
        <is>
          <t>Operational</t>
        </is>
      </c>
      <c r="C21" s="12" t="n">
        <v>2</v>
      </c>
      <c r="D21" s="12" t="n">
        <v>4</v>
      </c>
      <c r="E21" s="13">
        <f>C21*D21</f>
        <v/>
      </c>
      <c r="F21" s="11" t="inlineStr">
        <is>
          <t>12-mo transition assistance; records/customer handover; defined transition pricing; step-in fallback.</t>
        </is>
      </c>
      <c r="G21" s="11" t="inlineStr">
        <is>
          <t>Both parties + Business</t>
        </is>
      </c>
    </row>
    <row r="22">
      <c r="A22" s="11" t="inlineStr">
        <is>
          <t>Cybersecurity / data breach (CPNI)</t>
        </is>
      </c>
      <c r="B22" s="11" t="inlineStr">
        <is>
          <t>Operational / Privacy</t>
        </is>
      </c>
      <c r="C22" s="12" t="n">
        <v>2</v>
      </c>
      <c r="D22" s="12" t="n">
        <v>4</v>
      </c>
      <c r="E22" s="13">
        <f>C22*D22</f>
        <v/>
      </c>
      <c r="F22" s="11" t="inlineStr">
        <is>
          <t>Cyber insurance ($5M); CPNI/privacy controls; incident response; §889 equipment ban compliance.</t>
        </is>
      </c>
      <c r="G22" s="11" t="inlineStr">
        <is>
          <t>RIVR + Privacy counsel</t>
        </is>
      </c>
    </row>
    <row r="24">
      <c r="A24" s="5" t="inlineStr">
        <is>
          <t>Score bands:</t>
        </is>
      </c>
      <c r="B24" s="14" t="inlineStr">
        <is>
          <t>High (&gt;=15)</t>
        </is>
      </c>
      <c r="C24" s="6" t="inlineStr">
        <is>
          <t>Medium (8-14)</t>
        </is>
      </c>
      <c r="D24" s="15" t="inlineStr">
        <is>
          <t>Low (&lt;=7)</t>
        </is>
      </c>
    </row>
  </sheetData>
  <autoFilter ref="A5:G5"/>
  <mergeCells count="3">
    <mergeCell ref="A3:G3"/>
    <mergeCell ref="A2:G2"/>
    <mergeCell ref="A1:G1"/>
  </mergeCells>
  <conditionalFormatting sqref="E6:E22">
    <cfRule type="cellIs" priority="1" operator="greaterThanOrEqual" dxfId="0">
      <formula>15</formula>
    </cfRule>
    <cfRule type="cellIs" priority="2" operator="between" dxfId="1">
      <formula>8</formula>
      <formula>14</formula>
    </cfRule>
    <cfRule type="cellIs" priority="3" operator="lessThanOrEqual" dxfId="2">
      <formula>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2026-07-16T01:16:28Z</dcterms:created>
  <dcterms:modified xmlns:dcterms="http://purl.org/dc/terms/" xmlns:xsi="http://www.w3.org/2001/XMLSchema-instance" xsi:type="dcterms:W3CDTF">2026-07-16T01:26:57Z</dcterms:modified>
</cp:coreProperties>
</file>