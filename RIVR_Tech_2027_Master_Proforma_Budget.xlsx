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Dashboard" sheetId="1" state="visible" r:id="rId1"/>
    <sheet name="Master Pro Forma" sheetId="2" state="visible" r:id="rId2"/>
    <sheet name="Revenue Detail" sheetId="3" state="visible" r:id="rId3"/>
    <sheet name="Expense Budget" sheetId="4" state="visible" r:id="rId4"/>
    <sheet name="New Positions" sheetId="5" state="visible" r:id="rId5"/>
    <sheet name="Assumptions &amp; Notes" sheetId="6" state="visible" r:id="rId6"/>
  </sheets>
  <definedNames>
    <definedName name="_xlnm._FilterDatabase" localSheetId="3" hidden="1">'Expense Budget'!$A$3:$F$15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%;(0.0%);&quot;-&quot;"/>
    <numFmt numFmtId="165" formatCode="$#,##0;($#,##0);&quot;-&quot;"/>
    <numFmt numFmtId="166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08080"/>
      <sz val="9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8EA9DB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8" borderId="1" applyAlignment="1" pivotButton="0" quotePrefix="0" xfId="0">
      <alignment horizontal="left" vertical="center" indent="1"/>
    </xf>
    <xf numFmtId="165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" fontId="9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1" pivotButton="0" quotePrefix="0" xfId="0"/>
    <xf numFmtId="165" fontId="6" fillId="0" borderId="1" pivotButton="0" quotePrefix="0" xfId="0"/>
    <xf numFmtId="0" fontId="7" fillId="2" borderId="1" applyAlignment="1" pivotButton="0" quotePrefix="0" xfId="0">
      <alignment horizontal="left" vertical="center"/>
    </xf>
    <xf numFmtId="17" fontId="7" fillId="8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5" fontId="5" fillId="0" borderId="1" pivotButton="0" quotePrefix="0" xfId="0"/>
    <xf numFmtId="165" fontId="3" fillId="5" borderId="1" pivotButton="0" quotePrefix="0" xfId="0"/>
    <xf numFmtId="165" fontId="6" fillId="5" borderId="1" pivotButton="0" quotePrefix="0" xfId="0"/>
    <xf numFmtId="0" fontId="3" fillId="0" borderId="1" pivotButton="0" quotePrefix="0" xfId="0"/>
    <xf numFmtId="164" fontId="6" fillId="0" borderId="1" pivotButton="0" quotePrefix="0" xfId="0"/>
    <xf numFmtId="164" fontId="3" fillId="5" borderId="1" pivotButton="0" quotePrefix="0" xfId="0"/>
    <xf numFmtId="164" fontId="6" fillId="5" borderId="1" pivotButton="0" quotePrefix="0" xfId="0"/>
    <xf numFmtId="165" fontId="2" fillId="0" borderId="1" pivotButton="0" quotePrefix="0" xfId="0"/>
    <xf numFmtId="165" fontId="2" fillId="5" borderId="1" pivotButton="0" quotePrefix="0" xfId="0"/>
    <xf numFmtId="165" fontId="5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5" borderId="1" pivotButton="0" quotePrefix="0" xfId="0"/>
    <xf numFmtId="165" fontId="3" fillId="5" borderId="1" applyAlignment="1" pivotButton="0" quotePrefix="0" xfId="0">
      <alignment horizontal="center" vertical="center"/>
    </xf>
    <xf numFmtId="0" fontId="3" fillId="3" borderId="1" pivotButton="0" quotePrefix="0" xfId="0"/>
    <xf numFmtId="165" fontId="3" fillId="3" borderId="1" applyAlignment="1" pivotButton="0" quotePrefix="0" xfId="0">
      <alignment horizontal="center" vertical="center"/>
    </xf>
    <xf numFmtId="165" fontId="3" fillId="3" borderId="1" pivotButton="0" quotePrefix="0" xfId="0"/>
    <xf numFmtId="0" fontId="7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2" fillId="0" borderId="1" applyAlignment="1" pivotButton="0" quotePrefix="0" xfId="0">
      <alignment horizontal="left" vertical="top" wrapText="1"/>
    </xf>
    <xf numFmtId="0" fontId="5" fillId="0" borderId="1" pivotButton="0" quotePrefix="0" xfId="0"/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ont>
        <name val="Arial"/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vs Expenses vs Net Income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'Master Pro Forma'!$B$3:$M$3</f>
            </numRef>
          </cat>
          <val>
            <numRef>
              <f>'Master Pro Forma'!$B$10:$M$10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'Master Pro Forma'!$B$3:$M$3</f>
            </numRef>
          </cat>
          <val>
            <numRef>
              <f>'Master Pro Forma'!$B$18:$M$18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'Master Pro Forma'!$B$3:$M$3</f>
            </numRef>
          </cat>
          <val>
            <numRef>
              <f>'Master Pro Forma'!$B$32:$M$32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Mix by Segment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'Budget Dashboard'!$A$41:$A$44</f>
            </numRef>
          </cat>
          <val>
            <numRef>
              <f>'Budget Dashboard'!$B$41:$B$44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2027 Expense by Group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'Budget Dashboard'!$A$47:$A$51</f>
            </numRef>
          </cat>
          <val>
            <numRef>
              <f>'Budget Dashboard'!$B$47:$B$51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Operating Income (EBIT)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'Master Pro Forma'!$B$3:$M$3</f>
            </numRef>
          </cat>
          <val>
            <numRef>
              <f>'Master Pro Forma'!$B$20:$M$20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RIVR Master</author>
  </authors>
  <commentList>
    <comment ref="D4" authorId="0" shapeId="0">
      <text>
        <t>Optional per-line % override; blank uses the global %.</t>
      </text>
    </comment>
    <comment ref="E4" authorId="0" shapeId="0">
      <text>
        <t>Optional fixed $ add/cut.</t>
      </text>
    </comment>
    <comment ref="D5" authorId="0" shapeId="0">
      <text>
        <t>Optional per-line % override; blank uses the global %.</t>
      </text>
    </comment>
    <comment ref="E5" authorId="0" shapeId="0">
      <text>
        <t>Optional fixed $ add/cut.</t>
      </text>
    </comment>
    <comment ref="D6" authorId="0" shapeId="0">
      <text>
        <t>Optional per-line % override; blank uses the global %.</t>
      </text>
    </comment>
    <comment ref="E6" authorId="0" shapeId="0">
      <text>
        <t>Optional fixed $ add/cut.</t>
      </text>
    </comment>
    <comment ref="D7" authorId="0" shapeId="0">
      <text>
        <t>Optional per-line % override; blank uses the global %.</t>
      </text>
    </comment>
    <comment ref="E7" authorId="0" shapeId="0">
      <text>
        <t>Optional fixed $ add/cut.</t>
      </text>
    </comment>
    <comment ref="D8" authorId="0" shapeId="0">
      <text>
        <t>Optional per-line % override; blank uses the global %.</t>
      </text>
    </comment>
    <comment ref="E8" authorId="0" shapeId="0">
      <text>
        <t>Optional fixed $ add/cut.</t>
      </text>
    </comment>
    <comment ref="D9" authorId="0" shapeId="0">
      <text>
        <t>Optional per-line % override; blank uses the global %.</t>
      </text>
    </comment>
    <comment ref="E9" authorId="0" shapeId="0">
      <text>
        <t>Optional fixed $ add/cut.</t>
      </text>
    </comment>
    <comment ref="D10" authorId="0" shapeId="0">
      <text>
        <t>Optional per-line % override; blank uses the global %.</t>
      </text>
    </comment>
    <comment ref="E10" authorId="0" shapeId="0">
      <text>
        <t>Optional fixed $ add/cut.</t>
      </text>
    </comment>
    <comment ref="D11" authorId="0" shapeId="0">
      <text>
        <t>Optional per-line % override; blank uses the global %.</t>
      </text>
    </comment>
    <comment ref="E11" authorId="0" shapeId="0">
      <text>
        <t>Optional fixed $ add/cut.</t>
      </text>
    </comment>
    <comment ref="D12" authorId="0" shapeId="0">
      <text>
        <t>Optional per-line % override; blank uses the global %.</t>
      </text>
    </comment>
    <comment ref="E12" authorId="0" shapeId="0">
      <text>
        <t>Optional fixed $ add/cut.</t>
      </text>
    </comment>
    <comment ref="D13" authorId="0" shapeId="0">
      <text>
        <t>Optional per-line % override; blank uses the global %.</t>
      </text>
    </comment>
    <comment ref="E13" authorId="0" shapeId="0">
      <text>
        <t>Optional fixed $ add/cut.</t>
      </text>
    </comment>
    <comment ref="D14" authorId="0" shapeId="0">
      <text>
        <t>Optional per-line % override; blank uses the global %.</t>
      </text>
    </comment>
    <comment ref="E14" authorId="0" shapeId="0">
      <text>
        <t>Optional fixed $ add/cut.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25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25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tabColor rgb="001F3864"/>
    <s:outlinePr summaryBelow="1" summaryRight="1"/>
    <s:pageSetUpPr/>
  </s:sheetPr>
  <s:dimension ref="A1:R51"/>
  <s:sheetViews>
    <s:sheetView showGridLines="0" workbookViewId="0">
      <s:pane ySplit="2" topLeftCell="A3" activePane="bottomLeft" state="frozen"/>
      <s:selection pane="bottomLeft" activeCell="A1" sqref="A1"/>
    </s:sheetView>
  </s:sheetViews>
  <s:sheetFormatPr baseColWidth="8" defaultRowHeight="15"/>
  <s:cols>
    <s:col width="3" customWidth="1" min="1" max="1"/>
    <s:col width="12" customWidth="1" min="2" max="2"/>
    <s:col width="12" customWidth="1" min="3" max="3"/>
    <s:col width="12" customWidth="1" min="4" max="4"/>
    <s:col width="12" customWidth="1" min="5" max="5"/>
    <s:col width="12" customWidth="1" min="6" max="6"/>
    <s:col width="12" customWidth="1" min="7" max="7"/>
    <s:col width="12" customWidth="1" min="8" max="8"/>
    <s:col width="12" customWidth="1" min="9" max="9"/>
    <s:col width="12" customWidth="1" min="10" max="10"/>
    <s:col width="12" customWidth="1" min="11" max="11"/>
    <s:col width="12" customWidth="1" min="12" max="12"/>
    <s:col width="12" customWidth="1" min="13" max="13"/>
    <s:col width="12" customWidth="1" min="14" max="14"/>
    <s:col width="12" customWidth="1" min="15" max="15"/>
    <s:col width="12" customWidth="1" min="16" max="16"/>
    <s:col width="12" customWidth="1" min="17" max="17"/>
    <s:col width="12" customWidth="1" min="18" max="18"/>
  </s:cols>
  <s:sheetData>
    <s:row r="1" ht="30" customHeight="1">
      <s:c r="A1" s="1" t="inlineStr">
        <s:is>
          <s:t>RIVR TECH — 2027 MASTER BUDGET DASHBOARD</s:t>
        </s:is>
      </s:c>
    </s:row>
    <s:row r="2">
      <s:c r="A2" s="2" t="inlineStr">
        <s:is>
          <s:t>Revenue (forecast model) vs Expenses (CFO budget). Operating income, EBITDA, and net income after grants.</s:t>
        </s:is>
      </s:c>
    </s:row>
    <s:row r="4">
      <s:c r="B4" s="3" t="inlineStr">
        <s:is>
          <s:t>TOTAL REVENUE</s:t>
        </s:is>
      </s:c>
      <s:c r="C4" s="4" t="n"/>
      <s:c r="D4" s="4" t="n"/>
      <s:c r="E4" s="5" t="inlineStr">
        <s:is>
          <s:t>TOTAL EXPENSES</s:t>
        </s:is>
      </s:c>
      <s:c r="F4" s="4" t="n"/>
      <s:c r="G4" s="4" t="n"/>
      <s:c r="H4" s="3" t="inlineStr">
        <s:is>
          <s:t>OPERATING INCOME (EBIT)</s:t>
        </s:is>
      </s:c>
      <s:c r="I4" s="4" t="n"/>
      <s:c r="J4" s="4" t="n"/>
      <s:c r="K4" s="5" t="inlineStr">
        <s:is>
          <s:t>EBITDA</s:t>
        </s:is>
      </s:c>
      <s:c r="L4" s="4" t="n"/>
      <s:c r="M4" s="4" t="n"/>
      <s:c r="N4" s="3" t="inlineStr">
        <s:is>
          <s:t>NET INCOME (after grants)</s:t>
        </s:is>
      </s:c>
      <s:c r="O4" s="4" t="n"/>
      <s:c r="P4" s="4" t="n"/>
    </s:row>
    <s:row r="5" ht="24" customHeight="1">
      <s:c r="B5" s="6">
        <s:f>'Master Pro Forma'!N10</s:f>
        <s:v>7196939.859999999</s:v>
      </s:c>
      <s:c r="C5" s="4" t="n"/>
      <s:c r="D5" s="4" t="n"/>
      <s:c r="E5" s="6">
        <s:f>'Master Pro Forma'!N18</s:f>
        <s:v>7696812.360000001</s:v>
      </s:c>
      <s:c r="F5" s="4" t="n"/>
      <s:c r="G5" s="4" t="n"/>
      <s:c r="H5" s="6">
        <s:f>'Master Pro Forma'!N20</s:f>
        <s:v>-499872.5</s:v>
      </s:c>
      <s:c r="I5" s="4" t="n"/>
      <s:c r="J5" s="4" t="n"/>
      <s:c r="K5" s="6">
        <s:f>'Master Pro Forma'!N23</s:f>
        <s:v>-358997.50000000006</s:v>
      </s:c>
      <s:c r="L5" s="4" t="n"/>
      <s:c r="M5" s="4" t="n"/>
      <s:c r="N5" s="6">
        <s:f>'Master Pro Forma'!N32</s:f>
        <s:v>658211.5</s:v>
      </s:c>
      <s:c r="O5" s="4" t="n"/>
      <s:c r="P5" s="4" t="n"/>
    </s:row>
    <s:row r="7">
      <s:c r="B7" s="5" t="inlineStr">
        <s:is>
          <s:t>EBIT MARGIN %</s:t>
        </s:is>
      </s:c>
      <s:c r="C7" s="4" t="n"/>
      <s:c r="D7" s="4" t="n"/>
      <s:c r="E7" s="5" t="inlineStr">
        <s:is>
          <s:t>NET MARGIN %</s:t>
        </s:is>
      </s:c>
      <s:c r="F7" s="4" t="n"/>
      <s:c r="G7" s="4" t="n"/>
      <s:c r="H7" s="5" t="inlineStr">
        <s:is>
          <s:t>GRANT + OTHER INCOME</s:t>
        </s:is>
      </s:c>
      <s:c r="I7" s="4" t="n"/>
      <s:c r="J7" s="4" t="n"/>
      <s:c r="K7" s="5" t="inlineStr">
        <s:is>
          <s:t>NEW POSITIONS COST</s:t>
        </s:is>
      </s:c>
      <s:c r="L7" s="4" t="n"/>
      <s:c r="M7" s="4" t="n"/>
      <s:c r="N7" s="5" t="inlineStr">
        <s:is>
          <s:t>NEW FTE (planned)</s:t>
        </s:is>
      </s:c>
      <s:c r="O7" s="4" t="n"/>
      <s:c r="P7" s="4" t="n"/>
    </s:row>
    <s:row r="8" ht="24" customHeight="1">
      <s:c r="B8" s="7">
        <s:f>IFERROR('Master Pro Forma'!N20/'Master Pro Forma'!N10,0)</s:f>
        <s:v>-0.06945625637060694</s:v>
      </s:c>
      <s:c r="C8" s="4" t="n"/>
      <s:c r="D8" s="4" t="n"/>
      <s:c r="E8" s="7">
        <s:f>IFERROR('Master Pro Forma'!N32/'Master Pro Forma'!N10,0)</s:f>
        <s:v>0.09145713494957565</s:v>
      </s:c>
      <s:c r="F8" s="4" t="n"/>
      <s:c r="G8" s="4" t="n"/>
      <s:c r="H8" s="6">
        <s:f>'Master Pro Forma'!N28</s:f>
        <s:v>1158084</s:v>
      </s:c>
      <s:c r="I8" s="4" t="n"/>
      <s:c r="J8" s="4" t="n"/>
      <s:c r="K8" s="6">
        <s:f>'Expense Budget'!S15</s:f>
        <s:v>714483.23</s:v>
      </s:c>
      <s:c r="L8" s="4" t="n"/>
      <s:c r="M8" s="4" t="n"/>
      <s:c r="N8" s="8">
        <s:f>COUNTA('New Positions'!A4:A11)</s:f>
        <s:v>8</s:v>
      </s:c>
      <s:c r="O8" s="4" t="n"/>
      <s:c r="P8" s="4" t="n"/>
    </s:row>
    <s:row r="38">
      <s:c r="B38" s="9" t="inlineStr">
        <s:is>
          <s:t>Operating income is before grants; net income includes grant &amp; nonoperating income. Toggle new positions on the Assumptions tab.</s:t>
        </s:is>
      </s:c>
      <s:c r="C38" s="10" t="n"/>
      <s:c r="D38" s="10" t="n"/>
      <s:c r="E38" s="10" t="n"/>
      <s:c r="F38" s="10" t="n"/>
      <s:c r="G38" s="10" t="n"/>
      <s:c r="H38" s="10" t="n"/>
      <s:c r="I38" s="10" t="n"/>
      <s:c r="J38" s="10" t="n"/>
      <s:c r="K38" s="10" t="n"/>
      <s:c r="L38" s="10" t="n"/>
      <s:c r="M38" s="10" t="n"/>
      <s:c r="N38" s="10" t="n"/>
      <s:c r="O38" s="10" t="n"/>
      <s:c r="P38" s="10" t="n"/>
      <s:c r="Q38" s="10" t="n"/>
      <s:c r="R38" s="11" t="n"/>
    </s:row>
    <s:row r="40">
      <s:c r="A40" s="9" t="inlineStr">
        <s:is>
          <s:t>chart data</s:t>
        </s:is>
      </s:c>
    </s:row>
    <s:row r="41">
      <s:c r="A41" s="12" t="inlineStr">
        <s:is>
          <s:t>Residential</s:t>
        </s:is>
      </s:c>
      <s:c r="B41" s="13">
        <s:f>'Master Pro Forma'!N6</s:f>
        <s:v>5287699.890000001</s:v>
      </s:c>
    </s:row>
    <s:row r="42">
      <s:c r="A42" s="12" t="inlineStr">
        <s:is>
          <s:t>Business</s:t>
        </s:is>
      </s:c>
      <s:c r="B42" s="13">
        <s:f>'Master Pro Forma'!N7</s:f>
        <s:v>445239.97</s:v>
      </s:c>
    </s:row>
    <s:row r="43">
      <s:c r="A43" s="12" t="inlineStr">
        <s:is>
          <s:t>Dark Fiber</s:t>
        </s:is>
      </s:c>
      <s:c r="B43" s="13">
        <s:f>'Master Pro Forma'!N8</s:f>
        <s:v>780000</s:v>
      </s:c>
    </s:row>
    <s:row r="44">
      <s:c r="A44" s="12" t="inlineStr">
        <s:is>
          <s:t>Hoke County Project</s:t>
        </s:is>
      </s:c>
      <s:c r="B44" s="13">
        <s:f>'Master Pro Forma'!N9</s:f>
        <s:v>684000</s:v>
      </s:c>
    </s:row>
    <s:row r="47">
      <s:c r="A47" s="12" t="str">
        <s:f>'Master Pro Forma'!A13</s:f>
        <s:v>Cost of Power / COGS</s:v>
      </s:c>
      <s:c r="B47" s="13">
        <s:f>'Master Pro Forma'!N13</s:f>
        <s:v>637300.0000000001</s:v>
      </s:c>
    </s:row>
    <s:row r="48">
      <s:c r="A48" s="12" t="str">
        <s:f>'Master Pro Forma'!A14</s:f>
        <s:v>Fiber Network Operations</s:v>
      </s:c>
      <s:c r="B48" s="13">
        <s:f>'Master Pro Forma'!N14</s:f>
        <s:v>4222706</s:v>
      </s:c>
    </s:row>
    <s:row r="49">
      <s:c r="A49" s="12" t="str">
        <s:f>'Master Pro Forma'!A15</s:f>
        <s:v>New Positions (2027 staffing plan)</s:v>
      </s:c>
      <s:c r="B49" s="13">
        <s:f>'Master Pro Forma'!N15</s:f>
        <s:v>714483.23</s:v>
      </s:c>
    </s:row>
    <s:row r="50">
      <s:c r="A50" s="12" t="str">
        <s:f>'Master Pro Forma'!A16</s:f>
        <s:v>Sales, Marketing &amp; Member Svc</s:v>
      </s:c>
      <s:c r="B50" s="13">
        <s:f>'Master Pro Forma'!N16</s:f>
        <s:v>319054.13000000006</s:v>
      </s:c>
    </s:row>
    <s:row r="51">
      <s:c r="A51" s="12" t="str">
        <s:f>'Master Pro Forma'!A17</s:f>
        <s:v>General &amp; Administrative</s:v>
      </s:c>
      <s:c r="B51" s="13">
        <s:f>'Master Pro Forma'!N17</s:f>
        <s:v>1803269.0000000005</s:v>
      </s:c>
    </s:row>
  </s:sheetData>
  <s:mergeCells count="23">
    <s:mergeCell ref="B8:D8"/>
    <s:mergeCell ref="N5:P5"/>
    <s:mergeCell ref="N8:P8"/>
    <s:mergeCell ref="H7:J7"/>
    <s:mergeCell ref="K8:M8"/>
    <s:mergeCell ref="A2:R2"/>
    <s:mergeCell ref="E7:G7"/>
    <s:mergeCell ref="K7:M7"/>
    <s:mergeCell ref="B5:D5"/>
    <s:mergeCell ref="K4:M4"/>
    <s:mergeCell ref="H5:J5"/>
    <s:mergeCell ref="B4:D4"/>
    <s:mergeCell ref="H8:J8"/>
    <s:mergeCell ref="B38:R38"/>
    <s:mergeCell ref="N4:P4"/>
    <s:mergeCell ref="B7:D7"/>
    <s:mergeCell ref="N7:P7"/>
    <s:mergeCell ref="E5:G5"/>
    <s:mergeCell ref="K5:M5"/>
    <s:mergeCell ref="E8:G8"/>
    <s:mergeCell ref="H4:J4"/>
    <s:mergeCell ref="E4:G4"/>
    <s:mergeCell ref="A1:R1"/>
  </s:mergeCells>
  <s:pageMargins left="0.75" right="0.75" top="1" bottom="1" header="0.5" footer="0.5"/>
  <s:pageSetup orientation="landscape" fitToWidth="1"/>
  <s:drawing r:id="rId1"/>
</s:worksheet>
</file>

<file path=xl/worksheets/sheet2.xml><?xml version="1.0" encoding="utf-8"?>
<s:worksheet xmlns:s="http://schemas.openxmlformats.org/spreadsheetml/2006/main">
  <s:sheetPr>
    <s:tabColor rgb="001F3864"/>
    <s:outlinePr summaryBelow="1" summaryRight="1"/>
    <s:pageSetUpPr/>
  </s:sheetPr>
  <s:dimension ref="A1:R33"/>
  <s:sheetViews>
    <s:sheetView showGridLines="0" workbookViewId="0">
      <s:pane xSplit="1" ySplit="4" topLeftCell="B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8" customWidth="1" min="1" max="1"/>
    <s:col width="12" customWidth="1" min="2" max="2"/>
    <s:col width="12" customWidth="1" min="3" max="3"/>
    <s:col width="12" customWidth="1" min="4" max="4"/>
    <s:col width="12" customWidth="1" min="5" max="5"/>
    <s:col width="12" customWidth="1" min="6" max="6"/>
    <s:col width="12" customWidth="1" min="7" max="7"/>
    <s:col width="12" customWidth="1" min="8" max="8"/>
    <s:col width="12" customWidth="1" min="9" max="9"/>
    <s:col width="12" customWidth="1" min="10" max="10"/>
    <s:col width="12" customWidth="1" min="11" max="11"/>
    <s:col width="12" customWidth="1" min="12" max="12"/>
    <s:col width="12" customWidth="1" min="13" max="13"/>
    <s:col width="12" customWidth="1" min="14" max="14"/>
    <s:col width="12" customWidth="1" min="15" max="15"/>
    <s:col width="12" customWidth="1" min="16" max="16"/>
    <s:col width="12" customWidth="1" min="17" max="17"/>
    <s:col width="12" customWidth="1" min="18" max="18"/>
  </s:cols>
  <s:sheetData>
    <s:row r="1" ht="30" customHeight="1">
      <s:c r="A1" s="1" t="inlineStr">
        <s:is>
          <s:t>MASTER PRO FORMA — Revenue &amp; Expense Budget, 2027</s:t>
        </s:is>
      </s:c>
    </s:row>
    <s:row r="2">
      <s:c r="A2" s="2" t="inlineStr">
        <s:is>
          <s:t>LREMC Technologies, LLC d/b/a RIVR Tech · Revenue from the forecast model · Expenses from the CFO budget · monthly, quarterly, full-year.</s:t>
        </s:is>
      </s:c>
    </s:row>
    <s:row r="3">
      <s:c r="A3" s="14" t="inlineStr">
        <s:is>
          <s:t>$ (positive = income / cost as labeled)</s:t>
        </s:is>
      </s:c>
      <s:c r="B3" s="15" t="n">
        <s:v>46388</s:v>
      </s:c>
      <s:c r="C3" s="15" t="n">
        <s:v>46419</s:v>
      </s:c>
      <s:c r="D3" s="15" t="n">
        <s:v>46447</s:v>
      </s:c>
      <s:c r="E3" s="15" t="n">
        <s:v>46478</s:v>
      </s:c>
      <s:c r="F3" s="15" t="n">
        <s:v>46508</s:v>
      </s:c>
      <s:c r="G3" s="15" t="n">
        <s:v>46539</s:v>
      </s:c>
      <s:c r="H3" s="15" t="n">
        <s:v>46569</s:v>
      </s:c>
      <s:c r="I3" s="15" t="n">
        <s:v>46600</s:v>
      </s:c>
      <s:c r="J3" s="15" t="n">
        <s:v>46631</s:v>
      </s:c>
      <s:c r="K3" s="15" t="n">
        <s:v>46661</s:v>
      </s:c>
      <s:c r="L3" s="15" t="n">
        <s:v>46692</s:v>
      </s:c>
      <s:c r="M3" s="15" t="n">
        <s:v>46722</s:v>
      </s:c>
      <s:c r="N3" s="16" t="inlineStr">
        <s:is>
          <s:t>FY 2027</s:t>
        </s:is>
      </s:c>
      <s:c r="O3" s="16" t="inlineStr">
        <s:is>
          <s:t>Q1</s:t>
        </s:is>
      </s:c>
      <s:c r="P3" s="16" t="inlineStr">
        <s:is>
          <s:t>Q2</s:t>
        </s:is>
      </s:c>
      <s:c r="Q3" s="16" t="inlineStr">
        <s:is>
          <s:t>Q3</s:t>
        </s:is>
      </s:c>
      <s:c r="R3" s="16" t="inlineStr">
        <s:is>
          <s:t>Q4</s:t>
        </s:is>
      </s:c>
    </s:row>
    <s:row r="5">
      <s:c r="A5" s="17" t="inlineStr">
        <s:is>
          <s:t>OPERATING REVENUE</s:t>
        </s:is>
      </s:c>
    </s:row>
    <s:row r="6">
      <s:c r="A6" s="12" t="inlineStr">
        <s:is>
          <s:t>Residential</s:t>
        </s:is>
      </s:c>
      <s:c r="B6" s="18">
        <s:f>'Revenue Detail'!B4</s:f>
        <s:v>391456.45</s:v>
      </s:c>
      <s:c r="C6" s="18">
        <s:f>'Revenue Detail'!C4</s:f>
        <s:v>399431.69</s:v>
      </s:c>
      <s:c r="D6" s="18">
        <s:f>'Revenue Detail'!D4</s:f>
        <s:v>407342.36</s:v>
      </s:c>
      <s:c r="E6" s="18">
        <s:f>'Revenue Detail'!E4</s:f>
        <s:v>415188.46</s:v>
      </s:c>
      <s:c r="F6" s="18">
        <s:f>'Revenue Detail'!F4</s:f>
        <s:v>422969.97</s:v>
      </s:c>
      <s:c r="G6" s="18">
        <s:f>'Revenue Detail'!G4</s:f>
        <s:v>430686.91</s:v>
      </s:c>
      <s:c r="H6" s="18">
        <s:f>'Revenue Detail'!H4</s:f>
        <s:v>450800.48</s:v>
      </s:c>
      <s:c r="I6" s="18">
        <s:f>'Revenue Detail'!I4</s:f>
        <s:v>458610.51</s:v>
      </s:c>
      <s:c r="J6" s="18">
        <s:f>'Revenue Detail'!J4</s:f>
        <s:v>466354.08</s:v>
      </s:c>
      <s:c r="K6" s="18">
        <s:f>'Revenue Detail'!K4</s:f>
        <s:v>474031.18</s:v>
      </s:c>
      <s:c r="L6" s="18">
        <s:f>'Revenue Detail'!L4</s:f>
        <s:v>481641.82</s:v>
      </s:c>
      <s:c r="M6" s="18">
        <s:f>'Revenue Detail'!M4</s:f>
        <s:v>489185.98</s:v>
      </s:c>
      <s:c r="N6" s="19">
        <s:f>SUM(B6:M6)</s:f>
        <s:v>5287699.890000001</s:v>
      </s:c>
      <s:c r="O6" s="20">
        <s:f>SUM(B6:D6)</s:f>
        <s:v>1198230.5</s:v>
      </s:c>
      <s:c r="P6" s="20">
        <s:f>SUM(E6:G6)</s:f>
        <s:v>1268845.3399999999</s:v>
      </s:c>
      <s:c r="Q6" s="20">
        <s:f>SUM(H6:J6)</s:f>
        <s:v>1375765.07</s:v>
      </s:c>
      <s:c r="R6" s="20">
        <s:f>SUM(K6:M6)</s:f>
        <s:v>1444858.98</s:v>
      </s:c>
    </s:row>
    <s:row r="7">
      <s:c r="A7" s="12" t="inlineStr">
        <s:is>
          <s:t>Business</s:t>
        </s:is>
      </s:c>
      <s:c r="B7" s="18">
        <s:f>'Revenue Detail'!B5</s:f>
        <s:v>31836.57</s:v>
      </s:c>
      <s:c r="C7" s="18">
        <s:f>'Revenue Detail'!C5</s:f>
        <s:v>32700.2</s:v>
      </s:c>
      <s:c r="D7" s="18">
        <s:f>'Revenue Detail'!D5</s:f>
        <s:v>33563.83</s:v>
      </s:c>
      <s:c r="E7" s="18">
        <s:f>'Revenue Detail'!E5</s:f>
        <s:v>34427.46</s:v>
      </s:c>
      <s:c r="F7" s="18">
        <s:f>'Revenue Detail'!F5</s:f>
        <s:v>35291.09</s:v>
      </s:c>
      <s:c r="G7" s="18">
        <s:f>'Revenue Detail'!G5</s:f>
        <s:v>36154.72</s:v>
      </s:c>
      <s:c r="H7" s="18">
        <s:f>'Revenue Detail'!H5</s:f>
        <s:v>38045.81</s:v>
      </s:c>
      <s:c r="I7" s="18">
        <s:f>'Revenue Detail'!I5</s:f>
        <s:v>38933.41</s:v>
      </s:c>
      <s:c r="J7" s="18">
        <s:f>'Revenue Detail'!J5</s:f>
        <s:v>39821.01</s:v>
      </s:c>
      <s:c r="K7" s="18">
        <s:f>'Revenue Detail'!K5</s:f>
        <s:v>40708.61</s:v>
      </s:c>
      <s:c r="L7" s="18">
        <s:f>'Revenue Detail'!L5</s:f>
        <s:v>41515.52</s:v>
      </s:c>
      <s:c r="M7" s="18">
        <s:f>'Revenue Detail'!M5</s:f>
        <s:v>42241.74</s:v>
      </s:c>
      <s:c r="N7" s="19">
        <s:f>SUM(B7:M7)</s:f>
        <s:v>445239.97</s:v>
      </s:c>
      <s:c r="O7" s="20">
        <s:f>SUM(B7:D7)</s:f>
        <s:v>98100.6</s:v>
      </s:c>
      <s:c r="P7" s="20">
        <s:f>SUM(E7:G7)</s:f>
        <s:v>105873.26999999999</s:v>
      </s:c>
      <s:c r="Q7" s="20">
        <s:f>SUM(H7:J7)</s:f>
        <s:v>116800.23000000001</s:v>
      </s:c>
      <s:c r="R7" s="20">
        <s:f>SUM(K7:M7)</s:f>
        <s:v>124465.87</s:v>
      </s:c>
    </s:row>
    <s:row r="8">
      <s:c r="A8" s="12" t="inlineStr">
        <s:is>
          <s:t>Dark Fiber</s:t>
        </s:is>
      </s:c>
      <s:c r="B8" s="18">
        <s:f>'Revenue Detail'!B6</s:f>
        <s:v>65000</s:v>
      </s:c>
      <s:c r="C8" s="18">
        <s:f>'Revenue Detail'!C6</s:f>
        <s:v>65000</s:v>
      </s:c>
      <s:c r="D8" s="18">
        <s:f>'Revenue Detail'!D6</s:f>
        <s:v>65000</s:v>
      </s:c>
      <s:c r="E8" s="18">
        <s:f>'Revenue Detail'!E6</s:f>
        <s:v>65000</s:v>
      </s:c>
      <s:c r="F8" s="18">
        <s:f>'Revenue Detail'!F6</s:f>
        <s:v>65000</s:v>
      </s:c>
      <s:c r="G8" s="18">
        <s:f>'Revenue Detail'!G6</s:f>
        <s:v>65000</s:v>
      </s:c>
      <s:c r="H8" s="18">
        <s:f>'Revenue Detail'!H6</s:f>
        <s:v>65000</s:v>
      </s:c>
      <s:c r="I8" s="18">
        <s:f>'Revenue Detail'!I6</s:f>
        <s:v>65000</s:v>
      </s:c>
      <s:c r="J8" s="18">
        <s:f>'Revenue Detail'!J6</s:f>
        <s:v>65000</s:v>
      </s:c>
      <s:c r="K8" s="18">
        <s:f>'Revenue Detail'!K6</s:f>
        <s:v>65000</s:v>
      </s:c>
      <s:c r="L8" s="18">
        <s:f>'Revenue Detail'!L6</s:f>
        <s:v>65000</s:v>
      </s:c>
      <s:c r="M8" s="18">
        <s:f>'Revenue Detail'!M6</s:f>
        <s:v>65000</s:v>
      </s:c>
      <s:c r="N8" s="19">
        <s:f>SUM(B8:M8)</s:f>
        <s:v>780000</s:v>
      </s:c>
      <s:c r="O8" s="20">
        <s:f>SUM(B8:D8)</s:f>
        <s:v>195000</s:v>
      </s:c>
      <s:c r="P8" s="20">
        <s:f>SUM(E8:G8)</s:f>
        <s:v>195000</s:v>
      </s:c>
      <s:c r="Q8" s="20">
        <s:f>SUM(H8:J8)</s:f>
        <s:v>195000</s:v>
      </s:c>
      <s:c r="R8" s="20">
        <s:f>SUM(K8:M8)</s:f>
        <s:v>195000</s:v>
      </s:c>
    </s:row>
    <s:row r="9">
      <s:c r="A9" s="12" t="inlineStr">
        <s:is>
          <s:t>Hoke County Project</s:t>
        </s:is>
      </s:c>
      <s:c r="B9" s="18">
        <s:f>'Revenue Detail'!B7</s:f>
        <s:v>57000</s:v>
      </s:c>
      <s:c r="C9" s="18">
        <s:f>'Revenue Detail'!C7</s:f>
        <s:v>57000</s:v>
      </s:c>
      <s:c r="D9" s="18">
        <s:f>'Revenue Detail'!D7</s:f>
        <s:v>57000</s:v>
      </s:c>
      <s:c r="E9" s="18">
        <s:f>'Revenue Detail'!E7</s:f>
        <s:v>57000</s:v>
      </s:c>
      <s:c r="F9" s="18">
        <s:f>'Revenue Detail'!F7</s:f>
        <s:v>57000</s:v>
      </s:c>
      <s:c r="G9" s="18">
        <s:f>'Revenue Detail'!G7</s:f>
        <s:v>57000</s:v>
      </s:c>
      <s:c r="H9" s="18">
        <s:f>'Revenue Detail'!H7</s:f>
        <s:v>57000</s:v>
      </s:c>
      <s:c r="I9" s="18">
        <s:f>'Revenue Detail'!I7</s:f>
        <s:v>57000</s:v>
      </s:c>
      <s:c r="J9" s="18">
        <s:f>'Revenue Detail'!J7</s:f>
        <s:v>57000</s:v>
      </s:c>
      <s:c r="K9" s="18">
        <s:f>'Revenue Detail'!K7</s:f>
        <s:v>57000</s:v>
      </s:c>
      <s:c r="L9" s="18">
        <s:f>'Revenue Detail'!L7</s:f>
        <s:v>57000</s:v>
      </s:c>
      <s:c r="M9" s="18">
        <s:f>'Revenue Detail'!M7</s:f>
        <s:v>57000</s:v>
      </s:c>
      <s:c r="N9" s="19">
        <s:f>SUM(B9:M9)</s:f>
        <s:v>684000</s:v>
      </s:c>
      <s:c r="O9" s="20">
        <s:f>SUM(B9:D9)</s:f>
        <s:v>171000</s:v>
      </s:c>
      <s:c r="P9" s="20">
        <s:f>SUM(E9:G9)</s:f>
        <s:v>171000</s:v>
      </s:c>
      <s:c r="Q9" s="20">
        <s:f>SUM(H9:J9)</s:f>
        <s:v>171000</s:v>
      </s:c>
      <s:c r="R9" s="20">
        <s:f>SUM(K9:M9)</s:f>
        <s:v>171000</s:v>
      </s:c>
    </s:row>
    <s:row r="10">
      <s:c r="A10" s="21" t="inlineStr">
        <s:is>
          <s:t>Total Operating Revenue</s:t>
        </s:is>
      </s:c>
      <s:c r="B10" s="19">
        <s:f>'Revenue Detail'!B8</s:f>
        <s:v>545293.02</s:v>
      </s:c>
      <s:c r="C10" s="19">
        <s:f>'Revenue Detail'!C8</s:f>
        <s:v>554131.89</s:v>
      </s:c>
      <s:c r="D10" s="19">
        <s:f>'Revenue Detail'!D8</s:f>
        <s:v>562906.19</s:v>
      </s:c>
      <s:c r="E10" s="19">
        <s:f>'Revenue Detail'!E8</s:f>
        <s:v>571615.92</s:v>
      </s:c>
      <s:c r="F10" s="19">
        <s:f>'Revenue Detail'!F8</s:f>
        <s:v>580261.0599999999</s:v>
      </s:c>
      <s:c r="G10" s="19">
        <s:f>'Revenue Detail'!G8</s:f>
        <s:v>588841.63</s:v>
      </s:c>
      <s:c r="H10" s="19">
        <s:f>'Revenue Detail'!H8</s:f>
        <s:v>610846.29</s:v>
      </s:c>
      <s:c r="I10" s="19">
        <s:f>'Revenue Detail'!I8</s:f>
        <s:v>619543.92</s:v>
      </s:c>
      <s:c r="J10" s="19">
        <s:f>'Revenue Detail'!J8</s:f>
        <s:v>628175.0900000001</s:v>
      </s:c>
      <s:c r="K10" s="19">
        <s:f>'Revenue Detail'!K8</s:f>
        <s:v>636739.79</s:v>
      </s:c>
      <s:c r="L10" s="19">
        <s:f>'Revenue Detail'!L8</s:f>
        <s:v>645157.3400000001</s:v>
      </s:c>
      <s:c r="M10" s="19">
        <s:f>'Revenue Detail'!M8</s:f>
        <s:v>653427.72</s:v>
      </s:c>
      <s:c r="N10" s="19">
        <s:f>SUM(B10:M10)</s:f>
        <s:v>7196939.859999999</s:v>
      </s:c>
      <s:c r="O10" s="20">
        <s:f>SUM(B10:D10)</s:f>
        <s:v>1662331.1</s:v>
      </s:c>
      <s:c r="P10" s="20">
        <s:f>SUM(E10:G10)</s:f>
        <s:v>1740718.6099999999</s:v>
      </s:c>
      <s:c r="Q10" s="20">
        <s:f>SUM(H10:J10)</s:f>
        <s:v>1858565.3</s:v>
      </s:c>
      <s:c r="R10" s="20">
        <s:f>SUM(K10:M10)</s:f>
        <s:v>1935324.85</s:v>
      </s:c>
    </s:row>
    <s:row r="12">
      <s:c r="A12" s="17" t="inlineStr">
        <s:is>
          <s:t>OPERATING EXPENSES</s:t>
        </s:is>
      </s:c>
    </s:row>
    <s:row r="13">
      <s:c r="A13" s="12" t="inlineStr">
        <s:is>
          <s:t>Cost of Power / COGS</s:t>
        </s:is>
      </s:c>
      <s:c r="B13" s="13">
        <s:f>'Expense Budget'!G4</s:f>
        <s:v>53108.333333333336</s:v>
      </s:c>
      <s:c r="C13" s="13">
        <s:f>'Expense Budget'!H4</s:f>
        <s:v>53108.333333333336</s:v>
      </s:c>
      <s:c r="D13" s="13">
        <s:f>'Expense Budget'!I4</s:f>
        <s:v>53108.333333333336</s:v>
      </s:c>
      <s:c r="E13" s="13">
        <s:f>'Expense Budget'!J4</s:f>
        <s:v>53108.333333333336</s:v>
      </s:c>
      <s:c r="F13" s="13">
        <s:f>'Expense Budget'!K4</s:f>
        <s:v>53108.333333333336</s:v>
      </s:c>
      <s:c r="G13" s="13">
        <s:f>'Expense Budget'!L4</s:f>
        <s:v>53108.333333333336</s:v>
      </s:c>
      <s:c r="H13" s="13">
        <s:f>'Expense Budget'!M4</s:f>
        <s:v>53108.333333333336</s:v>
      </s:c>
      <s:c r="I13" s="13">
        <s:f>'Expense Budget'!N4</s:f>
        <s:v>53108.333333333336</s:v>
      </s:c>
      <s:c r="J13" s="13">
        <s:f>'Expense Budget'!O4</s:f>
        <s:v>53108.333333333336</s:v>
      </s:c>
      <s:c r="K13" s="13">
        <s:f>'Expense Budget'!P4</s:f>
        <s:v>53108.333333333336</s:v>
      </s:c>
      <s:c r="L13" s="13">
        <s:f>'Expense Budget'!Q4</s:f>
        <s:v>53108.333333333336</s:v>
      </s:c>
      <s:c r="M13" s="13">
        <s:f>'Expense Budget'!R4</s:f>
        <s:v>53108.333333333336</s:v>
      </s:c>
      <s:c r="N13" s="19">
        <s:f>SUM(B13:M13)</s:f>
        <s:v>637300.0000000001</s:v>
      </s:c>
      <s:c r="O13" s="20">
        <s:f>SUM(B13:D13)</s:f>
        <s:v>159325</s:v>
      </s:c>
      <s:c r="P13" s="20">
        <s:f>SUM(E13:G13)</s:f>
        <s:v>159325</s:v>
      </s:c>
      <s:c r="Q13" s="20">
        <s:f>SUM(H13:J13)</s:f>
        <s:v>159325</s:v>
      </s:c>
      <s:c r="R13" s="20">
        <s:f>SUM(K13:M13)</s:f>
        <s:v>159325</s:v>
      </s:c>
    </s:row>
    <s:row r="14">
      <s:c r="A14" s="12" t="inlineStr">
        <s:is>
          <s:t>Fiber Network Operations</s:t>
        </s:is>
      </s:c>
      <s:c r="B14" s="13">
        <s:f>'Expense Budget'!G5</s:f>
        <s:v>351892.1666666667</s:v>
      </s:c>
      <s:c r="C14" s="13">
        <s:f>'Expense Budget'!H5</s:f>
        <s:v>351892.1666666667</s:v>
      </s:c>
      <s:c r="D14" s="13">
        <s:f>'Expense Budget'!I5</s:f>
        <s:v>351892.1666666667</s:v>
      </s:c>
      <s:c r="E14" s="13">
        <s:f>'Expense Budget'!J5</s:f>
        <s:v>351892.1666666667</s:v>
      </s:c>
      <s:c r="F14" s="13">
        <s:f>'Expense Budget'!K5</s:f>
        <s:v>351892.1666666667</s:v>
      </s:c>
      <s:c r="G14" s="13">
        <s:f>'Expense Budget'!L5</s:f>
        <s:v>351892.1666666667</s:v>
      </s:c>
      <s:c r="H14" s="13">
        <s:f>'Expense Budget'!M5</s:f>
        <s:v>351892.1666666667</s:v>
      </s:c>
      <s:c r="I14" s="13">
        <s:f>'Expense Budget'!N5</s:f>
        <s:v>351892.1666666667</s:v>
      </s:c>
      <s:c r="J14" s="13">
        <s:f>'Expense Budget'!O5</s:f>
        <s:v>351892.1666666667</s:v>
      </s:c>
      <s:c r="K14" s="13">
        <s:f>'Expense Budget'!P5</s:f>
        <s:v>351892.1666666667</s:v>
      </s:c>
      <s:c r="L14" s="13">
        <s:f>'Expense Budget'!Q5</s:f>
        <s:v>351892.1666666667</s:v>
      </s:c>
      <s:c r="M14" s="13">
        <s:f>'Expense Budget'!R5</s:f>
        <s:v>351892.1666666667</s:v>
      </s:c>
      <s:c r="N14" s="19">
        <s:f>SUM(B14:M14)</s:f>
        <s:v>4222706</s:v>
      </s:c>
      <s:c r="O14" s="20">
        <s:f>SUM(B14:D14)</s:f>
        <s:v>1055676.5</s:v>
      </s:c>
      <s:c r="P14" s="20">
        <s:f>SUM(E14:G14)</s:f>
        <s:v>1055676.5</s:v>
      </s:c>
      <s:c r="Q14" s="20">
        <s:f>SUM(H14:J14)</s:f>
        <s:v>1055676.5</s:v>
      </s:c>
      <s:c r="R14" s="20">
        <s:f>SUM(K14:M14)</s:f>
        <s:v>1055676.5</s:v>
      </s:c>
    </s:row>
    <s:row r="15">
      <s:c r="A15" s="12" t="inlineStr">
        <s:is>
          <s:t>New Positions (2027 staffing plan)</s:t>
        </s:is>
      </s:c>
      <s:c r="B15" s="13">
        <s:f>'Expense Budget'!G15</s:f>
        <s:v>29883.33</s:v>
      </s:c>
      <s:c r="C15" s="13">
        <s:f>'Expense Budget'!H15</s:f>
        <s:v>35995.83</s:v>
      </s:c>
      <s:c r="D15" s="13">
        <s:f>'Expense Budget'!I15</s:f>
        <s:v>58136.659999999996</s:v>
      </s:c>
      <s:c r="E15" s="13">
        <s:f>'Expense Budget'!J15</s:f>
        <s:v>65607.48999999999</s:v>
      </s:c>
      <s:c r="F15" s="13">
        <s:f>'Expense Budget'!K15</s:f>
        <s:v>65607.48999999999</s:v>
      </s:c>
      <s:c r="G15" s="13">
        <s:f>'Expense Budget'!L15</s:f>
        <s:v>65607.48999999999</s:v>
      </s:c>
      <s:c r="H15" s="13">
        <s:f>'Expense Budget'!M15</s:f>
        <s:v>65607.48999999999</s:v>
      </s:c>
      <s:c r="I15" s="13">
        <s:f>'Expense Budget'!N15</s:f>
        <s:v>65607.48999999999</s:v>
      </s:c>
      <s:c r="J15" s="13">
        <s:f>'Expense Budget'!O15</s:f>
        <s:v>65607.48999999999</s:v>
      </s:c>
      <s:c r="K15" s="13">
        <s:f>'Expense Budget'!P15</s:f>
        <s:v>65607.48999999999</s:v>
      </s:c>
      <s:c r="L15" s="13">
        <s:f>'Expense Budget'!Q15</s:f>
        <s:v>65607.48999999999</s:v>
      </s:c>
      <s:c r="M15" s="13">
        <s:f>'Expense Budget'!R15</s:f>
        <s:v>65607.48999999999</s:v>
      </s:c>
      <s:c r="N15" s="19">
        <s:f>SUM(B15:M15)</s:f>
        <s:v>714483.23</s:v>
      </s:c>
      <s:c r="O15" s="20">
        <s:f>SUM(B15:D15)</s:f>
        <s:v>124015.82</s:v>
      </s:c>
      <s:c r="P15" s="20">
        <s:f>SUM(E15:G15)</s:f>
        <s:v>196822.46999999997</s:v>
      </s:c>
      <s:c r="Q15" s="20">
        <s:f>SUM(H15:J15)</s:f>
        <s:v>196822.46999999997</s:v>
      </s:c>
      <s:c r="R15" s="20">
        <s:f>SUM(K15:M15)</s:f>
        <s:v>196822.46999999997</s:v>
      </s:c>
    </s:row>
    <s:row r="16">
      <s:c r="A16" s="12" t="inlineStr">
        <s:is>
          <s:t>Sales, Marketing &amp; Member Svc</s:t>
        </s:is>
      </s:c>
      <s:c r="B16" s="13">
        <s:f>'Expense Budget'!G7+'Expense Budget'!G8</s:f>
        <s:v>26587.84416666667</s:v>
      </s:c>
      <s:c r="C16" s="13">
        <s:f>'Expense Budget'!H7+'Expense Budget'!H8</s:f>
        <s:v>26587.84416666667</s:v>
      </s:c>
      <s:c r="D16" s="13">
        <s:f>'Expense Budget'!I7+'Expense Budget'!I8</s:f>
        <s:v>26587.84416666667</s:v>
      </s:c>
      <s:c r="E16" s="13">
        <s:f>'Expense Budget'!J7+'Expense Budget'!J8</s:f>
        <s:v>26587.84416666667</s:v>
      </s:c>
      <s:c r="F16" s="13">
        <s:f>'Expense Budget'!K7+'Expense Budget'!K8</s:f>
        <s:v>26587.84416666667</s:v>
      </s:c>
      <s:c r="G16" s="13">
        <s:f>'Expense Budget'!L7+'Expense Budget'!L8</s:f>
        <s:v>26587.84416666667</s:v>
      </s:c>
      <s:c r="H16" s="13">
        <s:f>'Expense Budget'!M7+'Expense Budget'!M8</s:f>
        <s:v>26587.84416666667</s:v>
      </s:c>
      <s:c r="I16" s="13">
        <s:f>'Expense Budget'!N7+'Expense Budget'!N8</s:f>
        <s:v>26587.84416666667</s:v>
      </s:c>
      <s:c r="J16" s="13">
        <s:f>'Expense Budget'!O7+'Expense Budget'!O8</s:f>
        <s:v>26587.84416666667</s:v>
      </s:c>
      <s:c r="K16" s="13">
        <s:f>'Expense Budget'!P7+'Expense Budget'!P8</s:f>
        <s:v>26587.84416666667</s:v>
      </s:c>
      <s:c r="L16" s="13">
        <s:f>'Expense Budget'!Q7+'Expense Budget'!Q8</s:f>
        <s:v>26587.84416666667</s:v>
      </s:c>
      <s:c r="M16" s="13">
        <s:f>'Expense Budget'!R7+'Expense Budget'!R8</s:f>
        <s:v>26587.84416666667</s:v>
      </s:c>
      <s:c r="N16" s="19">
        <s:f>SUM(B16:M16)</s:f>
        <s:v>319054.13000000006</s:v>
      </s:c>
      <s:c r="O16" s="20">
        <s:f>SUM(B16:D16)</s:f>
        <s:v>79763.5325</s:v>
      </s:c>
      <s:c r="P16" s="20">
        <s:f>SUM(E16:G16)</s:f>
        <s:v>79763.5325</s:v>
      </s:c>
      <s:c r="Q16" s="20">
        <s:f>SUM(H16:J16)</s:f>
        <s:v>79763.5325</s:v>
      </s:c>
      <s:c r="R16" s="20">
        <s:f>SUM(K16:M16)</s:f>
        <s:v>79763.5325</s:v>
      </s:c>
    </s:row>
    <s:row r="17">
      <s:c r="A17" s="12" t="inlineStr">
        <s:is>
          <s:t>General &amp; Administrative</s:t>
        </s:is>
      </s:c>
      <s:c r="B17" s="13">
        <s:f>'Expense Budget'!G6+'Expense Budget'!G9+'Expense Budget'!G10+'Expense Budget'!G11+'Expense Budget'!G12+'Expense Budget'!G13+'Expense Budget'!G14</s:f>
        <s:v>150272.4166666667</s:v>
      </s:c>
      <s:c r="C17" s="13">
        <s:f>'Expense Budget'!H6+'Expense Budget'!H9+'Expense Budget'!H10+'Expense Budget'!H11+'Expense Budget'!H12+'Expense Budget'!H13+'Expense Budget'!H14</s:f>
        <s:v>150272.4166666667</s:v>
      </s:c>
      <s:c r="D17" s="13">
        <s:f>'Expense Budget'!I6+'Expense Budget'!I9+'Expense Budget'!I10+'Expense Budget'!I11+'Expense Budget'!I12+'Expense Budget'!I13+'Expense Budget'!I14</s:f>
        <s:v>150272.4166666667</s:v>
      </s:c>
      <s:c r="E17" s="13">
        <s:f>'Expense Budget'!J6+'Expense Budget'!J9+'Expense Budget'!J10+'Expense Budget'!J11+'Expense Budget'!J12+'Expense Budget'!J13+'Expense Budget'!J14</s:f>
        <s:v>150272.4166666667</s:v>
      </s:c>
      <s:c r="F17" s="13">
        <s:f>'Expense Budget'!K6+'Expense Budget'!K9+'Expense Budget'!K10+'Expense Budget'!K11+'Expense Budget'!K12+'Expense Budget'!K13+'Expense Budget'!K14</s:f>
        <s:v>150272.4166666667</s:v>
      </s:c>
      <s:c r="G17" s="13">
        <s:f>'Expense Budget'!L6+'Expense Budget'!L9+'Expense Budget'!L10+'Expense Budget'!L11+'Expense Budget'!L12+'Expense Budget'!L13+'Expense Budget'!L14</s:f>
        <s:v>150272.4166666667</s:v>
      </s:c>
      <s:c r="H17" s="13">
        <s:f>'Expense Budget'!M6+'Expense Budget'!M9+'Expense Budget'!M10+'Expense Budget'!M11+'Expense Budget'!M12+'Expense Budget'!M13+'Expense Budget'!M14</s:f>
        <s:v>150272.4166666667</s:v>
      </s:c>
      <s:c r="I17" s="13">
        <s:f>'Expense Budget'!N6+'Expense Budget'!N9+'Expense Budget'!N10+'Expense Budget'!N11+'Expense Budget'!N12+'Expense Budget'!N13+'Expense Budget'!N14</s:f>
        <s:v>150272.4166666667</s:v>
      </s:c>
      <s:c r="J17" s="13">
        <s:f>'Expense Budget'!O6+'Expense Budget'!O9+'Expense Budget'!O10+'Expense Budget'!O11+'Expense Budget'!O12+'Expense Budget'!O13+'Expense Budget'!O14</s:f>
        <s:v>150272.4166666667</s:v>
      </s:c>
      <s:c r="K17" s="13">
        <s:f>'Expense Budget'!P6+'Expense Budget'!P9+'Expense Budget'!P10+'Expense Budget'!P11+'Expense Budget'!P12+'Expense Budget'!P13+'Expense Budget'!P14</s:f>
        <s:v>150272.4166666667</s:v>
      </s:c>
      <s:c r="L17" s="13">
        <s:f>'Expense Budget'!Q6+'Expense Budget'!Q9+'Expense Budget'!Q10+'Expense Budget'!Q11+'Expense Budget'!Q12+'Expense Budget'!Q13+'Expense Budget'!Q14</s:f>
        <s:v>150272.4166666667</s:v>
      </s:c>
      <s:c r="M17" s="13">
        <s:f>'Expense Budget'!R6+'Expense Budget'!R9+'Expense Budget'!R10+'Expense Budget'!R11+'Expense Budget'!R12+'Expense Budget'!R13+'Expense Budget'!R14</s:f>
        <s:v>150272.4166666667</s:v>
      </s:c>
      <s:c r="N17" s="19">
        <s:f>SUM(B17:M17)</s:f>
        <s:v>1803269.0000000005</s:v>
      </s:c>
      <s:c r="O17" s="20">
        <s:f>SUM(B17:D17)</s:f>
        <s:v>450817.25000000006</s:v>
      </s:c>
      <s:c r="P17" s="20">
        <s:f>SUM(E17:G17)</s:f>
        <s:v>450817.25000000006</s:v>
      </s:c>
      <s:c r="Q17" s="20">
        <s:f>SUM(H17:J17)</s:f>
        <s:v>450817.25000000006</s:v>
      </s:c>
      <s:c r="R17" s="20">
        <s:f>SUM(K17:M17)</s:f>
        <s:v>450817.25000000006</s:v>
      </s:c>
    </s:row>
    <s:row r="18">
      <s:c r="A18" s="21" t="inlineStr">
        <s:is>
          <s:t>Total Operating Expenses</s:t>
        </s:is>
      </s:c>
      <s:c r="B18" s="19">
        <s:f>'Expense Budget'!G16</s:f>
        <s:v>611744.0908333333</s:v>
      </s:c>
      <s:c r="C18" s="19">
        <s:f>'Expense Budget'!H16</s:f>
        <s:v>617856.5908333333</s:v>
      </s:c>
      <s:c r="D18" s="19">
        <s:f>'Expense Budget'!I16</s:f>
        <s:v>639997.4208333334</s:v>
      </s:c>
      <s:c r="E18" s="19">
        <s:f>'Expense Budget'!J16</s:f>
        <s:v>647468.2508333334</s:v>
      </s:c>
      <s:c r="F18" s="19">
        <s:f>'Expense Budget'!K16</s:f>
        <s:v>647468.2508333334</s:v>
      </s:c>
      <s:c r="G18" s="19">
        <s:f>'Expense Budget'!L16</s:f>
        <s:v>647468.2508333334</s:v>
      </s:c>
      <s:c r="H18" s="19">
        <s:f>'Expense Budget'!M16</s:f>
        <s:v>647468.2508333334</s:v>
      </s:c>
      <s:c r="I18" s="19">
        <s:f>'Expense Budget'!N16</s:f>
        <s:v>647468.2508333334</s:v>
      </s:c>
      <s:c r="J18" s="19">
        <s:f>'Expense Budget'!O16</s:f>
        <s:v>647468.2508333334</s:v>
      </s:c>
      <s:c r="K18" s="19">
        <s:f>'Expense Budget'!P16</s:f>
        <s:v>647468.2508333334</s:v>
      </s:c>
      <s:c r="L18" s="19">
        <s:f>'Expense Budget'!Q16</s:f>
        <s:v>647468.2508333334</s:v>
      </s:c>
      <s:c r="M18" s="19">
        <s:f>'Expense Budget'!R16</s:f>
        <s:v>647468.2508333334</s:v>
      </s:c>
      <s:c r="N18" s="19">
        <s:f>SUM(B18:M18)</s:f>
        <s:v>7696812.360000001</s:v>
      </s:c>
      <s:c r="O18" s="20">
        <s:f>SUM(B18:D18)</s:f>
        <s:v>1869598.1025</s:v>
      </s:c>
      <s:c r="P18" s="20">
        <s:f>SUM(E18:G18)</s:f>
        <s:v>1942404.7525</s:v>
      </s:c>
      <s:c r="Q18" s="20">
        <s:f>SUM(H18:J18)</s:f>
        <s:v>1942404.7525</s:v>
      </s:c>
      <s:c r="R18" s="20">
        <s:f>SUM(K18:M18)</s:f>
        <s:v>1942404.7525</s:v>
      </s:c>
    </s:row>
    <s:row r="20">
      <s:c r="A20" s="21" t="inlineStr">
        <s:is>
          <s:t>OPERATING INCOME (EBIT)</s:t>
        </s:is>
      </s:c>
      <s:c r="B20" s="19">
        <s:f>B10-B18</s:f>
        <s:v>-66451.0708333333</s:v>
      </s:c>
      <s:c r="C20" s="19">
        <s:f>C10-C18</s:f>
        <s:v>-63724.70083333331</s:v>
      </s:c>
      <s:c r="D20" s="19">
        <s:f>D10-D18</s:f>
        <s:v>-77091.23083333345</s:v>
      </s:c>
      <s:c r="E20" s="19">
        <s:f>E10-E18</s:f>
        <s:v>-75852.33083333331</s:v>
      </s:c>
      <s:c r="F20" s="19">
        <s:f>F10-F18</s:f>
        <s:v>-67207.19083333341</s:v>
      </s:c>
      <s:c r="G20" s="19">
        <s:f>G10-G18</s:f>
        <s:v>-58626.62083333335</s:v>
      </s:c>
      <s:c r="H20" s="19">
        <s:f>H10-H18</s:f>
        <s:v>-36621.960833333316</s:v>
      </s:c>
      <s:c r="I20" s="19">
        <s:f>I10-I18</s:f>
        <s:v>-27924.33083333331</s:v>
      </s:c>
      <s:c r="J20" s="19">
        <s:f>J10-J18</s:f>
        <s:v>-19293.16083333327</s:v>
      </s:c>
      <s:c r="K20" s="19">
        <s:f>K10-K18</s:f>
        <s:v>-10728.460833333316</s:v>
      </s:c>
      <s:c r="L20" s="19">
        <s:f>L10-L18</s:f>
        <s:v>-2310.9108333332697</s:v>
      </s:c>
      <s:c r="M20" s="19">
        <s:f>M10-M18</s:f>
        <s:v>5959.469166666619</s:v>
      </s:c>
      <s:c r="N20" s="19">
        <s:f>SUM(B20:M20)</s:f>
        <s:v>-499872.5</s:v>
      </s:c>
      <s:c r="O20" s="20">
        <s:f>SUM(B20:D20)</s:f>
        <s:v>-207267.00250000006</s:v>
      </s:c>
      <s:c r="P20" s="20">
        <s:f>SUM(E20:G20)</s:f>
        <s:v>-201686.14250000007</s:v>
      </s:c>
      <s:c r="Q20" s="20">
        <s:f>SUM(H20:J20)</s:f>
        <s:v>-83839.4524999999</s:v>
      </s:c>
      <s:c r="R20" s="20">
        <s:f>SUM(K20:M20)</s:f>
        <s:v>-7079.902499999967</s:v>
      </s:c>
    </s:row>
    <s:row r="21">
      <s:c r="A21" s="12" t="inlineStr">
        <s:is>
          <s:t xml:space="preserve">  EBIT margin %</s:t>
        </s:is>
      </s:c>
      <s:c r="B21" s="22">
        <s:f>IFERROR(B20/B10,0)</s:f>
        <s:v>-0.12186305049958883</s:v>
      </s:c>
      <s:c r="C21" s="22">
        <s:f>IFERROR(C20/C10,0)</s:f>
        <s:v>-0.11499915811258093</s:v>
      </s:c>
      <s:c r="D21" s="22">
        <s:f>IFERROR(D20/D10,0)</s:f>
        <s:v>-0.13695218173623824</s:v>
      </s:c>
      <s:c r="E21" s="22">
        <s:f>IFERROR(E20/E10,0)</s:f>
        <s:v>-0.13269807256826105</s:v>
      </s:c>
      <s:c r="F21" s="22">
        <s:f>IFERROR(F20/F10,0)</s:f>
        <s:v>-0.11582233492168753</s:v>
      </s:c>
      <s:c r="G21" s="22">
        <s:f>IFERROR(G20/G10,0)</s:f>
        <s:v>-0.09956262914585938</s:v>
      </s:c>
      <s:c r="H21" s="22">
        <s:f>IFERROR(H20/H10,0)</s:f>
        <s:v>-0.059952825175271694</s:v>
      </s:c>
      <s:c r="I21" s="22">
        <s:f>IFERROR(I20/I10,0)</s:f>
        <s:v>-0.04507239911794036</s:v>
      </s:c>
      <s:c r="J21" s="22">
        <s:f>IFERROR(J20/J10,0)</s:f>
        <s:v>-0.030713030714626503</s:v>
      </s:c>
      <s:c r="K21" s="22">
        <s:f>IFERROR(K20/K10,0)</s:f>
        <s:v>-0.016849050431312476</s:v>
      </s:c>
      <s:c r="L21" s="22">
        <s:f>IFERROR(L20/L10,0)</s:f>
        <s:v>-0.003581933723846759</s:v>
      </s:c>
      <s:c r="M21" s="22">
        <s:f>IFERROR(M20/M10,0)</s:f>
        <s:v>0.009120318872708092</s:v>
      </s:c>
      <s:c r="N21" s="23">
        <s:f>IFERROR(N20/N10,0)</s:f>
        <s:v>-0.06945625637060694</s:v>
      </s:c>
      <s:c r="O21" s="24">
        <s:f>IFERROR(O20/O10,0)</s:f>
        <s:v>-0.12468454840314307</s:v>
      </s:c>
      <s:c r="P21" s="24">
        <s:f>IFERROR(P20/P10,0)</s:f>
        <s:v>-0.11586372509684383</s:v>
      </s:c>
      <s:c r="Q21" s="24">
        <s:f>IFERROR(Q20/Q10,0)</s:f>
        <s:v>-0.045109769616380926</s:v>
      </s:c>
      <s:c r="R21" s="24">
        <s:f>IFERROR(R20/R10,0)</s:f>
        <s:v>-0.003658250189884126</s:v>
      </s:c>
    </s:row>
    <s:row r="22">
      <s:c r="A22" s="12" t="inlineStr">
        <s:is>
          <s:t xml:space="preserve">  Add back: depreciation &amp; amortization</s:t>
        </s:is>
      </s:c>
      <s:c r="B22" s="13">
        <s:f>'Assumptions &amp; Notes'!$B$8/12</s:f>
        <s:v>11739.583333333334</s:v>
      </s:c>
      <s:c r="C22" s="13">
        <s:f>'Assumptions &amp; Notes'!$B$8/12</s:f>
        <s:v>11739.583333333334</s:v>
      </s:c>
      <s:c r="D22" s="13">
        <s:f>'Assumptions &amp; Notes'!$B$8/12</s:f>
        <s:v>11739.583333333334</s:v>
      </s:c>
      <s:c r="E22" s="13">
        <s:f>'Assumptions &amp; Notes'!$B$8/12</s:f>
        <s:v>11739.583333333334</s:v>
      </s:c>
      <s:c r="F22" s="13">
        <s:f>'Assumptions &amp; Notes'!$B$8/12</s:f>
        <s:v>11739.583333333334</s:v>
      </s:c>
      <s:c r="G22" s="13">
        <s:f>'Assumptions &amp; Notes'!$B$8/12</s:f>
        <s:v>11739.583333333334</s:v>
      </s:c>
      <s:c r="H22" s="13">
        <s:f>'Assumptions &amp; Notes'!$B$8/12</s:f>
        <s:v>11739.583333333334</s:v>
      </s:c>
      <s:c r="I22" s="13">
        <s:f>'Assumptions &amp; Notes'!$B$8/12</s:f>
        <s:v>11739.583333333334</s:v>
      </s:c>
      <s:c r="J22" s="13">
        <s:f>'Assumptions &amp; Notes'!$B$8/12</s:f>
        <s:v>11739.583333333334</s:v>
      </s:c>
      <s:c r="K22" s="13">
        <s:f>'Assumptions &amp; Notes'!$B$8/12</s:f>
        <s:v>11739.583333333334</s:v>
      </s:c>
      <s:c r="L22" s="13">
        <s:f>'Assumptions &amp; Notes'!$B$8/12</s:f>
        <s:v>11739.583333333334</s:v>
      </s:c>
      <s:c r="M22" s="13">
        <s:f>'Assumptions &amp; Notes'!$B$8/12</s:f>
        <s:v>11739.583333333334</s:v>
      </s:c>
      <s:c r="N22" s="19">
        <s:f>SUM(B22:M22)</s:f>
        <s:v>140875</s:v>
      </s:c>
      <s:c r="O22" s="20">
        <s:f>SUM(B22:D22)</s:f>
        <s:v>35218.75</s:v>
      </s:c>
      <s:c r="P22" s="20">
        <s:f>SUM(E22:G22)</s:f>
        <s:v>35218.75</s:v>
      </s:c>
      <s:c r="Q22" s="20">
        <s:f>SUM(H22:J22)</s:f>
        <s:v>35218.75</s:v>
      </s:c>
      <s:c r="R22" s="20">
        <s:f>SUM(K22:M22)</s:f>
        <s:v>35218.75</s:v>
      </s:c>
    </s:row>
    <s:row r="23">
      <s:c r="A23" s="21" t="inlineStr">
        <s:is>
          <s:t>EBITDA</s:t>
        </s:is>
      </s:c>
      <s:c r="B23" s="19">
        <s:f>B20+B22</s:f>
        <s:v>-54711.48749999997</s:v>
      </s:c>
      <s:c r="C23" s="19">
        <s:f>C20+C22</s:f>
        <s:v>-51985.11749999997</s:v>
      </s:c>
      <s:c r="D23" s="19">
        <s:f>D20+D22</s:f>
        <s:v>-65351.647500000116</s:v>
      </s:c>
      <s:c r="E23" s="19">
        <s:f>E20+E22</s:f>
        <s:v>-64112.747499999976</s:v>
      </s:c>
      <s:c r="F23" s="19">
        <s:f>F20+F22</s:f>
        <s:v>-55467.60750000008</s:v>
      </s:c>
      <s:c r="G23" s="19">
        <s:f>G20+G22</s:f>
        <s:v>-46887.03750000001</s:v>
      </s:c>
      <s:c r="H23" s="19">
        <s:f>H20+H22</s:f>
        <s:v>-24882.37749999998</s:v>
      </s:c>
      <s:c r="I23" s="19">
        <s:f>I20+I22</s:f>
        <s:v>-16184.747499999978</s:v>
      </s:c>
      <s:c r="J23" s="19">
        <s:f>J20+J22</s:f>
        <s:v>-7553.577499999936</s:v>
      </s:c>
      <s:c r="K23" s="19">
        <s:f>K20+K22</s:f>
        <s:v>1011.1225000000177</s:v>
      </s:c>
      <s:c r="L23" s="19">
        <s:f>L20+L22</s:f>
        <s:v>9428.672500000064</s:v>
      </s:c>
      <s:c r="M23" s="19">
        <s:f>M20+M22</s:f>
        <s:v>17699.052499999954</s:v>
      </s:c>
      <s:c r="N23" s="19">
        <s:f>SUM(B23:M23)</s:f>
        <s:v>-358997.50000000006</s:v>
      </s:c>
      <s:c r="O23" s="20">
        <s:f>SUM(B23:D23)</s:f>
        <s:v>-172048.25250000006</s:v>
      </s:c>
      <s:c r="P23" s="20">
        <s:f>SUM(E23:G23)</s:f>
        <s:v>-166467.39250000007</s:v>
      </s:c>
      <s:c r="Q23" s="20">
        <s:f>SUM(H23:J23)</s:f>
        <s:v>-48620.70249999989</s:v>
      </s:c>
      <s:c r="R23" s="20">
        <s:f>SUM(K23:M23)</s:f>
        <s:v>28138.847500000036</s:v>
      </s:c>
    </s:row>
    <s:row r="25">
      <s:c r="A25" s="17" t="inlineStr">
        <s:is>
          <s:t>OTHER INCOME (nonoperating)</s:t>
        </s:is>
      </s:c>
    </s:row>
    <s:row r="26">
      <s:c r="A26" s="12" t="inlineStr">
        <s:is>
          <s:t>Grant income</s:t>
        </s:is>
      </s:c>
      <s:c r="B26" s="18">
        <s:f>'Assumptions &amp; Notes'!$B$10/12</s:f>
        <s:v>65340</s:v>
      </s:c>
      <s:c r="C26" s="18">
        <s:f>'Assumptions &amp; Notes'!$B$10/12</s:f>
        <s:v>65340</s:v>
      </s:c>
      <s:c r="D26" s="18">
        <s:f>'Assumptions &amp; Notes'!$B$10/12</s:f>
        <s:v>65340</s:v>
      </s:c>
      <s:c r="E26" s="18">
        <s:f>'Assumptions &amp; Notes'!$B$10/12</s:f>
        <s:v>65340</s:v>
      </s:c>
      <s:c r="F26" s="18">
        <s:f>'Assumptions &amp; Notes'!$B$10/12</s:f>
        <s:v>65340</s:v>
      </s:c>
      <s:c r="G26" s="18">
        <s:f>'Assumptions &amp; Notes'!$B$10/12</s:f>
        <s:v>65340</s:v>
      </s:c>
      <s:c r="H26" s="18">
        <s:f>'Assumptions &amp; Notes'!$B$10/12</s:f>
        <s:v>65340</s:v>
      </s:c>
      <s:c r="I26" s="18">
        <s:f>'Assumptions &amp; Notes'!$B$10/12</s:f>
        <s:v>65340</s:v>
      </s:c>
      <s:c r="J26" s="18">
        <s:f>'Assumptions &amp; Notes'!$B$10/12</s:f>
        <s:v>65340</s:v>
      </s:c>
      <s:c r="K26" s="18">
        <s:f>'Assumptions &amp; Notes'!$B$10/12</s:f>
        <s:v>65340</s:v>
      </s:c>
      <s:c r="L26" s="18">
        <s:f>'Assumptions &amp; Notes'!$B$10/12</s:f>
        <s:v>65340</s:v>
      </s:c>
      <s:c r="M26" s="18">
        <s:f>'Assumptions &amp; Notes'!$B$10/12</s:f>
        <s:v>65340</s:v>
      </s:c>
      <s:c r="N26" s="19">
        <s:f>SUM(B26:M26)</s:f>
        <s:v>784080</s:v>
      </s:c>
      <s:c r="O26" s="20">
        <s:f>SUM(B26:D26)</s:f>
        <s:v>196020</s:v>
      </s:c>
      <s:c r="P26" s="20">
        <s:f>SUM(E26:G26)</s:f>
        <s:v>196020</s:v>
      </s:c>
      <s:c r="Q26" s="20">
        <s:f>SUM(H26:J26)</s:f>
        <s:v>196020</s:v>
      </s:c>
      <s:c r="R26" s="20">
        <s:f>SUM(K26:M26)</s:f>
        <s:v>196020</s:v>
      </s:c>
    </s:row>
    <s:row r="27">
      <s:c r="A27" s="12" t="inlineStr">
        <s:is>
          <s:t>Nonoperating income</s:t>
        </s:is>
      </s:c>
      <s:c r="B27" s="18">
        <s:f>'Assumptions &amp; Notes'!$B$11/12</s:f>
        <s:v>31167</s:v>
      </s:c>
      <s:c r="C27" s="18">
        <s:f>'Assumptions &amp; Notes'!$B$11/12</s:f>
        <s:v>31167</s:v>
      </s:c>
      <s:c r="D27" s="18">
        <s:f>'Assumptions &amp; Notes'!$B$11/12</s:f>
        <s:v>31167</s:v>
      </s:c>
      <s:c r="E27" s="18">
        <s:f>'Assumptions &amp; Notes'!$B$11/12</s:f>
        <s:v>31167</s:v>
      </s:c>
      <s:c r="F27" s="18">
        <s:f>'Assumptions &amp; Notes'!$B$11/12</s:f>
        <s:v>31167</s:v>
      </s:c>
      <s:c r="G27" s="18">
        <s:f>'Assumptions &amp; Notes'!$B$11/12</s:f>
        <s:v>31167</s:v>
      </s:c>
      <s:c r="H27" s="18">
        <s:f>'Assumptions &amp; Notes'!$B$11/12</s:f>
        <s:v>31167</s:v>
      </s:c>
      <s:c r="I27" s="18">
        <s:f>'Assumptions &amp; Notes'!$B$11/12</s:f>
        <s:v>31167</s:v>
      </s:c>
      <s:c r="J27" s="18">
        <s:f>'Assumptions &amp; Notes'!$B$11/12</s:f>
        <s:v>31167</s:v>
      </s:c>
      <s:c r="K27" s="18">
        <s:f>'Assumptions &amp; Notes'!$B$11/12</s:f>
        <s:v>31167</s:v>
      </s:c>
      <s:c r="L27" s="18">
        <s:f>'Assumptions &amp; Notes'!$B$11/12</s:f>
        <s:v>31167</s:v>
      </s:c>
      <s:c r="M27" s="18">
        <s:f>'Assumptions &amp; Notes'!$B$11/12</s:f>
        <s:v>31167</s:v>
      </s:c>
      <s:c r="N27" s="19">
        <s:f>SUM(B27:M27)</s:f>
        <s:v>374004</s:v>
      </s:c>
      <s:c r="O27" s="20">
        <s:f>SUM(B27:D27)</s:f>
        <s:v>93501</s:v>
      </s:c>
      <s:c r="P27" s="20">
        <s:f>SUM(E27:G27)</s:f>
        <s:v>93501</s:v>
      </s:c>
      <s:c r="Q27" s="20">
        <s:f>SUM(H27:J27)</s:f>
        <s:v>93501</s:v>
      </s:c>
      <s:c r="R27" s="20">
        <s:f>SUM(K27:M27)</s:f>
        <s:v>93501</s:v>
      </s:c>
    </s:row>
    <s:row r="28">
      <s:c r="A28" s="21" t="inlineStr">
        <s:is>
          <s:t>Total other income</s:t>
        </s:is>
      </s:c>
      <s:c r="B28" s="19">
        <s:f>B26+B27</s:f>
        <s:v>96507</s:v>
      </s:c>
      <s:c r="C28" s="19">
        <s:f>C26+C27</s:f>
        <s:v>96507</s:v>
      </s:c>
      <s:c r="D28" s="19">
        <s:f>D26+D27</s:f>
        <s:v>96507</s:v>
      </s:c>
      <s:c r="E28" s="19">
        <s:f>E26+E27</s:f>
        <s:v>96507</s:v>
      </s:c>
      <s:c r="F28" s="19">
        <s:f>F26+F27</s:f>
        <s:v>96507</s:v>
      </s:c>
      <s:c r="G28" s="19">
        <s:f>G26+G27</s:f>
        <s:v>96507</s:v>
      </s:c>
      <s:c r="H28" s="19">
        <s:f>H26+H27</s:f>
        <s:v>96507</s:v>
      </s:c>
      <s:c r="I28" s="19">
        <s:f>I26+I27</s:f>
        <s:v>96507</s:v>
      </s:c>
      <s:c r="J28" s="19">
        <s:f>J26+J27</s:f>
        <s:v>96507</s:v>
      </s:c>
      <s:c r="K28" s="19">
        <s:f>K26+K27</s:f>
        <s:v>96507</s:v>
      </s:c>
      <s:c r="L28" s="19">
        <s:f>L26+L27</s:f>
        <s:v>96507</s:v>
      </s:c>
      <s:c r="M28" s="19">
        <s:f>M26+M27</s:f>
        <s:v>96507</s:v>
      </s:c>
      <s:c r="N28" s="19">
        <s:f>SUM(B28:M28)</s:f>
        <s:v>1158084</s:v>
      </s:c>
      <s:c r="O28" s="20">
        <s:f>SUM(B28:D28)</s:f>
        <s:v>289521</s:v>
      </s:c>
      <s:c r="P28" s="20">
        <s:f>SUM(E28:G28)</s:f>
        <s:v>289521</s:v>
      </s:c>
      <s:c r="Q28" s="20">
        <s:f>SUM(H28:J28)</s:f>
        <s:v>289521</s:v>
      </s:c>
      <s:c r="R28" s="20">
        <s:f>SUM(K28:M28)</s:f>
        <s:v>289521</s:v>
      </s:c>
    </s:row>
    <s:row r="30">
      <s:c r="A30" s="21" t="inlineStr">
        <s:is>
          <s:t>PRE-TAX INCOME</s:t>
        </s:is>
      </s:c>
      <s:c r="B30" s="19">
        <s:f>B20+B28</s:f>
        <s:v>30055.929166666698</s:v>
      </s:c>
      <s:c r="C30" s="19">
        <s:f>C20+C28</s:f>
        <s:v>32782.29916666669</s:v>
      </s:c>
      <s:c r="D30" s="19">
        <s:f>D20+D28</s:f>
        <s:v>19415.76916666655</s:v>
      </s:c>
      <s:c r="E30" s="19">
        <s:f>E20+E28</s:f>
        <s:v>20654.66916666669</s:v>
      </s:c>
      <s:c r="F30" s="19">
        <s:f>F20+F28</s:f>
        <s:v>29299.809166666586</s:v>
      </s:c>
      <s:c r="G30" s="19">
        <s:f>G20+G28</s:f>
        <s:v>37880.37916666665</s:v>
      </s:c>
      <s:c r="H30" s="19">
        <s:f>H20+H28</s:f>
        <s:v>59885.039166666684</s:v>
      </s:c>
      <s:c r="I30" s="19">
        <s:f>I20+I28</s:f>
        <s:v>68582.66916666669</s:v>
      </s:c>
      <s:c r="J30" s="19">
        <s:f>J20+J28</s:f>
        <s:v>77213.83916666673</s:v>
      </s:c>
      <s:c r="K30" s="19">
        <s:f>K20+K28</s:f>
        <s:v>85778.53916666668</s:v>
      </s:c>
      <s:c r="L30" s="19">
        <s:f>L20+L28</s:f>
        <s:v>94196.08916666673</s:v>
      </s:c>
      <s:c r="M30" s="19">
        <s:f>M20+M28</s:f>
        <s:v>102466.46916666662</s:v>
      </s:c>
      <s:c r="N30" s="19">
        <s:f>SUM(B30:M30)</s:f>
        <s:v>658211.5</s:v>
      </s:c>
      <s:c r="O30" s="20">
        <s:f>SUM(B30:D30)</s:f>
        <s:v>82253.99749999994</s:v>
      </s:c>
      <s:c r="P30" s="20">
        <s:f>SUM(E30:G30)</s:f>
        <s:v>87834.85749999993</s:v>
      </s:c>
      <s:c r="Q30" s="20">
        <s:f>SUM(H30:J30)</s:f>
        <s:v>205681.5475000001</s:v>
      </s:c>
      <s:c r="R30" s="20">
        <s:f>SUM(K30:M30)</s:f>
        <s:v>282441.09750000003</s:v>
      </s:c>
    </s:row>
    <s:row r="31">
      <s:c r="A31" s="12" t="inlineStr">
        <s:is>
          <s:t xml:space="preserve">  Income tax</s:t>
        </s:is>
      </s:c>
      <s:c r="B31" s="13">
        <s:f>-'Assumptions &amp; Notes'!$B$9*MAX(0,B30)</s:f>
        <s:v>0</s:v>
      </s:c>
      <s:c r="C31" s="13">
        <s:f>-'Assumptions &amp; Notes'!$B$9*MAX(0,C30)</s:f>
        <s:v>0</s:v>
      </s:c>
      <s:c r="D31" s="13">
        <s:f>-'Assumptions &amp; Notes'!$B$9*MAX(0,D30)</s:f>
        <s:v>0</s:v>
      </s:c>
      <s:c r="E31" s="13">
        <s:f>-'Assumptions &amp; Notes'!$B$9*MAX(0,E30)</s:f>
        <s:v>0</s:v>
      </s:c>
      <s:c r="F31" s="13">
        <s:f>-'Assumptions &amp; Notes'!$B$9*MAX(0,F30)</s:f>
        <s:v>0</s:v>
      </s:c>
      <s:c r="G31" s="13">
        <s:f>-'Assumptions &amp; Notes'!$B$9*MAX(0,G30)</s:f>
        <s:v>0</s:v>
      </s:c>
      <s:c r="H31" s="13">
        <s:f>-'Assumptions &amp; Notes'!$B$9*MAX(0,H30)</s:f>
        <s:v>0</s:v>
      </s:c>
      <s:c r="I31" s="13">
        <s:f>-'Assumptions &amp; Notes'!$B$9*MAX(0,I30)</s:f>
        <s:v>0</s:v>
      </s:c>
      <s:c r="J31" s="13">
        <s:f>-'Assumptions &amp; Notes'!$B$9*MAX(0,J30)</s:f>
        <s:v>0</s:v>
      </s:c>
      <s:c r="K31" s="13">
        <s:f>-'Assumptions &amp; Notes'!$B$9*MAX(0,K30)</s:f>
        <s:v>0</s:v>
      </s:c>
      <s:c r="L31" s="13">
        <s:f>-'Assumptions &amp; Notes'!$B$9*MAX(0,L30)</s:f>
        <s:v>0</s:v>
      </s:c>
      <s:c r="M31" s="13">
        <s:f>-'Assumptions &amp; Notes'!$B$9*MAX(0,M30)</s:f>
        <s:v>0</s:v>
      </s:c>
      <s:c r="N31" s="19">
        <s:f>SUM(B31:M31)</s:f>
        <s:v>0</s:v>
      </s:c>
      <s:c r="O31" s="20">
        <s:f>SUM(B31:D31)</s:f>
        <s:v>0</s:v>
      </s:c>
      <s:c r="P31" s="20">
        <s:f>SUM(E31:G31)</s:f>
        <s:v>0</s:v>
      </s:c>
      <s:c r="Q31" s="20">
        <s:f>SUM(H31:J31)</s:f>
        <s:v>0</s:v>
      </s:c>
      <s:c r="R31" s="20">
        <s:f>SUM(K31:M31)</s:f>
        <s:v>0</s:v>
      </s:c>
    </s:row>
    <s:row r="32">
      <s:c r="A32" s="21" t="inlineStr">
        <s:is>
          <s:t>NET INCOME</s:t>
        </s:is>
      </s:c>
      <s:c r="B32" s="19">
        <s:f>B30+B31</s:f>
        <s:v>30055.929166666698</s:v>
      </s:c>
      <s:c r="C32" s="19">
        <s:f>C30+C31</s:f>
        <s:v>32782.29916666669</s:v>
      </s:c>
      <s:c r="D32" s="19">
        <s:f>D30+D31</s:f>
        <s:v>19415.76916666655</s:v>
      </s:c>
      <s:c r="E32" s="19">
        <s:f>E30+E31</s:f>
        <s:v>20654.66916666669</s:v>
      </s:c>
      <s:c r="F32" s="19">
        <s:f>F30+F31</s:f>
        <s:v>29299.809166666586</s:v>
      </s:c>
      <s:c r="G32" s="19">
        <s:f>G30+G31</s:f>
        <s:v>37880.37916666665</s:v>
      </s:c>
      <s:c r="H32" s="19">
        <s:f>H30+H31</s:f>
        <s:v>59885.039166666684</s:v>
      </s:c>
      <s:c r="I32" s="19">
        <s:f>I30+I31</s:f>
        <s:v>68582.66916666669</s:v>
      </s:c>
      <s:c r="J32" s="19">
        <s:f>J30+J31</s:f>
        <s:v>77213.83916666673</s:v>
      </s:c>
      <s:c r="K32" s="19">
        <s:f>K30+K31</s:f>
        <s:v>85778.53916666668</s:v>
      </s:c>
      <s:c r="L32" s="19">
        <s:f>L30+L31</s:f>
        <s:v>94196.08916666673</s:v>
      </s:c>
      <s:c r="M32" s="19">
        <s:f>M30+M31</s:f>
        <s:v>102466.46916666662</s:v>
      </s:c>
      <s:c r="N32" s="19">
        <s:f>SUM(B32:M32)</s:f>
        <s:v>658211.5</s:v>
      </s:c>
      <s:c r="O32" s="20">
        <s:f>SUM(B32:D32)</s:f>
        <s:v>82253.99749999994</s:v>
      </s:c>
      <s:c r="P32" s="20">
        <s:f>SUM(E32:G32)</s:f>
        <s:v>87834.85749999993</s:v>
      </s:c>
      <s:c r="Q32" s="20">
        <s:f>SUM(H32:J32)</s:f>
        <s:v>205681.5475000001</s:v>
      </s:c>
      <s:c r="R32" s="20">
        <s:f>SUM(K32:M32)</s:f>
        <s:v>282441.09750000003</s:v>
      </s:c>
    </s:row>
    <s:row r="33">
      <s:c r="A33" s="12" t="inlineStr">
        <s:is>
          <s:t xml:space="preserve">  Net margin %</s:t>
        </s:is>
      </s:c>
      <s:c r="B33" s="22">
        <s:f>IFERROR(B32/B10,0)</s:f>
        <s:v>0.055118859153316685</s:v>
      </s:c>
      <s:c r="C33" s="22">
        <s:f>IFERROR(C32/C10,0)</s:f>
        <s:v>0.05915974113431135</s:v>
      </s:c>
      <s:c r="D33" s="22">
        <s:f>IFERROR(D32/D10,0)</s:f>
        <s:v>0.0344920157418531</s:v>
      </s:c>
      <s:c r="E33" s="22">
        <s:f>IFERROR(E32/E10,0)</s:f>
        <s:v>0.0361338242060625</s:v>
      </s:c>
      <s:c r="F33" s="22">
        <s:f>IFERROR(F32/F10,0)</s:f>
        <s:v>0.05049418474964801</s:v>
      </s:c>
      <s:c r="G33" s="22">
        <s:f>IFERROR(G32/G10,0)</s:f>
        <s:v>0.06433033473986316</s:v>
      </s:c>
      <s:c r="H33" s="22">
        <s:f>IFERROR(H32/H10,0)</s:f>
        <s:v>0.09803618381093332</s:v>
      </s:c>
      <s:c r="I33" s="22">
        <s:f>IFERROR(I32/I10,0)</s:f>
        <s:v>0.11069863968105229</s:v>
      </s:c>
      <s:c r="J33" s="22">
        <s:f>IFERROR(J32/J10,0)</s:f>
        <s:v>0.1229177030350992</s:v>
      </s:c>
      <s:c r="K33" s="22">
        <s:f>IFERROR(K32/K10,0)</s:f>
        <s:v>0.13471521728941532</s:v>
      </s:c>
      <s:c r="L33" s="22">
        <s:f>IFERROR(L32/L10,0)</s:f>
        <s:v>0.14600483219592095</s:v>
      </s:c>
      <s:c r="M33" s="22">
        <s:f>IFERROR(M32/M10,0)</s:f>
        <s:v>0.1568137776075166</s:v>
      </s:c>
      <s:c r="N33" s="23">
        <s:f>IFERROR(N32/N10,0)</s:f>
        <s:v>0.09145713494957565</s:v>
      </s:c>
      <s:c r="O33" s="24">
        <s:f>IFERROR(O32/O10,0)</s:f>
        <s:v>0.049481115705529384</s:v>
      </s:c>
      <s:c r="P33" s="24">
        <s:f>IFERROR(P32/P10,0)</s:f>
        <s:v>0.05045896389882333</s:v>
      </s:c>
      <s:c r="Q33" s="24">
        <s:f>IFERROR(Q32/Q10,0)</s:f>
        <s:v>0.11066683936259872</s:v>
      </s:c>
      <s:c r="R33" s="24">
        <s:f>IFERROR(R32/R10,0)</s:f>
        <s:v>0.1459398909180544</s:v>
      </s:c>
    </s:row>
  </s:sheetData>
  <s:mergeCells count="5">
    <s:mergeCell ref="A25:R25"/>
    <s:mergeCell ref="A2:R2"/>
    <s:mergeCell ref="A1:R1"/>
    <s:mergeCell ref="A5:R5"/>
    <s:mergeCell ref="A12:R12"/>
  </s:mergeCells>
  <s:conditionalFormatting sqref="B20:N20">
    <s:cfRule type="cellIs" priority="1" operator="lessThan" dxfId="0">
      <s:formula>0</s:formula>
    </s:cfRule>
  </s:conditionalFormatting>
  <s:conditionalFormatting sqref="B32:N32">
    <s:cfRule type="cellIs" priority="2" operator="lessThan" dxfId="0">
      <s:formula>0</s:formula>
    </s:cfRule>
  </s:conditionalFormatting>
  <s:conditionalFormatting sqref="B30:N30">
    <s:cfRule type="cellIs" priority="3" operator="lessThan" dxfId="0">
      <s:formula>0</s:formula>
    </s:cfRule>
  </s:conditionalFormatting>
  <s:pageMargins left="0.75" right="0.75" top="1" bottom="1" header="0.5" footer="0.5"/>
  <s:pageSetup orientation="landscape" fitToWidth="1"/>
</s:worksheet>
</file>

<file path=xl/worksheets/sheet3.xml><?xml version="1.0" encoding="utf-8"?>
<s:worksheet xmlns:s="http://schemas.openxmlformats.org/spreadsheetml/2006/main">
  <s:sheetPr>
    <s:tabColor rgb="002E75B6"/>
    <s:outlinePr summaryBelow="1" summaryRight="1"/>
    <s:pageSetUpPr/>
  </s:sheetPr>
  <s:dimension ref="A1:R13"/>
  <s:sheetViews>
    <s:sheetView showGridLines="0"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4" customWidth="1" min="1" max="1"/>
    <s:col width="12" customWidth="1" min="2" max="2"/>
    <s:col width="12" customWidth="1" min="3" max="3"/>
    <s:col width="12" customWidth="1" min="4" max="4"/>
    <s:col width="12" customWidth="1" min="5" max="5"/>
    <s:col width="12" customWidth="1" min="6" max="6"/>
    <s:col width="12" customWidth="1" min="7" max="7"/>
    <s:col width="12" customWidth="1" min="8" max="8"/>
    <s:col width="12" customWidth="1" min="9" max="9"/>
    <s:col width="12" customWidth="1" min="10" max="10"/>
    <s:col width="12" customWidth="1" min="11" max="11"/>
    <s:col width="12" customWidth="1" min="12" max="12"/>
    <s:col width="12" customWidth="1" min="13" max="13"/>
    <s:col width="12" customWidth="1" min="14" max="14"/>
    <s:col width="12" customWidth="1" min="15" max="15"/>
    <s:col width="12" customWidth="1" min="16" max="16"/>
    <s:col width="12" customWidth="1" min="17" max="17"/>
    <s:col width="12" customWidth="1" min="18" max="18"/>
  </s:cols>
  <s:sheetData>
    <s:row r="1" ht="30" customHeight="1">
      <s:c r="A1" s="1" t="inlineStr">
        <s:is>
          <s:t>REVENUE DETAIL — 2027 (from RIVR revenue model, Base scenario)</s:t>
        </s:is>
      </s:c>
    </s:row>
    <s:row r="2">
      <s:c r="A2" s="2" t="inlineStr">
        <s:is>
          <s:t>Green = imported from the revenue forecast model. Update by re-importing. Monthly, quarterly and full-year.</s:t>
        </s:is>
      </s:c>
    </s:row>
    <s:row r="3">
      <s:c r="A3" s="14" t="inlineStr">
        <s:is>
          <s:t>Revenue segment ($)</s:t>
        </s:is>
      </s:c>
      <s:c r="B3" s="15" t="n">
        <s:v>46388</s:v>
      </s:c>
      <s:c r="C3" s="15" t="n">
        <s:v>46419</s:v>
      </s:c>
      <s:c r="D3" s="15" t="n">
        <s:v>46447</s:v>
      </s:c>
      <s:c r="E3" s="15" t="n">
        <s:v>46478</s:v>
      </s:c>
      <s:c r="F3" s="15" t="n">
        <s:v>46508</s:v>
      </s:c>
      <s:c r="G3" s="15" t="n">
        <s:v>46539</s:v>
      </s:c>
      <s:c r="H3" s="15" t="n">
        <s:v>46569</s:v>
      </s:c>
      <s:c r="I3" s="15" t="n">
        <s:v>46600</s:v>
      </s:c>
      <s:c r="J3" s="15" t="n">
        <s:v>46631</s:v>
      </s:c>
      <s:c r="K3" s="15" t="n">
        <s:v>46661</s:v>
      </s:c>
      <s:c r="L3" s="15" t="n">
        <s:v>46692</s:v>
      </s:c>
      <s:c r="M3" s="15" t="n">
        <s:v>46722</s:v>
      </s:c>
      <s:c r="N3" s="16" t="inlineStr">
        <s:is>
          <s:t>FY 2027</s:t>
        </s:is>
      </s:c>
      <s:c r="O3" s="16" t="inlineStr">
        <s:is>
          <s:t>Q1</s:t>
        </s:is>
      </s:c>
      <s:c r="P3" s="16" t="inlineStr">
        <s:is>
          <s:t>Q2</s:t>
        </s:is>
      </s:c>
      <s:c r="Q3" s="16" t="inlineStr">
        <s:is>
          <s:t>Q3</s:t>
        </s:is>
      </s:c>
      <s:c r="R3" s="16" t="inlineStr">
        <s:is>
          <s:t>Q4</s:t>
        </s:is>
      </s:c>
    </s:row>
    <s:row r="4">
      <s:c r="A4" s="12" t="inlineStr">
        <s:is>
          <s:t>Residential</s:t>
        </s:is>
      </s:c>
      <s:c r="B4" s="18" t="n">
        <s:v>391456.45</s:v>
      </s:c>
      <s:c r="C4" s="18" t="n">
        <s:v>399431.69</s:v>
      </s:c>
      <s:c r="D4" s="18" t="n">
        <s:v>407342.36</s:v>
      </s:c>
      <s:c r="E4" s="18" t="n">
        <s:v>415188.46</s:v>
      </s:c>
      <s:c r="F4" s="18" t="n">
        <s:v>422969.97</s:v>
      </s:c>
      <s:c r="G4" s="18" t="n">
        <s:v>430686.91</s:v>
      </s:c>
      <s:c r="H4" s="18" t="n">
        <s:v>450800.48</s:v>
      </s:c>
      <s:c r="I4" s="18" t="n">
        <s:v>458610.51</s:v>
      </s:c>
      <s:c r="J4" s="18" t="n">
        <s:v>466354.08</s:v>
      </s:c>
      <s:c r="K4" s="18" t="n">
        <s:v>474031.18</s:v>
      </s:c>
      <s:c r="L4" s="18" t="n">
        <s:v>481641.82</s:v>
      </s:c>
      <s:c r="M4" s="18" t="n">
        <s:v>489185.98</s:v>
      </s:c>
      <s:c r="N4" s="19">
        <s:f>SUM(B4:M4)</s:f>
        <s:v>5287699.890000001</s:v>
      </s:c>
      <s:c r="O4" s="20">
        <s:f>SUM(B4:D4)</s:f>
        <s:v>1198230.5</s:v>
      </s:c>
      <s:c r="P4" s="20">
        <s:f>SUM(E4:G4)</s:f>
        <s:v>1268845.3399999999</s:v>
      </s:c>
      <s:c r="Q4" s="20">
        <s:f>SUM(H4:J4)</s:f>
        <s:v>1375765.07</s:v>
      </s:c>
      <s:c r="R4" s="20">
        <s:f>SUM(K4:M4)</s:f>
        <s:v>1444858.98</s:v>
      </s:c>
    </s:row>
    <s:row r="5">
      <s:c r="A5" s="12" t="inlineStr">
        <s:is>
          <s:t>Business</s:t>
        </s:is>
      </s:c>
      <s:c r="B5" s="18" t="n">
        <s:v>31836.57</s:v>
      </s:c>
      <s:c r="C5" s="18" t="n">
        <s:v>32700.2</s:v>
      </s:c>
      <s:c r="D5" s="18" t="n">
        <s:v>33563.83</s:v>
      </s:c>
      <s:c r="E5" s="18" t="n">
        <s:v>34427.46</s:v>
      </s:c>
      <s:c r="F5" s="18" t="n">
        <s:v>35291.09</s:v>
      </s:c>
      <s:c r="G5" s="18" t="n">
        <s:v>36154.72</s:v>
      </s:c>
      <s:c r="H5" s="18" t="n">
        <s:v>38045.81</s:v>
      </s:c>
      <s:c r="I5" s="18" t="n">
        <s:v>38933.41</s:v>
      </s:c>
      <s:c r="J5" s="18" t="n">
        <s:v>39821.01</s:v>
      </s:c>
      <s:c r="K5" s="18" t="n">
        <s:v>40708.61</s:v>
      </s:c>
      <s:c r="L5" s="18" t="n">
        <s:v>41515.52</s:v>
      </s:c>
      <s:c r="M5" s="18" t="n">
        <s:v>42241.74</s:v>
      </s:c>
      <s:c r="N5" s="19">
        <s:f>SUM(B5:M5)</s:f>
        <s:v>445239.97</s:v>
      </s:c>
      <s:c r="O5" s="20">
        <s:f>SUM(B5:D5)</s:f>
        <s:v>98100.6</s:v>
      </s:c>
      <s:c r="P5" s="20">
        <s:f>SUM(E5:G5)</s:f>
        <s:v>105873.26999999999</s:v>
      </s:c>
      <s:c r="Q5" s="20">
        <s:f>SUM(H5:J5)</s:f>
        <s:v>116800.23000000001</s:v>
      </s:c>
      <s:c r="R5" s="20">
        <s:f>SUM(K5:M5)</s:f>
        <s:v>124465.87</s:v>
      </s:c>
    </s:row>
    <s:row r="6">
      <s:c r="A6" s="12" t="inlineStr">
        <s:is>
          <s:t>Dark Fiber</s:t>
        </s:is>
      </s:c>
      <s:c r="B6" s="18" t="n">
        <s:v>65000</s:v>
      </s:c>
      <s:c r="C6" s="18" t="n">
        <s:v>65000</s:v>
      </s:c>
      <s:c r="D6" s="18" t="n">
        <s:v>65000</s:v>
      </s:c>
      <s:c r="E6" s="18" t="n">
        <s:v>65000</s:v>
      </s:c>
      <s:c r="F6" s="18" t="n">
        <s:v>65000</s:v>
      </s:c>
      <s:c r="G6" s="18" t="n">
        <s:v>65000</s:v>
      </s:c>
      <s:c r="H6" s="18" t="n">
        <s:v>65000</s:v>
      </s:c>
      <s:c r="I6" s="18" t="n">
        <s:v>65000</s:v>
      </s:c>
      <s:c r="J6" s="18" t="n">
        <s:v>65000</s:v>
      </s:c>
      <s:c r="K6" s="18" t="n">
        <s:v>65000</s:v>
      </s:c>
      <s:c r="L6" s="18" t="n">
        <s:v>65000</s:v>
      </s:c>
      <s:c r="M6" s="18" t="n">
        <s:v>65000</s:v>
      </s:c>
      <s:c r="N6" s="19">
        <s:f>SUM(B6:M6)</s:f>
        <s:v>780000</s:v>
      </s:c>
      <s:c r="O6" s="20">
        <s:f>SUM(B6:D6)</s:f>
        <s:v>195000</s:v>
      </s:c>
      <s:c r="P6" s="20">
        <s:f>SUM(E6:G6)</s:f>
        <s:v>195000</s:v>
      </s:c>
      <s:c r="Q6" s="20">
        <s:f>SUM(H6:J6)</s:f>
        <s:v>195000</s:v>
      </s:c>
      <s:c r="R6" s="20">
        <s:f>SUM(K6:M6)</s:f>
        <s:v>195000</s:v>
      </s:c>
    </s:row>
    <s:row r="7">
      <s:c r="A7" s="12" t="inlineStr">
        <s:is>
          <s:t>Hoke County Project</s:t>
        </s:is>
      </s:c>
      <s:c r="B7" s="18" t="n">
        <s:v>57000</s:v>
      </s:c>
      <s:c r="C7" s="18" t="n">
        <s:v>57000</s:v>
      </s:c>
      <s:c r="D7" s="18" t="n">
        <s:v>57000</s:v>
      </s:c>
      <s:c r="E7" s="18" t="n">
        <s:v>57000</s:v>
      </s:c>
      <s:c r="F7" s="18" t="n">
        <s:v>57000</s:v>
      </s:c>
      <s:c r="G7" s="18" t="n">
        <s:v>57000</s:v>
      </s:c>
      <s:c r="H7" s="18" t="n">
        <s:v>57000</s:v>
      </s:c>
      <s:c r="I7" s="18" t="n">
        <s:v>57000</s:v>
      </s:c>
      <s:c r="J7" s="18" t="n">
        <s:v>57000</s:v>
      </s:c>
      <s:c r="K7" s="18" t="n">
        <s:v>57000</s:v>
      </s:c>
      <s:c r="L7" s="18" t="n">
        <s:v>57000</s:v>
      </s:c>
      <s:c r="M7" s="18" t="n">
        <s:v>57000</s:v>
      </s:c>
      <s:c r="N7" s="19">
        <s:f>SUM(B7:M7)</s:f>
        <s:v>684000</s:v>
      </s:c>
      <s:c r="O7" s="20">
        <s:f>SUM(B7:D7)</s:f>
        <s:v>171000</s:v>
      </s:c>
      <s:c r="P7" s="20">
        <s:f>SUM(E7:G7)</s:f>
        <s:v>171000</s:v>
      </s:c>
      <s:c r="Q7" s="20">
        <s:f>SUM(H7:J7)</s:f>
        <s:v>171000</s:v>
      </s:c>
      <s:c r="R7" s="20">
        <s:f>SUM(K7:M7)</s:f>
        <s:v>171000</s:v>
      </s:c>
    </s:row>
    <s:row r="8">
      <s:c r="A8" s="21" t="inlineStr">
        <s:is>
          <s:t>Total Operating Revenue</s:t>
        </s:is>
      </s:c>
      <s:c r="B8" s="19">
        <s:f>SUM(B4:B7)</s:f>
        <s:v>545293.02</s:v>
      </s:c>
      <s:c r="C8" s="19">
        <s:f>SUM(C4:C7)</s:f>
        <s:v>554131.89</s:v>
      </s:c>
      <s:c r="D8" s="19">
        <s:f>SUM(D4:D7)</s:f>
        <s:v>562906.19</s:v>
      </s:c>
      <s:c r="E8" s="19">
        <s:f>SUM(E4:E7)</s:f>
        <s:v>571615.92</s:v>
      </s:c>
      <s:c r="F8" s="19">
        <s:f>SUM(F4:F7)</s:f>
        <s:v>580261.0599999999</s:v>
      </s:c>
      <s:c r="G8" s="19">
        <s:f>SUM(G4:G7)</s:f>
        <s:v>588841.63</s:v>
      </s:c>
      <s:c r="H8" s="19">
        <s:f>SUM(H4:H7)</s:f>
        <s:v>610846.29</s:v>
      </s:c>
      <s:c r="I8" s="19">
        <s:f>SUM(I4:I7)</s:f>
        <s:v>619543.92</s:v>
      </s:c>
      <s:c r="J8" s="19">
        <s:f>SUM(J4:J7)</s:f>
        <s:v>628175.0900000001</s:v>
      </s:c>
      <s:c r="K8" s="19">
        <s:f>SUM(K4:K7)</s:f>
        <s:v>636739.79</s:v>
      </s:c>
      <s:c r="L8" s="19">
        <s:f>SUM(L4:L7)</s:f>
        <s:v>645157.3400000001</s:v>
      </s:c>
      <s:c r="M8" s="19">
        <s:f>SUM(M4:M7)</s:f>
        <s:v>653427.72</s:v>
      </s:c>
      <s:c r="N8" s="19">
        <s:f>SUM(B8:M8)</s:f>
        <s:v>7196939.859999999</s:v>
      </s:c>
      <s:c r="O8" s="20">
        <s:f>SUM(B8:D8)</s:f>
        <s:v>1662331.1</s:v>
      </s:c>
      <s:c r="P8" s="20">
        <s:f>SUM(E8:G8)</s:f>
        <s:v>1740718.6099999999</s:v>
      </s:c>
      <s:c r="Q8" s="20">
        <s:f>SUM(H8:J8)</s:f>
        <s:v>1858565.3</s:v>
      </s:c>
      <s:c r="R8" s="20">
        <s:f>SUM(K8:M8)</s:f>
        <s:v>1935324.85</s:v>
      </s:c>
    </s:row>
    <s:row r="10">
      <s:c r="A10" s="9" t="inlineStr">
        <s:is>
          <s:t>Memo: recurring revenue</s:t>
        </s:is>
      </s:c>
      <s:c r="B10" s="25" t="n">
        <s:v>557019.66</s:v>
      </s:c>
      <s:c r="C10" s="25" t="n">
        <s:v>566102.13</s:v>
      </s:c>
      <s:c r="D10" s="25" t="n">
        <s:v>575118.23</s:v>
      </s:c>
      <s:c r="E10" s="25" t="n">
        <s:v>584067.96</s:v>
      </s:c>
      <s:c r="F10" s="25" t="n">
        <s:v>592951.3199999999</s:v>
      </s:c>
      <s:c r="G10" s="25" t="n">
        <s:v>601768.3100000001</s:v>
      </s:c>
      <s:c r="H10" s="25" t="n">
        <s:v>624419.33</s:v>
      </s:c>
      <s:c r="I10" s="25" t="n">
        <s:v>633357.29</s:v>
      </s:c>
      <s:c r="J10" s="25" t="n">
        <s:v>642226.9300000001</s:v>
      </s:c>
      <s:c r="K10" s="25" t="n">
        <s:v>651028.25</s:v>
      </s:c>
      <s:c r="L10" s="25" t="n">
        <s:v>659678.49</s:v>
      </s:c>
      <s:c r="M10" s="25" t="n">
        <s:v>668177.65</s:v>
      </s:c>
      <s:c r="N10" s="26">
        <s:f>SUM(B10:M10)</s:f>
        <s:v>7355915.550000001</s:v>
      </s:c>
      <s:c r="O10" s="20">
        <s:f>SUM(B10:D10)</s:f>
        <s:v>1698240.02</s:v>
      </s:c>
      <s:c r="P10" s="20">
        <s:f>SUM(E10:G10)</s:f>
        <s:v>1778787.5899999999</s:v>
      </s:c>
      <s:c r="Q10" s="20">
        <s:f>SUM(H10:J10)</s:f>
        <s:v>1900003.5500000003</s:v>
      </s:c>
      <s:c r="R10" s="20">
        <s:f>SUM(K10:M10)</s:f>
        <s:v>1978884.3900000001</s:v>
      </s:c>
    </s:row>
    <s:row r="11">
      <s:c r="A11" s="9" t="inlineStr">
        <s:is>
          <s:t>Memo: one-time revenue</s:t>
        </s:is>
      </s:c>
      <s:c r="B11" s="25" t="n">
        <s:v>1172.4</s:v>
      </s:c>
      <s:c r="C11" s="25" t="n">
        <s:v>1197.1</s:v>
      </s:c>
      <s:c r="D11" s="25" t="n">
        <s:v>1221.6</s:v>
      </s:c>
      <s:c r="E11" s="25" t="n">
        <s:v>1245.9</s:v>
      </s:c>
      <s:c r="F11" s="25" t="n">
        <s:v>1270</s:v>
      </s:c>
      <s:c r="G11" s="25" t="n">
        <s:v>1293.9</s:v>
      </s:c>
      <s:c r="H11" s="25" t="n">
        <s:v>1317.6</s:v>
      </s:c>
      <s:c r="I11" s="25" t="n">
        <s:v>1341.1</s:v>
      </s:c>
      <s:c r="J11" s="25" t="n">
        <s:v>1364.4</s:v>
      </s:c>
      <s:c r="K11" s="25" t="n">
        <s:v>1387.5</s:v>
      </s:c>
      <s:c r="L11" s="25" t="n">
        <s:v>1410.4</s:v>
      </s:c>
      <s:c r="M11" s="25" t="n">
        <s:v>1433.1</s:v>
      </s:c>
      <s:c r="N11" s="26">
        <s:f>SUM(B11:M11)</s:f>
        <s:v>15655</s:v>
      </s:c>
      <s:c r="O11" s="20">
        <s:f>SUM(B11:D11)</s:f>
        <s:v>3591.1</s:v>
      </s:c>
      <s:c r="P11" s="20">
        <s:f>SUM(E11:G11)</s:f>
        <s:v>3809.8</s:v>
      </s:c>
      <s:c r="Q11" s="20">
        <s:f>SUM(H11:J11)</s:f>
        <s:v>4023.1</s:v>
      </s:c>
      <s:c r="R11" s="20">
        <s:f>SUM(K11:M11)</s:f>
        <s:v>4231</s:v>
      </s:c>
    </s:row>
    <s:row r="13">
      <s:c r="A13" s="9" t="inlineStr">
        <s:is>
          <s:t>Source: RIVR_Tech_2027_Revenue_Forecast.xlsx — Consolidated Revenue (Base scenario). Segment nets tie to that model's Total net revenue.</s:t>
        </s:is>
      </s:c>
      <s:c r="B13" s="10" t="n"/>
      <s:c r="C13" s="10" t="n"/>
      <s:c r="D13" s="10" t="n"/>
      <s:c r="E13" s="10" t="n"/>
      <s:c r="F13" s="10" t="n"/>
      <s:c r="G13" s="10" t="n"/>
      <s:c r="H13" s="10" t="n"/>
      <s:c r="I13" s="10" t="n"/>
      <s:c r="J13" s="10" t="n"/>
      <s:c r="K13" s="10" t="n"/>
      <s:c r="L13" s="10" t="n"/>
      <s:c r="M13" s="10" t="n"/>
      <s:c r="N13" s="10" t="n"/>
      <s:c r="O13" s="10" t="n"/>
      <s:c r="P13" s="10" t="n"/>
      <s:c r="Q13" s="10" t="n"/>
      <s:c r="R13" s="11" t="n"/>
    </s:row>
  </s:sheetData>
  <s:mergeCells count="3">
    <s:mergeCell ref="A13:R13"/>
    <s:mergeCell ref="A2:R2"/>
    <s:mergeCell ref="A1:R1"/>
  </s:mergeCells>
  <s:pageMargins left="0.75" right="0.75" top="1" bottom="1" header="0.5" footer="0.5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tabColor rgb="002E75B6"/>
    <s:outlinePr summaryBelow="1" summaryRight="1"/>
    <s:pageSetUpPr/>
  </s:sheetPr>
  <s:dimension ref="A1:W16"/>
  <s:sheetViews>
    <s:sheetView showGridLines="0" workbookViewId="0">
      <s:pane xSplit="6" ySplit="3" topLeftCell="G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4" customWidth="1" min="1" max="1"/>
    <s:col width="13" customWidth="1" min="2" max="2"/>
    <s:col width="13" customWidth="1" min="3" max="3"/>
    <s:col width="10" customWidth="1" min="4" max="4"/>
    <s:col width="11" customWidth="1" min="5" max="5"/>
    <s:col width="13" customWidth="1" min="6" max="6"/>
    <s:col width="11" customWidth="1" min="7" max="7"/>
    <s:col width="11" customWidth="1" min="8" max="8"/>
    <s:col width="11" customWidth="1" min="9" max="9"/>
    <s:col width="11" customWidth="1" min="10" max="10"/>
    <s:col width="11" customWidth="1" min="11" max="11"/>
    <s:col width="11" customWidth="1" min="12" max="12"/>
    <s:col width="11" customWidth="1" min="13" max="13"/>
    <s:col width="11" customWidth="1" min="14" max="14"/>
    <s:col width="11" customWidth="1" min="15" max="15"/>
    <s:col width="11" customWidth="1" min="16" max="16"/>
    <s:col width="11" customWidth="1" min="17" max="17"/>
    <s:col width="11" customWidth="1" min="18" max="18"/>
    <s:col width="11" customWidth="1" min="19" max="19"/>
    <s:col width="11" customWidth="1" min="20" max="20"/>
    <s:col width="11" customWidth="1" min="21" max="21"/>
    <s:col width="11" customWidth="1" min="22" max="22"/>
    <s:col width="11" customWidth="1" min="23" max="23"/>
  </s:cols>
  <s:sheetData>
    <s:row r="1" ht="30" customHeight="1">
      <s:c r="A1" s="1" t="inlineStr">
        <s:is>
          <s:t>EXPENSE BUDGET — 2027 (from CFO budget, by department)</s:t>
        </s:is>
      </s:c>
    </s:row>
    <s:row r="2">
      <s:c r="A2" s="2" t="inlineStr">
        <s:is>
          <s:t>2027 base = CFO department budget. Apply a global % (Assumptions) or a per-line override. Base lines spread evenly; new positions ramp.</s:t>
        </s:is>
      </s:c>
    </s:row>
    <s:row r="3">
      <s:c r="A3" s="14" t="inlineStr">
        <s:is>
          <s:t>Department / line</s:t>
        </s:is>
      </s:c>
      <s:c r="B3" s="16" t="inlineStr">
        <s:is>
          <s:t>2026 ($)</s:t>
        </s:is>
      </s:c>
      <s:c r="C3" s="16" t="inlineStr">
        <s:is>
          <s:t>2027 base ($)</s:t>
        </s:is>
      </s:c>
      <s:c r="D3" s="16" t="inlineStr">
        <s:is>
          <s:t>Ovr %</s:t>
        </s:is>
      </s:c>
      <s:c r="E3" s="16" t="inlineStr">
        <s:is>
          <s:t>Fixed $</s:t>
        </s:is>
      </s:c>
      <s:c r="F3" s="16" t="inlineStr">
        <s:is>
          <s:t>2027 Budget ($)</s:t>
        </s:is>
      </s:c>
      <s:c r="G3" s="15" t="n">
        <s:v>46388</s:v>
      </s:c>
      <s:c r="H3" s="15" t="n">
        <s:v>46419</s:v>
      </s:c>
      <s:c r="I3" s="15" t="n">
        <s:v>46447</s:v>
      </s:c>
      <s:c r="J3" s="15" t="n">
        <s:v>46478</s:v>
      </s:c>
      <s:c r="K3" s="15" t="n">
        <s:v>46508</s:v>
      </s:c>
      <s:c r="L3" s="15" t="n">
        <s:v>46539</s:v>
      </s:c>
      <s:c r="M3" s="15" t="n">
        <s:v>46569</s:v>
      </s:c>
      <s:c r="N3" s="15" t="n">
        <s:v>46600</s:v>
      </s:c>
      <s:c r="O3" s="15" t="n">
        <s:v>46631</s:v>
      </s:c>
      <s:c r="P3" s="15" t="n">
        <s:v>46661</s:v>
      </s:c>
      <s:c r="Q3" s="15" t="n">
        <s:v>46692</s:v>
      </s:c>
      <s:c r="R3" s="15" t="n">
        <s:v>46722</s:v>
      </s:c>
      <s:c r="S3" s="16" t="inlineStr">
        <s:is>
          <s:t>FY 2027</s:t>
        </s:is>
      </s:c>
      <s:c r="T3" s="16" t="inlineStr">
        <s:is>
          <s:t>Q1</s:t>
        </s:is>
      </s:c>
      <s:c r="U3" s="16" t="inlineStr">
        <s:is>
          <s:t>Q2</s:t>
        </s:is>
      </s:c>
      <s:c r="V3" s="16" t="inlineStr">
        <s:is>
          <s:t>Q3</s:t>
        </s:is>
      </s:c>
      <s:c r="W3" s="16" t="inlineStr">
        <s:is>
          <s:t>Q4</s:t>
        </s:is>
      </s:c>
    </s:row>
    <s:row r="4">
      <s:c r="A4" s="12" t="inlineStr">
        <s:is>
          <s:t>Cost of Power / COGS</s:t>
        </s:is>
      </s:c>
      <s:c r="B4" s="27" t="n">
        <s:v>843355.62</s:v>
      </s:c>
      <s:c r="C4" s="27" t="n">
        <s:v>637300</s:v>
      </s:c>
      <s:c r="D4" s="28" t="n"/>
      <s:c r="E4" s="29" t="n"/>
      <s:c r="F4" s="30">
        <s:f>C4*(1+IF(D4="",'Assumptions &amp; Notes'!$B$6,D4))+IF(E4="",0,E4)</s:f>
        <s:v>637300</s:v>
      </s:c>
      <s:c r="G4" s="13">
        <s:f>$F4/12</s:f>
        <s:v>53108.333333333336</s:v>
      </s:c>
      <s:c r="H4" s="13">
        <s:f>$F4/12</s:f>
        <s:v>53108.333333333336</s:v>
      </s:c>
      <s:c r="I4" s="13">
        <s:f>$F4/12</s:f>
        <s:v>53108.333333333336</s:v>
      </s:c>
      <s:c r="J4" s="13">
        <s:f>$F4/12</s:f>
        <s:v>53108.333333333336</s:v>
      </s:c>
      <s:c r="K4" s="13">
        <s:f>$F4/12</s:f>
        <s:v>53108.333333333336</s:v>
      </s:c>
      <s:c r="L4" s="13">
        <s:f>$F4/12</s:f>
        <s:v>53108.333333333336</s:v>
      </s:c>
      <s:c r="M4" s="13">
        <s:f>$F4/12</s:f>
        <s:v>53108.333333333336</s:v>
      </s:c>
      <s:c r="N4" s="13">
        <s:f>$F4/12</s:f>
        <s:v>53108.333333333336</s:v>
      </s:c>
      <s:c r="O4" s="13">
        <s:f>$F4/12</s:f>
        <s:v>53108.333333333336</s:v>
      </s:c>
      <s:c r="P4" s="13">
        <s:f>$F4/12</s:f>
        <s:v>53108.333333333336</s:v>
      </s:c>
      <s:c r="Q4" s="13">
        <s:f>$F4/12</s:f>
        <s:v>53108.333333333336</s:v>
      </s:c>
      <s:c r="R4" s="13">
        <s:f>$F4/12</s:f>
        <s:v>53108.333333333336</s:v>
      </s:c>
      <s:c r="S4" s="20">
        <s:f>SUM(G4:R4)</s:f>
        <s:v>637300.0000000001</s:v>
      </s:c>
      <s:c r="T4" s="20">
        <s:f>SUM(G4:I4)</s:f>
        <s:v>159325</s:v>
      </s:c>
      <s:c r="U4" s="20">
        <s:f>SUM(J4:L4)</s:f>
        <s:v>159325</s:v>
      </s:c>
      <s:c r="V4" s="20">
        <s:f>SUM(M4:O4)</s:f>
        <s:v>159325</s:v>
      </s:c>
      <s:c r="W4" s="20">
        <s:f>SUM(P4:R4)</s:f>
        <s:v>159325</s:v>
      </s:c>
    </s:row>
    <s:row r="5">
      <s:c r="A5" s="12" t="inlineStr">
        <s:is>
          <s:t>Fiber Network Ops (ex new positions)</s:t>
        </s:is>
      </s:c>
      <s:c r="B5" s="27" t="n">
        <s:v>4479541</s:v>
      </s:c>
      <s:c r="C5" s="27" t="n">
        <s:v>4222706</s:v>
      </s:c>
      <s:c r="D5" s="28" t="n"/>
      <s:c r="E5" s="29" t="n"/>
      <s:c r="F5" s="30">
        <s:f>C5*(1+IF(D5="",'Assumptions &amp; Notes'!$B$6,D5))+IF(E5="",0,E5)</s:f>
        <s:v>4222706</s:v>
      </s:c>
      <s:c r="G5" s="13">
        <s:f>$F5/12</s:f>
        <s:v>351892.1666666667</s:v>
      </s:c>
      <s:c r="H5" s="13">
        <s:f>$F5/12</s:f>
        <s:v>351892.1666666667</s:v>
      </s:c>
      <s:c r="I5" s="13">
        <s:f>$F5/12</s:f>
        <s:v>351892.1666666667</s:v>
      </s:c>
      <s:c r="J5" s="13">
        <s:f>$F5/12</s:f>
        <s:v>351892.1666666667</s:v>
      </s:c>
      <s:c r="K5" s="13">
        <s:f>$F5/12</s:f>
        <s:v>351892.1666666667</s:v>
      </s:c>
      <s:c r="L5" s="13">
        <s:f>$F5/12</s:f>
        <s:v>351892.1666666667</s:v>
      </s:c>
      <s:c r="M5" s="13">
        <s:f>$F5/12</s:f>
        <s:v>351892.1666666667</s:v>
      </s:c>
      <s:c r="N5" s="13">
        <s:f>$F5/12</s:f>
        <s:v>351892.1666666667</s:v>
      </s:c>
      <s:c r="O5" s="13">
        <s:f>$F5/12</s:f>
        <s:v>351892.1666666667</s:v>
      </s:c>
      <s:c r="P5" s="13">
        <s:f>$F5/12</s:f>
        <s:v>351892.1666666667</s:v>
      </s:c>
      <s:c r="Q5" s="13">
        <s:f>$F5/12</s:f>
        <s:v>351892.1666666667</s:v>
      </s:c>
      <s:c r="R5" s="13">
        <s:f>$F5/12</s:f>
        <s:v>351892.1666666667</s:v>
      </s:c>
      <s:c r="S5" s="20">
        <s:f>SUM(G5:R5)</s:f>
        <s:v>4222706</s:v>
      </s:c>
      <s:c r="T5" s="20">
        <s:f>SUM(G5:I5)</s:f>
        <s:v>1055676.5</s:v>
      </s:c>
      <s:c r="U5" s="20">
        <s:f>SUM(J5:L5)</s:f>
        <s:v>1055676.5</s:v>
      </s:c>
      <s:c r="V5" s="20">
        <s:f>SUM(M5:O5)</s:f>
        <s:v>1055676.5</s:v>
      </s:c>
      <s:c r="W5" s="20">
        <s:f>SUM(P5:R5)</s:f>
        <s:v>1055676.5</s:v>
      </s:c>
    </s:row>
    <s:row r="6">
      <s:c r="A6" s="12" t="inlineStr">
        <s:is>
          <s:t>Accounting &amp; Finance</s:t>
        </s:is>
      </s:c>
      <s:c r="B6" s="27" t="n">
        <s:v>1056711</s:v>
      </s:c>
      <s:c r="C6" s="27" t="n">
        <s:v>1326510</s:v>
      </s:c>
      <s:c r="D6" s="28" t="n"/>
      <s:c r="E6" s="29" t="n"/>
      <s:c r="F6" s="30">
        <s:f>C6*(1+IF(D6="",'Assumptions &amp; Notes'!$B$6,D6))+IF(E6="",0,E6)</s:f>
        <s:v>1326510</s:v>
      </s:c>
      <s:c r="G6" s="13">
        <s:f>$F6/12</s:f>
        <s:v>110542.5</s:v>
      </s:c>
      <s:c r="H6" s="13">
        <s:f>$F6/12</s:f>
        <s:v>110542.5</s:v>
      </s:c>
      <s:c r="I6" s="13">
        <s:f>$F6/12</s:f>
        <s:v>110542.5</s:v>
      </s:c>
      <s:c r="J6" s="13">
        <s:f>$F6/12</s:f>
        <s:v>110542.5</s:v>
      </s:c>
      <s:c r="K6" s="13">
        <s:f>$F6/12</s:f>
        <s:v>110542.5</s:v>
      </s:c>
      <s:c r="L6" s="13">
        <s:f>$F6/12</s:f>
        <s:v>110542.5</s:v>
      </s:c>
      <s:c r="M6" s="13">
        <s:f>$F6/12</s:f>
        <s:v>110542.5</s:v>
      </s:c>
      <s:c r="N6" s="13">
        <s:f>$F6/12</s:f>
        <s:v>110542.5</s:v>
      </s:c>
      <s:c r="O6" s="13">
        <s:f>$F6/12</s:f>
        <s:v>110542.5</s:v>
      </s:c>
      <s:c r="P6" s="13">
        <s:f>$F6/12</s:f>
        <s:v>110542.5</s:v>
      </s:c>
      <s:c r="Q6" s="13">
        <s:f>$F6/12</s:f>
        <s:v>110542.5</s:v>
      </s:c>
      <s:c r="R6" s="13">
        <s:f>$F6/12</s:f>
        <s:v>110542.5</s:v>
      </s:c>
      <s:c r="S6" s="20">
        <s:f>SUM(G6:R6)</s:f>
        <s:v>1326510</s:v>
      </s:c>
      <s:c r="T6" s="20">
        <s:f>SUM(G6:I6)</s:f>
        <s:v>331627.5</s:v>
      </s:c>
      <s:c r="U6" s="20">
        <s:f>SUM(J6:L6)</s:f>
        <s:v>331627.5</s:v>
      </s:c>
      <s:c r="V6" s="20">
        <s:f>SUM(M6:O6)</s:f>
        <s:v>331627.5</s:v>
      </s:c>
      <s:c r="W6" s="20">
        <s:f>SUM(P6:R6)</s:f>
        <s:v>331627.5</s:v>
      </s:c>
    </s:row>
    <s:row r="7">
      <s:c r="A7" s="12" t="inlineStr">
        <s:is>
          <s:t>Marketing</s:t>
        </s:is>
      </s:c>
      <s:c r="B7" s="27" t="n">
        <s:v>199999</s:v>
      </s:c>
      <s:c r="C7" s="27" t="n">
        <s:v>203998.98</s:v>
      </s:c>
      <s:c r="D7" s="28" t="n"/>
      <s:c r="E7" s="29" t="n"/>
      <s:c r="F7" s="30">
        <s:f>C7*(1+IF(D7="",'Assumptions &amp; Notes'!$B$6,D7))+IF(E7="",0,E7)</s:f>
        <s:v>203998.98</s:v>
      </s:c>
      <s:c r="G7" s="13">
        <s:f>$F7/12</s:f>
        <s:v>16999.915</s:v>
      </s:c>
      <s:c r="H7" s="13">
        <s:f>$F7/12</s:f>
        <s:v>16999.915</s:v>
      </s:c>
      <s:c r="I7" s="13">
        <s:f>$F7/12</s:f>
        <s:v>16999.915</s:v>
      </s:c>
      <s:c r="J7" s="13">
        <s:f>$F7/12</s:f>
        <s:v>16999.915</s:v>
      </s:c>
      <s:c r="K7" s="13">
        <s:f>$F7/12</s:f>
        <s:v>16999.915</s:v>
      </s:c>
      <s:c r="L7" s="13">
        <s:f>$F7/12</s:f>
        <s:v>16999.915</s:v>
      </s:c>
      <s:c r="M7" s="13">
        <s:f>$F7/12</s:f>
        <s:v>16999.915</s:v>
      </s:c>
      <s:c r="N7" s="13">
        <s:f>$F7/12</s:f>
        <s:v>16999.915</s:v>
      </s:c>
      <s:c r="O7" s="13">
        <s:f>$F7/12</s:f>
        <s:v>16999.915</s:v>
      </s:c>
      <s:c r="P7" s="13">
        <s:f>$F7/12</s:f>
        <s:v>16999.915</s:v>
      </s:c>
      <s:c r="Q7" s="13">
        <s:f>$F7/12</s:f>
        <s:v>16999.915</s:v>
      </s:c>
      <s:c r="R7" s="13">
        <s:f>$F7/12</s:f>
        <s:v>16999.915</s:v>
      </s:c>
      <s:c r="S7" s="20">
        <s:f>SUM(G7:R7)</s:f>
        <s:v>203998.98000000004</s:v>
      </s:c>
      <s:c r="T7" s="20">
        <s:f>SUM(G7:I7)</s:f>
        <s:v>50999.745</s:v>
      </s:c>
      <s:c r="U7" s="20">
        <s:f>SUM(J7:L7)</s:f>
        <s:v>50999.745</s:v>
      </s:c>
      <s:c r="V7" s="20">
        <s:f>SUM(M7:O7)</s:f>
        <s:v>50999.745</s:v>
      </s:c>
      <s:c r="W7" s="20">
        <s:f>SUM(P7:R7)</s:f>
        <s:v>50999.745</s:v>
      </s:c>
    </s:row>
    <s:row r="8">
      <s:c r="A8" s="12" t="inlineStr">
        <s:is>
          <s:t>Member / Customer Services</s:t>
        </s:is>
      </s:c>
      <s:c r="B8" s="27" t="n">
        <s:v>135359</s:v>
      </s:c>
      <s:c r="C8" s="27" t="n">
        <s:v>115055.15</s:v>
      </s:c>
      <s:c r="D8" s="28" t="n"/>
      <s:c r="E8" s="29" t="n"/>
      <s:c r="F8" s="30">
        <s:f>C8*(1+IF(D8="",'Assumptions &amp; Notes'!$B$6,D8))+IF(E8="",0,E8)</s:f>
        <s:v>115055.15</s:v>
      </s:c>
      <s:c r="G8" s="13">
        <s:f>$F8/12</s:f>
        <s:v>9587.929166666667</s:v>
      </s:c>
      <s:c r="H8" s="13">
        <s:f>$F8/12</s:f>
        <s:v>9587.929166666667</s:v>
      </s:c>
      <s:c r="I8" s="13">
        <s:f>$F8/12</s:f>
        <s:v>9587.929166666667</s:v>
      </s:c>
      <s:c r="J8" s="13">
        <s:f>$F8/12</s:f>
        <s:v>9587.929166666667</s:v>
      </s:c>
      <s:c r="K8" s="13">
        <s:f>$F8/12</s:f>
        <s:v>9587.929166666667</s:v>
      </s:c>
      <s:c r="L8" s="13">
        <s:f>$F8/12</s:f>
        <s:v>9587.929166666667</s:v>
      </s:c>
      <s:c r="M8" s="13">
        <s:f>$F8/12</s:f>
        <s:v>9587.929166666667</s:v>
      </s:c>
      <s:c r="N8" s="13">
        <s:f>$F8/12</s:f>
        <s:v>9587.929166666667</s:v>
      </s:c>
      <s:c r="O8" s="13">
        <s:f>$F8/12</s:f>
        <s:v>9587.929166666667</s:v>
      </s:c>
      <s:c r="P8" s="13">
        <s:f>$F8/12</s:f>
        <s:v>9587.929166666667</s:v>
      </s:c>
      <s:c r="Q8" s="13">
        <s:f>$F8/12</s:f>
        <s:v>9587.929166666667</s:v>
      </s:c>
      <s:c r="R8" s="13">
        <s:f>$F8/12</s:f>
        <s:v>9587.929166666667</s:v>
      </s:c>
      <s:c r="S8" s="20">
        <s:f>SUM(G8:R8)</s:f>
        <s:v>115055.15000000001</s:v>
      </s:c>
      <s:c r="T8" s="20">
        <s:f>SUM(G8:I8)</s:f>
        <s:v>28763.7875</s:v>
      </s:c>
      <s:c r="U8" s="20">
        <s:f>SUM(J8:L8)</s:f>
        <s:v>28763.7875</s:v>
      </s:c>
      <s:c r="V8" s="20">
        <s:f>SUM(M8:O8)</s:f>
        <s:v>28763.7875</s:v>
      </s:c>
      <s:c r="W8" s="20">
        <s:f>SUM(P8:R8)</s:f>
        <s:v>28763.7875</s:v>
      </s:c>
    </s:row>
    <s:row r="9">
      <s:c r="A9" s="12" t="inlineStr">
        <s:is>
          <s:t>Administrative &amp; General</s:t>
        </s:is>
      </s:c>
      <s:c r="B9" s="27" t="n">
        <s:v>169529</s:v>
      </s:c>
      <s:c r="C9" s="27" t="n">
        <s:v>169529</s:v>
      </s:c>
      <s:c r="D9" s="28" t="n"/>
      <s:c r="E9" s="29" t="n"/>
      <s:c r="F9" s="30">
        <s:f>C9*(1+IF(D9="",'Assumptions &amp; Notes'!$B$6,D9))+IF(E9="",0,E9)</s:f>
        <s:v>169529</s:v>
      </s:c>
      <s:c r="G9" s="13">
        <s:f>$F9/12</s:f>
        <s:v>14127.416666666666</s:v>
      </s:c>
      <s:c r="H9" s="13">
        <s:f>$F9/12</s:f>
        <s:v>14127.416666666666</s:v>
      </s:c>
      <s:c r="I9" s="13">
        <s:f>$F9/12</s:f>
        <s:v>14127.416666666666</s:v>
      </s:c>
      <s:c r="J9" s="13">
        <s:f>$F9/12</s:f>
        <s:v>14127.416666666666</s:v>
      </s:c>
      <s:c r="K9" s="13">
        <s:f>$F9/12</s:f>
        <s:v>14127.416666666666</s:v>
      </s:c>
      <s:c r="L9" s="13">
        <s:f>$F9/12</s:f>
        <s:v>14127.416666666666</s:v>
      </s:c>
      <s:c r="M9" s="13">
        <s:f>$F9/12</s:f>
        <s:v>14127.416666666666</s:v>
      </s:c>
      <s:c r="N9" s="13">
        <s:f>$F9/12</s:f>
        <s:v>14127.416666666666</s:v>
      </s:c>
      <s:c r="O9" s="13">
        <s:f>$F9/12</s:f>
        <s:v>14127.416666666666</s:v>
      </s:c>
      <s:c r="P9" s="13">
        <s:f>$F9/12</s:f>
        <s:v>14127.416666666666</s:v>
      </s:c>
      <s:c r="Q9" s="13">
        <s:f>$F9/12</s:f>
        <s:v>14127.416666666666</s:v>
      </s:c>
      <s:c r="R9" s="13">
        <s:f>$F9/12</s:f>
        <s:v>14127.416666666666</s:v>
      </s:c>
      <s:c r="S9" s="20">
        <s:f>SUM(G9:R9)</s:f>
        <s:v>169528.99999999997</s:v>
      </s:c>
      <s:c r="T9" s="20">
        <s:f>SUM(G9:I9)</s:f>
        <s:v>42382.25</s:v>
      </s:c>
      <s:c r="U9" s="20">
        <s:f>SUM(J9:L9)</s:f>
        <s:v>42382.25</s:v>
      </s:c>
      <s:c r="V9" s="20">
        <s:f>SUM(M9:O9)</s:f>
        <s:v>42382.25</s:v>
      </s:c>
      <s:c r="W9" s="20">
        <s:f>SUM(P9:R9)</s:f>
        <s:v>42382.25</s:v>
      </s:c>
    </s:row>
    <s:row r="10">
      <s:c r="A10" s="12" t="inlineStr">
        <s:is>
          <s:t>Human Resources</s:t>
        </s:is>
      </s:c>
      <s:c r="B10" s="27" t="n">
        <s:v>66460</s:v>
      </s:c>
      <s:c r="C10" s="27" t="n">
        <s:v>66460</s:v>
      </s:c>
      <s:c r="D10" s="28" t="n"/>
      <s:c r="E10" s="29" t="n"/>
      <s:c r="F10" s="30">
        <s:f>C10*(1+IF(D10="",'Assumptions &amp; Notes'!$B$6,D10))+IF(E10="",0,E10)</s:f>
        <s:v>66460</s:v>
      </s:c>
      <s:c r="G10" s="13">
        <s:f>$F10/12</s:f>
        <s:v>5538.333333333333</s:v>
      </s:c>
      <s:c r="H10" s="13">
        <s:f>$F10/12</s:f>
        <s:v>5538.333333333333</s:v>
      </s:c>
      <s:c r="I10" s="13">
        <s:f>$F10/12</s:f>
        <s:v>5538.333333333333</s:v>
      </s:c>
      <s:c r="J10" s="13">
        <s:f>$F10/12</s:f>
        <s:v>5538.333333333333</s:v>
      </s:c>
      <s:c r="K10" s="13">
        <s:f>$F10/12</s:f>
        <s:v>5538.333333333333</s:v>
      </s:c>
      <s:c r="L10" s="13">
        <s:f>$F10/12</s:f>
        <s:v>5538.333333333333</s:v>
      </s:c>
      <s:c r="M10" s="13">
        <s:f>$F10/12</s:f>
        <s:v>5538.333333333333</s:v>
      </s:c>
      <s:c r="N10" s="13">
        <s:f>$F10/12</s:f>
        <s:v>5538.333333333333</s:v>
      </s:c>
      <s:c r="O10" s="13">
        <s:f>$F10/12</s:f>
        <s:v>5538.333333333333</s:v>
      </s:c>
      <s:c r="P10" s="13">
        <s:f>$F10/12</s:f>
        <s:v>5538.333333333333</s:v>
      </s:c>
      <s:c r="Q10" s="13">
        <s:f>$F10/12</s:f>
        <s:v>5538.333333333333</s:v>
      </s:c>
      <s:c r="R10" s="13">
        <s:f>$F10/12</s:f>
        <s:v>5538.333333333333</s:v>
      </s:c>
      <s:c r="S10" s="20">
        <s:f>SUM(G10:R10)</s:f>
        <s:v>66460</s:v>
      </s:c>
      <s:c r="T10" s="20">
        <s:f>SUM(G10:I10)</s:f>
        <s:v>16615</s:v>
      </s:c>
      <s:c r="U10" s="20">
        <s:f>SUM(J10:L10)</s:f>
        <s:v>16615</s:v>
      </s:c>
      <s:c r="V10" s="20">
        <s:f>SUM(M10:O10)</s:f>
        <s:v>16615</s:v>
      </s:c>
      <s:c r="W10" s="20">
        <s:f>SUM(P10:R10)</s:f>
        <s:v>16615</s:v>
      </s:c>
    </s:row>
    <s:row r="11">
      <s:c r="A11" s="12" t="inlineStr">
        <s:is>
          <s:t>Data Processing / Billing</s:t>
        </s:is>
      </s:c>
      <s:c r="B11" s="27" t="n">
        <s:v>83029</s:v>
      </s:c>
      <s:c r="C11" s="27" t="n">
        <s:v>83029</s:v>
      </s:c>
      <s:c r="D11" s="28" t="n"/>
      <s:c r="E11" s="29" t="n"/>
      <s:c r="F11" s="30">
        <s:f>C11*(1+IF(D11="",'Assumptions &amp; Notes'!$B$6,D11))+IF(E11="",0,E11)</s:f>
        <s:v>83029</s:v>
      </s:c>
      <s:c r="G11" s="13">
        <s:f>$F11/12</s:f>
        <s:v>6919.083333333333</s:v>
      </s:c>
      <s:c r="H11" s="13">
        <s:f>$F11/12</s:f>
        <s:v>6919.083333333333</s:v>
      </s:c>
      <s:c r="I11" s="13">
        <s:f>$F11/12</s:f>
        <s:v>6919.083333333333</s:v>
      </s:c>
      <s:c r="J11" s="13">
        <s:f>$F11/12</s:f>
        <s:v>6919.083333333333</s:v>
      </s:c>
      <s:c r="K11" s="13">
        <s:f>$F11/12</s:f>
        <s:v>6919.083333333333</s:v>
      </s:c>
      <s:c r="L11" s="13">
        <s:f>$F11/12</s:f>
        <s:v>6919.083333333333</s:v>
      </s:c>
      <s:c r="M11" s="13">
        <s:f>$F11/12</s:f>
        <s:v>6919.083333333333</s:v>
      </s:c>
      <s:c r="N11" s="13">
        <s:f>$F11/12</s:f>
        <s:v>6919.083333333333</s:v>
      </s:c>
      <s:c r="O11" s="13">
        <s:f>$F11/12</s:f>
        <s:v>6919.083333333333</s:v>
      </s:c>
      <s:c r="P11" s="13">
        <s:f>$F11/12</s:f>
        <s:v>6919.083333333333</s:v>
      </s:c>
      <s:c r="Q11" s="13">
        <s:f>$F11/12</s:f>
        <s:v>6919.083333333333</s:v>
      </s:c>
      <s:c r="R11" s="13">
        <s:f>$F11/12</s:f>
        <s:v>6919.083333333333</s:v>
      </s:c>
      <s:c r="S11" s="20">
        <s:f>SUM(G11:R11)</s:f>
        <s:v>83028.99999999999</s:v>
      </s:c>
      <s:c r="T11" s="20">
        <s:f>SUM(G11:I11)</s:f>
        <s:v>20757.25</s:v>
      </s:c>
      <s:c r="U11" s="20">
        <s:f>SUM(J11:L11)</s:f>
        <s:v>20757.25</s:v>
      </s:c>
      <s:c r="V11" s="20">
        <s:f>SUM(M11:O11)</s:f>
        <s:v>20757.25</s:v>
      </s:c>
      <s:c r="W11" s="20">
        <s:f>SUM(P11:R11)</s:f>
        <s:v>20757.25</s:v>
      </s:c>
    </s:row>
    <s:row r="12">
      <s:c r="A12" s="12" t="inlineStr">
        <s:is>
          <s:t>Logistics / Inventory</s:t>
        </s:is>
      </s:c>
      <s:c r="B12" s="27" t="n">
        <s:v>76613</s:v>
      </s:c>
      <s:c r="C12" s="27" t="n">
        <s:v>76613</s:v>
      </s:c>
      <s:c r="D12" s="28" t="n"/>
      <s:c r="E12" s="29" t="n"/>
      <s:c r="F12" s="30">
        <s:f>C12*(1+IF(D12="",'Assumptions &amp; Notes'!$B$6,D12))+IF(E12="",0,E12)</s:f>
        <s:v>76613</s:v>
      </s:c>
      <s:c r="G12" s="13">
        <s:f>$F12/12</s:f>
        <s:v>6384.416666666667</s:v>
      </s:c>
      <s:c r="H12" s="13">
        <s:f>$F12/12</s:f>
        <s:v>6384.416666666667</s:v>
      </s:c>
      <s:c r="I12" s="13">
        <s:f>$F12/12</s:f>
        <s:v>6384.416666666667</s:v>
      </s:c>
      <s:c r="J12" s="13">
        <s:f>$F12/12</s:f>
        <s:v>6384.416666666667</s:v>
      </s:c>
      <s:c r="K12" s="13">
        <s:f>$F12/12</s:f>
        <s:v>6384.416666666667</s:v>
      </s:c>
      <s:c r="L12" s="13">
        <s:f>$F12/12</s:f>
        <s:v>6384.416666666667</s:v>
      </s:c>
      <s:c r="M12" s="13">
        <s:f>$F12/12</s:f>
        <s:v>6384.416666666667</s:v>
      </s:c>
      <s:c r="N12" s="13">
        <s:f>$F12/12</s:f>
        <s:v>6384.416666666667</s:v>
      </s:c>
      <s:c r="O12" s="13">
        <s:f>$F12/12</s:f>
        <s:v>6384.416666666667</s:v>
      </s:c>
      <s:c r="P12" s="13">
        <s:f>$F12/12</s:f>
        <s:v>6384.416666666667</s:v>
      </s:c>
      <s:c r="Q12" s="13">
        <s:f>$F12/12</s:f>
        <s:v>6384.416666666667</s:v>
      </s:c>
      <s:c r="R12" s="13">
        <s:f>$F12/12</s:f>
        <s:v>6384.416666666667</s:v>
      </s:c>
      <s:c r="S12" s="20">
        <s:f>SUM(G12:R12)</s:f>
        <s:v>76613</s:v>
      </s:c>
      <s:c r="T12" s="20">
        <s:f>SUM(G12:I12)</s:f>
        <s:v>19153.25</s:v>
      </s:c>
      <s:c r="U12" s="20">
        <s:f>SUM(J12:L12)</s:f>
        <s:v>19153.25</s:v>
      </s:c>
      <s:c r="V12" s="20">
        <s:f>SUM(M12:O12)</s:f>
        <s:v>19153.25</s:v>
      </s:c>
      <s:c r="W12" s="20">
        <s:f>SUM(P12:R12)</s:f>
        <s:v>19153.25</s:v>
      </s:c>
    </s:row>
    <s:row r="13">
      <s:c r="A13" s="12" t="inlineStr">
        <s:is>
          <s:t>Safety &amp; Training</s:t>
        </s:is>
      </s:c>
      <s:c r="B13" s="27" t="n">
        <s:v>44842</s:v>
      </s:c>
      <s:c r="C13" s="27" t="n">
        <s:v>44842</s:v>
      </s:c>
      <s:c r="D13" s="28" t="n"/>
      <s:c r="E13" s="29" t="n"/>
      <s:c r="F13" s="30">
        <s:f>C13*(1+IF(D13="",'Assumptions &amp; Notes'!$B$6,D13))+IF(E13="",0,E13)</s:f>
        <s:v>44842</s:v>
      </s:c>
      <s:c r="G13" s="13">
        <s:f>$F13/12</s:f>
        <s:v>3736.8333333333335</s:v>
      </s:c>
      <s:c r="H13" s="13">
        <s:f>$F13/12</s:f>
        <s:v>3736.8333333333335</s:v>
      </s:c>
      <s:c r="I13" s="13">
        <s:f>$F13/12</s:f>
        <s:v>3736.8333333333335</s:v>
      </s:c>
      <s:c r="J13" s="13">
        <s:f>$F13/12</s:f>
        <s:v>3736.8333333333335</s:v>
      </s:c>
      <s:c r="K13" s="13">
        <s:f>$F13/12</s:f>
        <s:v>3736.8333333333335</s:v>
      </s:c>
      <s:c r="L13" s="13">
        <s:f>$F13/12</s:f>
        <s:v>3736.8333333333335</s:v>
      </s:c>
      <s:c r="M13" s="13">
        <s:f>$F13/12</s:f>
        <s:v>3736.8333333333335</s:v>
      </s:c>
      <s:c r="N13" s="13">
        <s:f>$F13/12</s:f>
        <s:v>3736.8333333333335</s:v>
      </s:c>
      <s:c r="O13" s="13">
        <s:f>$F13/12</s:f>
        <s:v>3736.8333333333335</s:v>
      </s:c>
      <s:c r="P13" s="13">
        <s:f>$F13/12</s:f>
        <s:v>3736.8333333333335</s:v>
      </s:c>
      <s:c r="Q13" s="13">
        <s:f>$F13/12</s:f>
        <s:v>3736.8333333333335</s:v>
      </s:c>
      <s:c r="R13" s="13">
        <s:f>$F13/12</s:f>
        <s:v>3736.8333333333335</s:v>
      </s:c>
      <s:c r="S13" s="20">
        <s:f>SUM(G13:R13)</s:f>
        <s:v>44842.00000000001</s:v>
      </s:c>
      <s:c r="T13" s="20">
        <s:f>SUM(G13:I13)</s:f>
        <s:v>11210.5</s:v>
      </s:c>
      <s:c r="U13" s="20">
        <s:f>SUM(J13:L13)</s:f>
        <s:v>11210.5</s:v>
      </s:c>
      <s:c r="V13" s="20">
        <s:f>SUM(M13:O13)</s:f>
        <s:v>11210.5</s:v>
      </s:c>
      <s:c r="W13" s="20">
        <s:f>SUM(P13:R13)</s:f>
        <s:v>11210.5</s:v>
      </s:c>
    </s:row>
    <s:row r="14">
      <s:c r="A14" s="12" t="inlineStr">
        <s:is>
          <s:t>IT Support</s:t>
        </s:is>
      </s:c>
      <s:c r="B14" s="27" t="n">
        <s:v>36286</s:v>
      </s:c>
      <s:c r="C14" s="27" t="n">
        <s:v>36286</s:v>
      </s:c>
      <s:c r="D14" s="28" t="n"/>
      <s:c r="E14" s="29" t="n"/>
      <s:c r="F14" s="30">
        <s:f>C14*(1+IF(D14="",'Assumptions &amp; Notes'!$B$6,D14))+IF(E14="",0,E14)</s:f>
        <s:v>36286</s:v>
      </s:c>
      <s:c r="G14" s="13">
        <s:f>$F14/12</s:f>
        <s:v>3023.8333333333335</s:v>
      </s:c>
      <s:c r="H14" s="13">
        <s:f>$F14/12</s:f>
        <s:v>3023.8333333333335</s:v>
      </s:c>
      <s:c r="I14" s="13">
        <s:f>$F14/12</s:f>
        <s:v>3023.8333333333335</s:v>
      </s:c>
      <s:c r="J14" s="13">
        <s:f>$F14/12</s:f>
        <s:v>3023.8333333333335</s:v>
      </s:c>
      <s:c r="K14" s="13">
        <s:f>$F14/12</s:f>
        <s:v>3023.8333333333335</s:v>
      </s:c>
      <s:c r="L14" s="13">
        <s:f>$F14/12</s:f>
        <s:v>3023.8333333333335</s:v>
      </s:c>
      <s:c r="M14" s="13">
        <s:f>$F14/12</s:f>
        <s:v>3023.8333333333335</s:v>
      </s:c>
      <s:c r="N14" s="13">
        <s:f>$F14/12</s:f>
        <s:v>3023.8333333333335</s:v>
      </s:c>
      <s:c r="O14" s="13">
        <s:f>$F14/12</s:f>
        <s:v>3023.8333333333335</s:v>
      </s:c>
      <s:c r="P14" s="13">
        <s:f>$F14/12</s:f>
        <s:v>3023.8333333333335</s:v>
      </s:c>
      <s:c r="Q14" s="13">
        <s:f>$F14/12</s:f>
        <s:v>3023.8333333333335</s:v>
      </s:c>
      <s:c r="R14" s="13">
        <s:f>$F14/12</s:f>
        <s:v>3023.8333333333335</s:v>
      </s:c>
      <s:c r="S14" s="20">
        <s:f>SUM(G14:R14)</s:f>
        <s:v>36286</s:v>
      </s:c>
      <s:c r="T14" s="20">
        <s:f>SUM(G14:I14)</s:f>
        <s:v>9071.5</s:v>
      </s:c>
      <s:c r="U14" s="20">
        <s:f>SUM(J14:L14)</s:f>
        <s:v>9071.5</s:v>
      </s:c>
      <s:c r="V14" s="20">
        <s:f>SUM(M14:O14)</s:f>
        <s:v>9071.5</s:v>
      </s:c>
      <s:c r="W14" s="20">
        <s:f>SUM(P14:R14)</s:f>
        <s:v>9071.5</s:v>
      </s:c>
    </s:row>
    <s:row r="15">
      <s:c r="A15" s="21" t="inlineStr">
        <s:is>
          <s:t>New Positions (2027 staffing plan)</s:t>
        </s:is>
      </s:c>
      <s:c r="B15" s="27" t="n">
        <s:v>0</s:v>
      </s:c>
      <s:c r="C15" s="27">
        <s:f>IF('Assumptions &amp; Notes'!$B$7="Yes",'New Positions'!S12,0)</s:f>
        <s:v>714483.23</s:v>
      </s:c>
      <s:c r="D15" s="31" t="inlineStr"/>
      <s:c r="E15" s="31" t="inlineStr"/>
      <s:c r="F15" s="32">
        <s:f>C15</s:f>
        <s:v>714483.23</s:v>
      </s:c>
      <s:c r="G15" s="13">
        <s:f>IF('Assumptions &amp; Notes'!$B$7="Yes",'New Positions'!G12,0)</s:f>
        <s:v>29883.33</s:v>
      </s:c>
      <s:c r="H15" s="13">
        <s:f>IF('Assumptions &amp; Notes'!$B$7="Yes",'New Positions'!H12,0)</s:f>
        <s:v>35995.83</s:v>
      </s:c>
      <s:c r="I15" s="13">
        <s:f>IF('Assumptions &amp; Notes'!$B$7="Yes",'New Positions'!I12,0)</s:f>
        <s:v>58136.659999999996</s:v>
      </s:c>
      <s:c r="J15" s="13">
        <s:f>IF('Assumptions &amp; Notes'!$B$7="Yes",'New Positions'!J12,0)</s:f>
        <s:v>65607.48999999999</s:v>
      </s:c>
      <s:c r="K15" s="13">
        <s:f>IF('Assumptions &amp; Notes'!$B$7="Yes",'New Positions'!K12,0)</s:f>
        <s:v>65607.48999999999</s:v>
      </s:c>
      <s:c r="L15" s="13">
        <s:f>IF('Assumptions &amp; Notes'!$B$7="Yes",'New Positions'!L12,0)</s:f>
        <s:v>65607.48999999999</s:v>
      </s:c>
      <s:c r="M15" s="13">
        <s:f>IF('Assumptions &amp; Notes'!$B$7="Yes",'New Positions'!M12,0)</s:f>
        <s:v>65607.48999999999</s:v>
      </s:c>
      <s:c r="N15" s="13">
        <s:f>IF('Assumptions &amp; Notes'!$B$7="Yes",'New Positions'!N12,0)</s:f>
        <s:v>65607.48999999999</s:v>
      </s:c>
      <s:c r="O15" s="13">
        <s:f>IF('Assumptions &amp; Notes'!$B$7="Yes",'New Positions'!O12,0)</s:f>
        <s:v>65607.48999999999</s:v>
      </s:c>
      <s:c r="P15" s="13">
        <s:f>IF('Assumptions &amp; Notes'!$B$7="Yes",'New Positions'!P12,0)</s:f>
        <s:v>65607.48999999999</s:v>
      </s:c>
      <s:c r="Q15" s="13">
        <s:f>IF('Assumptions &amp; Notes'!$B$7="Yes",'New Positions'!Q12,0)</s:f>
        <s:v>65607.48999999999</s:v>
      </s:c>
      <s:c r="R15" s="13">
        <s:f>IF('Assumptions &amp; Notes'!$B$7="Yes",'New Positions'!R12,0)</s:f>
        <s:v>65607.48999999999</s:v>
      </s:c>
      <s:c r="S15" s="20">
        <s:f>SUM(G15:R15)</s:f>
        <s:v>714483.23</s:v>
      </s:c>
      <s:c r="T15" s="20">
        <s:f>SUM(G15:I15)</s:f>
        <s:v>124015.82</s:v>
      </s:c>
      <s:c r="U15" s="20">
        <s:f>SUM(J15:L15)</s:f>
        <s:v>196822.46999999997</s:v>
      </s:c>
      <s:c r="V15" s="20">
        <s:f>SUM(M15:O15)</s:f>
        <s:v>196822.46999999997</s:v>
      </s:c>
      <s:c r="W15" s="20">
        <s:f>SUM(P15:R15)</s:f>
        <s:v>196822.46999999997</s:v>
      </s:c>
    </s:row>
    <s:row r="16">
      <s:c r="A16" s="33" t="inlineStr">
        <s:is>
          <s:t>TOTAL OPERATING EXPENSES</s:t>
        </s:is>
      </s:c>
      <s:c r="B16" s="34">
        <s:f>SUM(B4:B15)</s:f>
        <s:v>7191724.62</s:v>
      </s:c>
      <s:c r="C16" s="34">
        <s:f>SUM(C4:C15)</s:f>
        <s:v>7696812.360000001</s:v>
      </s:c>
      <s:c r="D16" s="33" t="inlineStr"/>
      <s:c r="E16" s="33" t="inlineStr"/>
      <s:c r="F16" s="34">
        <s:f>SUM(F4:F15)</s:f>
        <s:v>7696812.360000001</s:v>
      </s:c>
      <s:c r="G16" s="35">
        <s:f>SUM(G4:G15)</s:f>
        <s:v>611744.0908333333</s:v>
      </s:c>
      <s:c r="H16" s="35">
        <s:f>SUM(H4:H15)</s:f>
        <s:v>617856.5908333333</s:v>
      </s:c>
      <s:c r="I16" s="35">
        <s:f>SUM(I4:I15)</s:f>
        <s:v>639997.4208333334</s:v>
      </s:c>
      <s:c r="J16" s="35">
        <s:f>SUM(J4:J15)</s:f>
        <s:v>647468.2508333334</s:v>
      </s:c>
      <s:c r="K16" s="35">
        <s:f>SUM(K4:K15)</s:f>
        <s:v>647468.2508333334</s:v>
      </s:c>
      <s:c r="L16" s="35">
        <s:f>SUM(L4:L15)</s:f>
        <s:v>647468.2508333334</s:v>
      </s:c>
      <s:c r="M16" s="35">
        <s:f>SUM(M4:M15)</s:f>
        <s:v>647468.2508333334</s:v>
      </s:c>
      <s:c r="N16" s="35">
        <s:f>SUM(N4:N15)</s:f>
        <s:v>647468.2508333334</s:v>
      </s:c>
      <s:c r="O16" s="35">
        <s:f>SUM(O4:O15)</s:f>
        <s:v>647468.2508333334</s:v>
      </s:c>
      <s:c r="P16" s="35">
        <s:f>SUM(P4:P15)</s:f>
        <s:v>647468.2508333334</s:v>
      </s:c>
      <s:c r="Q16" s="35">
        <s:f>SUM(Q4:Q15)</s:f>
        <s:v>647468.2508333334</s:v>
      </s:c>
      <s:c r="R16" s="35">
        <s:f>SUM(R4:R15)</s:f>
        <s:v>647468.2508333334</s:v>
      </s:c>
      <s:c r="S16" s="19">
        <s:f>SUM(G16:R16)</s:f>
        <s:v>7696812.360000001</s:v>
      </s:c>
      <s:c r="T16" s="20">
        <s:f>SUM(G16:I16)</s:f>
        <s:v>1869598.1025</s:v>
      </s:c>
      <s:c r="U16" s="20">
        <s:f>SUM(J16:L16)</s:f>
        <s:v>1942404.7525</s:v>
      </s:c>
      <s:c r="V16" s="20">
        <s:f>SUM(M16:O16)</s:f>
        <s:v>1942404.7525</s:v>
      </s:c>
      <s:c r="W16" s="20">
        <s:f>SUM(P16:R16)</s:f>
        <s:v>1942404.7525</s:v>
      </s:c>
    </s:row>
  </s:sheetData>
  <s:autoFilter ref="A3:F15"/>
  <s:mergeCells count="2">
    <s:mergeCell ref="A2:R2"/>
    <s:mergeCell ref="A1:R1"/>
  </s:mergeCells>
  <s:pageMargins left="0.75" right="0.75" top="1" bottom="1" header="0.5" footer="0.5"/>
  <s:legacyDrawing r:id="anysvml"/>
</s:worksheet>
</file>

<file path=xl/worksheets/sheet5.xml><?xml version="1.0" encoding="utf-8"?>
<s:worksheet xmlns:s="http://schemas.openxmlformats.org/spreadsheetml/2006/main">
  <s:sheetPr>
    <s:tabColor rgb="0070AD47"/>
    <s:outlinePr summaryBelow="1" summaryRight="1"/>
    <s:pageSetUpPr/>
  </s:sheetPr>
  <s:dimension ref="A1:S14"/>
  <s:sheetViews>
    <s:sheetView showGridLines="0" workbookViewId="0">
      <s:pane xSplit="6" ySplit="3" topLeftCell="G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4" customWidth="1" min="1" max="1"/>
    <s:col width="13" customWidth="1" min="2" max="2"/>
    <s:col width="13" customWidth="1" min="3" max="3"/>
    <s:col width="13" customWidth="1" min="4" max="4"/>
    <s:col width="13" customWidth="1" min="5" max="5"/>
    <s:col width="13" customWidth="1" min="6" max="6"/>
    <s:col width="10" customWidth="1" min="7" max="7"/>
    <s:col width="10" customWidth="1" min="8" max="8"/>
    <s:col width="10" customWidth="1" min="9" max="9"/>
    <s:col width="10" customWidth="1" min="10" max="10"/>
    <s:col width="10" customWidth="1" min="11" max="11"/>
    <s:col width="10" customWidth="1" min="12" max="12"/>
    <s:col width="10" customWidth="1" min="13" max="13"/>
    <s:col width="10" customWidth="1" min="14" max="14"/>
    <s:col width="10" customWidth="1" min="15" max="15"/>
    <s:col width="10" customWidth="1" min="16" max="16"/>
    <s:col width="10" customWidth="1" min="17" max="17"/>
    <s:col width="10" customWidth="1" min="18" max="18"/>
    <s:col width="10" customWidth="1" min="19" max="19"/>
  </s:cols>
  <s:sheetData>
    <s:row r="1" ht="30" customHeight="1">
      <s:c r="A1" s="1" t="inlineStr">
        <s:is>
          <s:t>2027 NEW POSITIONS — Staffing Plan (from CFO budget)</s:t>
        </s:is>
      </s:c>
    </s:row>
    <s:row r="2">
      <s:c r="A2" s="2" t="inlineStr">
        <s:is>
          <s:t>8 FTE. Payroll + burden, ramped by start month. Feeds the Expense Budget when 'Include new positions' = Yes.</s:t>
        </s:is>
      </s:c>
    </s:row>
    <s:row r="3">
      <s:c r="A3" s="14" t="inlineStr">
        <s:is>
          <s:t>Role</s:t>
        </s:is>
      </s:c>
      <s:c r="B3" s="16" t="inlineStr">
        <s:is>
          <s:t>Dept</s:t>
        </s:is>
      </s:c>
      <s:c r="C3" s="16" t="inlineStr">
        <s:is>
          <s:t>Start mo</s:t>
        </s:is>
      </s:c>
      <s:c r="D3" s="16" t="inlineStr">
        <s:is>
          <s:t>Base comp</s:t>
        </s:is>
      </s:c>
      <s:c r="E3" s="16" t="inlineStr">
        <s:is>
          <s:t>Burden %</s:t>
        </s:is>
      </s:c>
      <s:c r="F3" s="16" t="inlineStr">
        <s:is>
          <s:t>Annual impact</s:t>
        </s:is>
      </s:c>
      <s:c r="G3" s="36" t="inlineStr">
        <s:is>
          <s:t>Jan</s:t>
        </s:is>
      </s:c>
      <s:c r="H3" s="36" t="inlineStr">
        <s:is>
          <s:t>Feb</s:t>
        </s:is>
      </s:c>
      <s:c r="I3" s="36" t="inlineStr">
        <s:is>
          <s:t>Mar</s:t>
        </s:is>
      </s:c>
      <s:c r="J3" s="36" t="inlineStr">
        <s:is>
          <s:t>Apr</s:t>
        </s:is>
      </s:c>
      <s:c r="K3" s="36" t="inlineStr">
        <s:is>
          <s:t>May</s:t>
        </s:is>
      </s:c>
      <s:c r="L3" s="36" t="inlineStr">
        <s:is>
          <s:t>Jun</s:t>
        </s:is>
      </s:c>
      <s:c r="M3" s="36" t="inlineStr">
        <s:is>
          <s:t>Jul</s:t>
        </s:is>
      </s:c>
      <s:c r="N3" s="36" t="inlineStr">
        <s:is>
          <s:t>Aug</s:t>
        </s:is>
      </s:c>
      <s:c r="O3" s="36" t="inlineStr">
        <s:is>
          <s:t>Sep</s:t>
        </s:is>
      </s:c>
      <s:c r="P3" s="36" t="inlineStr">
        <s:is>
          <s:t>Oct</s:t>
        </s:is>
      </s:c>
      <s:c r="Q3" s="36" t="inlineStr">
        <s:is>
          <s:t>Nov</s:t>
        </s:is>
      </s:c>
      <s:c r="R3" s="36" t="inlineStr">
        <s:is>
          <s:t>Dec</s:t>
        </s:is>
      </s:c>
      <s:c r="S3" s="16" t="inlineStr">
        <s:is>
          <s:t>Total</s:t>
        </s:is>
      </s:c>
    </s:row>
    <s:row r="4">
      <s:c r="A4" s="12" t="inlineStr">
        <s:is>
          <s:t>Field Tech Staker (replace Daniel/Travis)</s:t>
        </s:is>
      </s:c>
      <s:c r="B4" s="37" t="inlineStr">
        <s:is>
          <s:t>90 - Fiber</s:t>
        </s:is>
      </s:c>
      <s:c r="C4" s="38" t="n">
        <s:v>2</s:v>
      </s:c>
      <s:c r="D4" s="29" t="n">
        <s:v>45000</s:v>
      </s:c>
      <s:c r="E4" s="28" t="n">
        <s:v>0.63</s:v>
      </s:c>
      <s:c r="F4" s="27" t="n">
        <s:v>67237.5</s:v>
      </s:c>
      <s:c r="G4" s="18" t="n">
        <s:v>0</s:v>
      </s:c>
      <s:c r="H4" s="18" t="n">
        <s:v>6112.5</s:v>
      </s:c>
      <s:c r="I4" s="18" t="n">
        <s:v>6112.5</s:v>
      </s:c>
      <s:c r="J4" s="18" t="n">
        <s:v>6112.5</s:v>
      </s:c>
      <s:c r="K4" s="18" t="n">
        <s:v>6112.5</s:v>
      </s:c>
      <s:c r="L4" s="18" t="n">
        <s:v>6112.5</s:v>
      </s:c>
      <s:c r="M4" s="18" t="n">
        <s:v>6112.5</s:v>
      </s:c>
      <s:c r="N4" s="18" t="n">
        <s:v>6112.5</s:v>
      </s:c>
      <s:c r="O4" s="18" t="n">
        <s:v>6112.5</s:v>
      </s:c>
      <s:c r="P4" s="18" t="n">
        <s:v>6112.5</s:v>
      </s:c>
      <s:c r="Q4" s="18" t="n">
        <s:v>6112.5</s:v>
      </s:c>
      <s:c r="R4" s="18" t="n">
        <s:v>6112.5</s:v>
      </s:c>
      <s:c r="S4" s="19">
        <s:f>SUM(G4:R4)</s:f>
        <s:v>67237.5</s:v>
      </s:c>
    </s:row>
    <s:row r="5">
      <s:c r="A5" s="12" t="inlineStr">
        <s:is>
          <s:t>2nd Field Tech / Installer - Drop splice capable</s:t>
        </s:is>
      </s:c>
      <s:c r="B5" s="37" t="inlineStr">
        <s:is>
          <s:t>90 - Fiber</s:t>
        </s:is>
      </s:c>
      <s:c r="C5" s="38" t="n">
        <s:v>4</s:v>
      </s:c>
      <s:c r="D5" s="29" t="n">
        <s:v>55000</s:v>
      </s:c>
      <s:c r="E5" s="28" t="n">
        <s:v>0.63</s:v>
      </s:c>
      <s:c r="F5" s="27" t="n">
        <s:v>67237.5</s:v>
      </s:c>
      <s:c r="G5" s="18" t="n">
        <s:v>0</s:v>
      </s:c>
      <s:c r="H5" s="18" t="n">
        <s:v>0</s:v>
      </s:c>
      <s:c r="I5" s="18" t="n">
        <s:v>0</s:v>
      </s:c>
      <s:c r="J5" s="18" t="n">
        <s:v>7470.83</s:v>
      </s:c>
      <s:c r="K5" s="18" t="n">
        <s:v>7470.83</s:v>
      </s:c>
      <s:c r="L5" s="18" t="n">
        <s:v>7470.83</s:v>
      </s:c>
      <s:c r="M5" s="18" t="n">
        <s:v>7470.83</s:v>
      </s:c>
      <s:c r="N5" s="18" t="n">
        <s:v>7470.83</s:v>
      </s:c>
      <s:c r="O5" s="18" t="n">
        <s:v>7470.83</s:v>
      </s:c>
      <s:c r="P5" s="18" t="n">
        <s:v>7470.83</s:v>
      </s:c>
      <s:c r="Q5" s="18" t="n">
        <s:v>7470.83</s:v>
      </s:c>
      <s:c r="R5" s="18" t="n">
        <s:v>7470.83</s:v>
      </s:c>
      <s:c r="S5" s="19">
        <s:f>SUM(G5:R5)</s:f>
        <s:v>67237.47</s:v>
      </s:c>
    </s:row>
    <s:row r="6">
      <s:c r="A6" s="12" t="inlineStr">
        <s:is>
          <s:t>Installations Supervisor (Travis)</s:t>
        </s:is>
      </s:c>
      <s:c r="B6" s="37" t="inlineStr">
        <s:is>
          <s:t>90 - Fiber</s:t>
        </s:is>
      </s:c>
      <s:c r="C6" s="38" t="n">
        <s:v>1</s:v>
      </s:c>
      <s:c r="D6" s="29" t="n">
        <s:v>80000</s:v>
      </s:c>
      <s:c r="E6" s="28" t="n">
        <s:v>0.63</s:v>
      </s:c>
      <s:c r="F6" s="27" t="n">
        <s:v>130400</s:v>
      </s:c>
      <s:c r="G6" s="18" t="n">
        <s:v>10866.67</s:v>
      </s:c>
      <s:c r="H6" s="18" t="n">
        <s:v>10866.67</s:v>
      </s:c>
      <s:c r="I6" s="18" t="n">
        <s:v>10866.67</s:v>
      </s:c>
      <s:c r="J6" s="18" t="n">
        <s:v>10866.67</s:v>
      </s:c>
      <s:c r="K6" s="18" t="n">
        <s:v>10866.67</s:v>
      </s:c>
      <s:c r="L6" s="18" t="n">
        <s:v>10866.67</s:v>
      </s:c>
      <s:c r="M6" s="18" t="n">
        <s:v>10866.67</s:v>
      </s:c>
      <s:c r="N6" s="18" t="n">
        <s:v>10866.67</s:v>
      </s:c>
      <s:c r="O6" s="18" t="n">
        <s:v>10866.67</s:v>
      </s:c>
      <s:c r="P6" s="18" t="n">
        <s:v>10866.67</s:v>
      </s:c>
      <s:c r="Q6" s="18" t="n">
        <s:v>10866.67</s:v>
      </s:c>
      <s:c r="R6" s="18" t="n">
        <s:v>10866.67</s:v>
      </s:c>
      <s:c r="S6" s="19">
        <s:f>SUM(G6:R6)</s:f>
        <s:v>130400.04</s:v>
      </s:c>
    </s:row>
    <s:row r="7">
      <s:c r="A7" s="12" t="inlineStr">
        <s:is>
          <s:t>OSP Field Tech - Aerial Lineman / Underground</s:t>
        </s:is>
      </s:c>
      <s:c r="B7" s="37" t="inlineStr">
        <s:is>
          <s:t>90 - Fiber</s:t>
        </s:is>
      </s:c>
      <s:c r="C7" s="38" t="n">
        <s:v>3</s:v>
      </s:c>
      <s:c r="D7" s="29" t="n">
        <s:v>63000</s:v>
      </s:c>
      <s:c r="E7" s="28" t="n">
        <s:v>0.63</s:v>
      </s:c>
      <s:c r="F7" s="27" t="n">
        <s:v>85575</s:v>
      </s:c>
      <s:c r="G7" s="18" t="n">
        <s:v>0</s:v>
      </s:c>
      <s:c r="H7" s="18" t="n">
        <s:v>0</s:v>
      </s:c>
      <s:c r="I7" s="18" t="n">
        <s:v>8557.5</s:v>
      </s:c>
      <s:c r="J7" s="18" t="n">
        <s:v>8557.5</s:v>
      </s:c>
      <s:c r="K7" s="18" t="n">
        <s:v>8557.5</s:v>
      </s:c>
      <s:c r="L7" s="18" t="n">
        <s:v>8557.5</s:v>
      </s:c>
      <s:c r="M7" s="18" t="n">
        <s:v>8557.5</s:v>
      </s:c>
      <s:c r="N7" s="18" t="n">
        <s:v>8557.5</s:v>
      </s:c>
      <s:c r="O7" s="18" t="n">
        <s:v>8557.5</s:v>
      </s:c>
      <s:c r="P7" s="18" t="n">
        <s:v>8557.5</s:v>
      </s:c>
      <s:c r="Q7" s="18" t="n">
        <s:v>8557.5</s:v>
      </s:c>
      <s:c r="R7" s="18" t="n">
        <s:v>8557.5</s:v>
      </s:c>
      <s:c r="S7" s="19">
        <s:f>SUM(G7:R7)</s:f>
        <s:v>85575</s:v>
      </s:c>
    </s:row>
    <s:row r="8">
      <s:c r="A8" s="12" t="inlineStr">
        <s:is>
          <s:t>OSP Field Tech Groundman</s:t>
        </s:is>
      </s:c>
      <s:c r="B8" s="37" t="inlineStr">
        <s:is>
          <s:t>90 - Fiber</s:t>
        </s:is>
      </s:c>
      <s:c r="C8" s="38" t="n">
        <s:v>3</s:v>
      </s:c>
      <s:c r="D8" s="29" t="n">
        <s:v>40000</s:v>
      </s:c>
      <s:c r="E8" s="28" t="n">
        <s:v>0.63</s:v>
      </s:c>
      <s:c r="F8" s="27" t="n">
        <s:v>54333.33</s:v>
      </s:c>
      <s:c r="G8" s="18" t="n">
        <s:v>0</s:v>
      </s:c>
      <s:c r="H8" s="18" t="n">
        <s:v>0</s:v>
      </s:c>
      <s:c r="I8" s="18" t="n">
        <s:v>5433.33</s:v>
      </s:c>
      <s:c r="J8" s="18" t="n">
        <s:v>5433.33</s:v>
      </s:c>
      <s:c r="K8" s="18" t="n">
        <s:v>5433.33</s:v>
      </s:c>
      <s:c r="L8" s="18" t="n">
        <s:v>5433.33</s:v>
      </s:c>
      <s:c r="M8" s="18" t="n">
        <s:v>5433.33</s:v>
      </s:c>
      <s:c r="N8" s="18" t="n">
        <s:v>5433.33</s:v>
      </s:c>
      <s:c r="O8" s="18" t="n">
        <s:v>5433.33</s:v>
      </s:c>
      <s:c r="P8" s="18" t="n">
        <s:v>5433.33</s:v>
      </s:c>
      <s:c r="Q8" s="18" t="n">
        <s:v>5433.33</s:v>
      </s:c>
      <s:c r="R8" s="18" t="n">
        <s:v>5433.33</s:v>
      </s:c>
      <s:c r="S8" s="19">
        <s:f>SUM(G8:R8)</s:f>
        <s:v>54333.3</s:v>
      </s:c>
    </s:row>
    <s:row r="9">
      <s:c r="A9" s="12" t="inlineStr">
        <s:is>
          <s:t>OSP Splicer - Drop &amp; Mainline Repair / OTDR</s:t>
        </s:is>
      </s:c>
      <s:c r="B9" s="37" t="inlineStr">
        <s:is>
          <s:t>90 - Fiber</s:t>
        </s:is>
      </s:c>
      <s:c r="C9" s="38" t="n">
        <s:v>3</s:v>
      </s:c>
      <s:c r="D9" s="29" t="n">
        <s:v>60000</s:v>
      </s:c>
      <s:c r="E9" s="28" t="n">
        <s:v>0.63</s:v>
      </s:c>
      <s:c r="F9" s="27" t="n">
        <s:v>81500</s:v>
      </s:c>
      <s:c r="G9" s="18" t="n">
        <s:v>0</s:v>
      </s:c>
      <s:c r="H9" s="18" t="n">
        <s:v>0</s:v>
      </s:c>
      <s:c r="I9" s="18" t="n">
        <s:v>8150</s:v>
      </s:c>
      <s:c r="J9" s="18" t="n">
        <s:v>8150</s:v>
      </s:c>
      <s:c r="K9" s="18" t="n">
        <s:v>8150</s:v>
      </s:c>
      <s:c r="L9" s="18" t="n">
        <s:v>8150</s:v>
      </s:c>
      <s:c r="M9" s="18" t="n">
        <s:v>8150</s:v>
      </s:c>
      <s:c r="N9" s="18" t="n">
        <s:v>8150</s:v>
      </s:c>
      <s:c r="O9" s="18" t="n">
        <s:v>8150</s:v>
      </s:c>
      <s:c r="P9" s="18" t="n">
        <s:v>8150</s:v>
      </s:c>
      <s:c r="Q9" s="18" t="n">
        <s:v>8150</s:v>
      </s:c>
      <s:c r="R9" s="18" t="n">
        <s:v>8150</s:v>
      </s:c>
      <s:c r="S9" s="19">
        <s:f>SUM(G9:R9)</s:f>
        <s:v>81500</s:v>
      </s:c>
    </s:row>
    <s:row r="10">
      <s:c r="A10" s="12" t="inlineStr">
        <s:is>
          <s:t>Data Entry / Redlines &amp; Closing Docs</s:t>
        </s:is>
      </s:c>
      <s:c r="B10" s="37" t="inlineStr">
        <s:is>
          <s:t>90 - Fiber</s:t>
        </s:is>
      </s:c>
      <s:c r="C10" s="38" t="n">
        <s:v>1</s:v>
      </s:c>
      <s:c r="D10" s="29" t="n">
        <s:v>40000</s:v>
      </s:c>
      <s:c r="E10" s="28" t="n">
        <s:v>0.63</s:v>
      </s:c>
      <s:c r="F10" s="27" t="n">
        <s:v>65200</s:v>
      </s:c>
      <s:c r="G10" s="18" t="n">
        <s:v>5433.33</s:v>
      </s:c>
      <s:c r="H10" s="18" t="n">
        <s:v>5433.33</s:v>
      </s:c>
      <s:c r="I10" s="18" t="n">
        <s:v>5433.33</s:v>
      </s:c>
      <s:c r="J10" s="18" t="n">
        <s:v>5433.33</s:v>
      </s:c>
      <s:c r="K10" s="18" t="n">
        <s:v>5433.33</s:v>
      </s:c>
      <s:c r="L10" s="18" t="n">
        <s:v>5433.33</s:v>
      </s:c>
      <s:c r="M10" s="18" t="n">
        <s:v>5433.33</s:v>
      </s:c>
      <s:c r="N10" s="18" t="n">
        <s:v>5433.33</s:v>
      </s:c>
      <s:c r="O10" s="18" t="n">
        <s:v>5433.33</s:v>
      </s:c>
      <s:c r="P10" s="18" t="n">
        <s:v>5433.33</s:v>
      </s:c>
      <s:c r="Q10" s="18" t="n">
        <s:v>5433.33</s:v>
      </s:c>
      <s:c r="R10" s="18" t="n">
        <s:v>5433.33</s:v>
      </s:c>
      <s:c r="S10" s="19">
        <s:f>SUM(G10:R10)</s:f>
        <s:v>65199.96000000001</s:v>
      </s:c>
    </s:row>
    <s:row r="11">
      <s:c r="A11" s="12" t="inlineStr">
        <s:is>
          <s:t>Construction Design Engineer (Rocky)</s:t>
        </s:is>
      </s:c>
      <s:c r="B11" s="37" t="inlineStr">
        <s:is>
          <s:t>90 - Fiber</s:t>
        </s:is>
      </s:c>
      <s:c r="C11" s="38" t="n">
        <s:v>1</s:v>
      </s:c>
      <s:c r="D11" s="29" t="n">
        <s:v>100000</s:v>
      </s:c>
      <s:c r="E11" s="28" t="n">
        <s:v>0.63</s:v>
      </s:c>
      <s:c r="F11" s="27" t="n">
        <s:v>163000</s:v>
      </s:c>
      <s:c r="G11" s="18" t="n">
        <s:v>13583.33</s:v>
      </s:c>
      <s:c r="H11" s="18" t="n">
        <s:v>13583.33</s:v>
      </s:c>
      <s:c r="I11" s="18" t="n">
        <s:v>13583.33</s:v>
      </s:c>
      <s:c r="J11" s="18" t="n">
        <s:v>13583.33</s:v>
      </s:c>
      <s:c r="K11" s="18" t="n">
        <s:v>13583.33</s:v>
      </s:c>
      <s:c r="L11" s="18" t="n">
        <s:v>13583.33</s:v>
      </s:c>
      <s:c r="M11" s="18" t="n">
        <s:v>13583.33</s:v>
      </s:c>
      <s:c r="N11" s="18" t="n">
        <s:v>13583.33</s:v>
      </s:c>
      <s:c r="O11" s="18" t="n">
        <s:v>13583.33</s:v>
      </s:c>
      <s:c r="P11" s="18" t="n">
        <s:v>13583.33</s:v>
      </s:c>
      <s:c r="Q11" s="18" t="n">
        <s:v>13583.33</s:v>
      </s:c>
      <s:c r="R11" s="18" t="n">
        <s:v>13583.33</s:v>
      </s:c>
      <s:c r="S11" s="19">
        <s:f>SUM(G11:R11)</s:f>
        <s:v>162999.95999999996</s:v>
      </s:c>
    </s:row>
    <s:row r="12">
      <s:c r="A12" s="33" t="inlineStr">
        <s:is>
          <s:t>TOTAL — new positions</s:t>
        </s:is>
      </s:c>
      <s:c r="B12" s="33" t="inlineStr"/>
      <s:c r="C12" s="33" t="inlineStr"/>
      <s:c r="D12" s="33" t="inlineStr"/>
      <s:c r="E12" s="33" t="inlineStr"/>
      <s:c r="F12" s="35">
        <s:f>SUM(F4:F11)</s:f>
        <s:v>714483.3300000001</s:v>
      </s:c>
      <s:c r="G12" s="35">
        <s:f>SUM(G4:G11)</s:f>
        <s:v>29883.33</s:v>
      </s:c>
      <s:c r="H12" s="35">
        <s:f>SUM(H4:H11)</s:f>
        <s:v>35995.83</s:v>
      </s:c>
      <s:c r="I12" s="35">
        <s:f>SUM(I4:I11)</s:f>
        <s:v>58136.659999999996</s:v>
      </s:c>
      <s:c r="J12" s="35">
        <s:f>SUM(J4:J11)</s:f>
        <s:v>65607.48999999999</s:v>
      </s:c>
      <s:c r="K12" s="35">
        <s:f>SUM(K4:K11)</s:f>
        <s:v>65607.48999999999</s:v>
      </s:c>
      <s:c r="L12" s="35">
        <s:f>SUM(L4:L11)</s:f>
        <s:v>65607.48999999999</s:v>
      </s:c>
      <s:c r="M12" s="35">
        <s:f>SUM(M4:M11)</s:f>
        <s:v>65607.48999999999</s:v>
      </s:c>
      <s:c r="N12" s="35">
        <s:f>SUM(N4:N11)</s:f>
        <s:v>65607.48999999999</s:v>
      </s:c>
      <s:c r="O12" s="35">
        <s:f>SUM(O4:O11)</s:f>
        <s:v>65607.48999999999</s:v>
      </s:c>
      <s:c r="P12" s="35">
        <s:f>SUM(P4:P11)</s:f>
        <s:v>65607.48999999999</s:v>
      </s:c>
      <s:c r="Q12" s="35">
        <s:f>SUM(Q4:Q11)</s:f>
        <s:v>65607.48999999999</s:v>
      </s:c>
      <s:c r="R12" s="35">
        <s:f>SUM(R4:R11)</s:f>
        <s:v>65607.48999999999</s:v>
      </s:c>
      <s:c r="S12" s="35">
        <s:f>SUM(G12:R12)</s:f>
        <s:v>714483.23</s:v>
      </s:c>
    </s:row>
    <s:row r="14">
      <s:c r="A14" s="9" t="inlineStr">
        <s:is>
          <s:t>Monthly amounts ramp by each role's start month (per the CFO staffing plan). Annual impact = prorated base payroll x (1 + burden %).</s:t>
        </s:is>
      </s:c>
      <s:c r="B14" s="10" t="n"/>
      <s:c r="C14" s="10" t="n"/>
      <s:c r="D14" s="10" t="n"/>
      <s:c r="E14" s="10" t="n"/>
      <s:c r="F14" s="10" t="n"/>
      <s:c r="G14" s="10" t="n"/>
      <s:c r="H14" s="10" t="n"/>
      <s:c r="I14" s="10" t="n"/>
      <s:c r="J14" s="10" t="n"/>
      <s:c r="K14" s="10" t="n"/>
      <s:c r="L14" s="10" t="n"/>
      <s:c r="M14" s="10" t="n"/>
      <s:c r="N14" s="10" t="n"/>
      <s:c r="O14" s="10" t="n"/>
      <s:c r="P14" s="10" t="n"/>
      <s:c r="Q14" s="10" t="n"/>
      <s:c r="R14" s="10" t="n"/>
      <s:c r="S14" s="11" t="n"/>
    </s:row>
  </s:sheetData>
  <s:mergeCells count="3">
    <s:mergeCell ref="A2:R2"/>
    <s:mergeCell ref="A14:S14"/>
    <s:mergeCell ref="A1:R1"/>
  </s:mergeCells>
  <s:pageMargins left="0.75" right="0.75" top="1" bottom="1" header="0.5" footer="0.5"/>
</s: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0" customWidth="1" min="3" max="3"/>
  </cols>
  <sheetData>
    <row r="1" ht="30" customHeight="1">
      <c r="A1" s="1" t="inlineStr">
        <is>
          <t>MASTER PRO FORMA — ASSUMPTIONS &amp; CONTROL PANEL</t>
        </is>
      </c>
    </row>
    <row r="2">
      <c r="A2" s="2" t="inlineStr">
        <is>
          <t>Blue/yellow = editable inputs. Green = links. Grey = calculated. Change these to flex the pro forma.</t>
        </is>
      </c>
    </row>
    <row r="3">
      <c r="E3" s="39" t="inlineStr">
        <is>
          <t>LEGEND</t>
        </is>
      </c>
    </row>
    <row r="4">
      <c r="A4" s="17" t="inlineStr">
        <is>
          <t>CONTROL INPUTS</t>
        </is>
      </c>
      <c r="E4" s="40" t="inlineStr">
        <is>
          <t>Editable input</t>
        </is>
      </c>
    </row>
    <row r="5">
      <c r="A5" s="12" t="inlineStr">
        <is>
          <t>Planning year</t>
        </is>
      </c>
      <c r="B5" s="38" t="n">
        <v>2027</v>
      </c>
      <c r="C5" s="41" t="inlineStr">
        <is>
          <t>Budget year modeled.</t>
        </is>
      </c>
      <c r="E5" s="42" t="inlineStr">
        <is>
          <t>Sourced from a linked workbook</t>
        </is>
      </c>
    </row>
    <row r="6">
      <c r="A6" s="12" t="inlineStr">
        <is>
          <t>Global expense adjustment %</t>
        </is>
      </c>
      <c r="B6" s="43" t="n">
        <v>0</v>
      </c>
      <c r="C6" s="41" t="inlineStr">
        <is>
          <t>Applied on top of the CFO 2027 department budgets. 0 = use the budget as-is.</t>
        </is>
      </c>
      <c r="E6" s="31" t="inlineStr">
        <is>
          <t>Calculated</t>
        </is>
      </c>
    </row>
    <row r="7">
      <c r="A7" s="12" t="inlineStr">
        <is>
          <t>Include new positions (Yes/No)</t>
        </is>
      </c>
      <c r="B7" s="44" t="inlineStr">
        <is>
          <t>Yes</t>
        </is>
      </c>
      <c r="C7" s="41" t="inlineStr">
        <is>
          <t>Include the 2027 staffing plan (8 FTE, $714K) in expenses.</t>
        </is>
      </c>
    </row>
    <row r="8">
      <c r="A8" s="12" t="inlineStr">
        <is>
          <t>Depreciation &amp; amortization (annual)</t>
        </is>
      </c>
      <c r="B8" s="29" t="n">
        <v>140875</v>
      </c>
      <c r="C8" s="41" t="inlineStr">
        <is>
          <t>Used only to add back to EBIT for the EBITDA line. From CFO budget.</t>
        </is>
      </c>
    </row>
    <row r="9">
      <c r="A9" s="12" t="inlineStr">
        <is>
          <t>Effective income tax rate</t>
        </is>
      </c>
      <c r="B9" s="28" t="n">
        <v>0</v>
      </c>
      <c r="C9" s="41" t="inlineStr">
        <is>
          <t>Applied to positive pre-tax income. 0 by default (LLC / pass-through — confirm with CFO).</t>
        </is>
      </c>
    </row>
    <row r="10">
      <c r="A10" s="12" t="inlineStr">
        <is>
          <t>Grant income (annual)</t>
        </is>
      </c>
      <c r="B10" s="29" t="n">
        <v>784080</v>
      </c>
      <c r="C10" s="41" t="inlineStr">
        <is>
          <t>Nonoperating grant income, from CFO budget (spread evenly).</t>
        </is>
      </c>
    </row>
    <row r="11">
      <c r="A11" s="12" t="inlineStr">
        <is>
          <t>Nonoperating income (annual)</t>
        </is>
      </c>
      <c r="B11" s="29" t="n">
        <v>374004</v>
      </c>
      <c r="C11" s="41" t="inlineStr">
        <is>
          <t>Other nonoperating income, from CFO budget (spread evenly).</t>
        </is>
      </c>
    </row>
    <row r="14">
      <c r="A14" s="17" t="inlineStr">
        <is>
          <t>SOURCES &amp; METHOD</t>
        </is>
      </c>
    </row>
    <row r="15" ht="30" customHeight="1">
      <c r="A15" s="45" t="inlineStr">
        <is>
          <t>• REVENUE is sourced from RIVR_Tech_2027_Revenue_Forecast (Consolidated Revenue, Base scenario): Residential, Business, Dark Fiber and the Hoke County project, by month. Update by re-importing that model.</t>
        </is>
      </c>
      <c r="B15" s="10" t="n"/>
      <c r="C15" s="10" t="n"/>
      <c r="D15" s="10" t="n"/>
      <c r="E15" s="10" t="n"/>
      <c r="F15" s="11" t="n"/>
    </row>
    <row r="16" ht="30" customHeight="1">
      <c r="A16" s="45" t="inlineStr">
        <is>
          <t>• EXPENSES are sourced from the RIVR CFO-Style 2027 Budget Workbook, by department (2027 budget column). The 8-FTE 2027 staffing plan ($714,483) is shown as its own line and stripped out of the Fiber department to avoid double counting.</t>
        </is>
      </c>
      <c r="B16" s="10" t="n"/>
      <c r="C16" s="10" t="n"/>
      <c r="D16" s="10" t="n"/>
      <c r="E16" s="10" t="n"/>
      <c r="F16" s="11" t="n"/>
    </row>
    <row r="17" ht="30" customHeight="1">
      <c r="A17" s="45" t="inlineStr">
        <is>
          <t>• GRANT and NONOPERATING income are sourced from the CFO budget and shown below operating income (the revenue model excludes them).</t>
        </is>
      </c>
      <c r="B17" s="10" t="n"/>
      <c r="C17" s="10" t="n"/>
      <c r="D17" s="10" t="n"/>
      <c r="E17" s="10" t="n"/>
      <c r="F17" s="11" t="n"/>
    </row>
    <row r="18" ht="30" customHeight="1">
      <c r="A18" s="45" t="inlineStr">
        <is>
          <t>• NOTE on the source budget: its Budget Builder total row double-counts expenses (its total = 2 x expenses + revenue). This master uses the clean per-department / GL rollup ($7.70M of 2027 expense), which ties to the CFO Dashboard and Department Summary.</t>
        </is>
      </c>
      <c r="B18" s="10" t="n"/>
      <c r="C18" s="10" t="n"/>
      <c r="D18" s="10" t="n"/>
      <c r="E18" s="10" t="n"/>
      <c r="F18" s="11" t="n"/>
    </row>
    <row r="19" ht="30" customHeight="1">
      <c r="A19" s="45" t="inlineStr">
        <is>
          <t>• Base lines are spread evenly across the year (the CFO budget's default). New-position costs ramp by each role's start month.</t>
        </is>
      </c>
      <c r="B19" s="10" t="n"/>
      <c r="C19" s="10" t="n"/>
      <c r="D19" s="10" t="n"/>
      <c r="E19" s="10" t="n"/>
      <c r="F19" s="11" t="n"/>
    </row>
    <row r="20" ht="30" customHeight="1">
      <c r="A20" s="45" t="inlineStr">
        <is>
          <t>• Operating income excludes grants; net income includes them. Confirm final GAAP treatment (esp. grants and IRU) with the CFO/accountant.</t>
        </is>
      </c>
      <c r="B20" s="10" t="n"/>
      <c r="C20" s="10" t="n"/>
      <c r="D20" s="10" t="n"/>
      <c r="E20" s="10" t="n"/>
      <c r="F20" s="11" t="n"/>
    </row>
  </sheetData>
  <mergeCells count="10">
    <mergeCell ref="A2:F2"/>
    <mergeCell ref="A16:F16"/>
    <mergeCell ref="A19:F19"/>
    <mergeCell ref="A14:C14"/>
    <mergeCell ref="A1:F1"/>
    <mergeCell ref="A17:F17"/>
    <mergeCell ref="A18:F18"/>
    <mergeCell ref="A20:F20"/>
    <mergeCell ref="A4:C4"/>
    <mergeCell ref="A15:F15"/>
  </mergeCells>
  <dataValidations count="1">
    <dataValidation sqref="B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2026-08-12T20:44:16Z</dcterms:created>
  <dcterms:modified xsi:type="dcterms:W3CDTF">2026-08-12T20:44:16Z</dcterms:modified>
</cp:coreProperties>
</file>