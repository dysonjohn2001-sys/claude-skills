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Key Assumptions" sheetId="2" state="visible" r:id="rId2"/>
    <sheet name="2026 Actuals (H1)" sheetId="3" state="visible" r:id="rId3"/>
    <sheet name="Residential Forecast" sheetId="4" state="visible" r:id="rId4"/>
    <sheet name="Business Forecast" sheetId="5" state="visible" r:id="rId5"/>
    <sheet name="Dark Fiber Forecast" sheetId="6" state="visible" r:id="rId6"/>
    <sheet name="Consolidated Revenue" sheetId="7" state="visible" r:id="rId7"/>
    <sheet name="Scenario Analysis" sheetId="8" state="visible" r:id="rId8"/>
    <sheet name="Annual Summary" sheetId="9" state="visible" r:id="rId9"/>
    <sheet name="Margin Calculator" sheetId="10" state="visible" r:id="rId10"/>
    <sheet name="Data Dictionary" sheetId="11" state="visible" r:id="rId11"/>
  </sheets>
  <definedNames>
    <definedName name="_xlnm._FilterDatabase" localSheetId="1" hidden="1">'Key Assumptions'!$A$65:$T$90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$#,##0;($#,##0);&quot;-&quot;"/>
    <numFmt numFmtId="167" formatCode="yyyy-mm-dd"/>
    <numFmt numFmtId="168" formatCode="m/d/yyyy"/>
    <numFmt numFmtId="169" formatCode="$#,##0.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08080"/>
      <sz val="9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color rgb="00C00000"/>
      <sz val="8"/>
    </font>
    <font>
      <name val="Arial"/>
      <b val="1"/>
      <color rgb="00C00000"/>
      <sz val="9"/>
    </font>
    <font>
      <name val="Arial"/>
      <b val="1"/>
      <color rgb="00008000"/>
      <sz val="8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b val="1"/>
      <color rgb="00006100"/>
      <sz val="9"/>
    </font>
    <font>
      <name val="Arial"/>
      <b val="1"/>
      <color rgb="00C00000"/>
      <sz val="11"/>
    </font>
    <font>
      <name val="Arial"/>
      <b val="1"/>
      <color rgb="00008000"/>
      <sz val="11"/>
    </font>
    <font>
      <name val="Arial"/>
      <b val="1"/>
      <color rgb="00FFFFFF"/>
      <sz val="9"/>
    </font>
    <font>
      <name val="Arial"/>
      <b val="1"/>
      <color rgb="001F3864"/>
      <sz val="14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8EA9D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9DC3E6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1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166" fontId="15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16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6" fillId="10" borderId="1" applyAlignment="1" pivotButton="0" quotePrefix="0" xfId="0">
      <alignment horizontal="left" vertical="center" indent="1"/>
    </xf>
    <xf numFmtId="166" fontId="17" fillId="6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169" fontId="17" fillId="6" borderId="1" applyAlignment="1" pivotButton="0" quotePrefix="0" xfId="0">
      <alignment horizontal="center" vertical="center"/>
    </xf>
    <xf numFmtId="165" fontId="17" fillId="6" borderId="1" applyAlignment="1" pivotButton="0" quotePrefix="0" xfId="0">
      <alignment horizontal="center" vertical="center"/>
    </xf>
    <xf numFmtId="0" fontId="5" fillId="0" borderId="1" pivotButton="0" quotePrefix="0" xfId="0"/>
    <xf numFmtId="166" fontId="5" fillId="0" borderId="1" pivotButton="0" quotePrefix="0" xfId="0"/>
    <xf numFmtId="0" fontId="7" fillId="7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6" fillId="0" borderId="1" pivotButton="0" quotePrefix="0" xfId="0"/>
    <xf numFmtId="2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3" fillId="6" borderId="1" pivotButton="0" quotePrefix="0" xfId="0"/>
    <xf numFmtId="2" fontId="5" fillId="6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5" borderId="1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9" fontId="6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8" borderId="1" pivotButton="0" quotePrefix="0" xfId="0"/>
    <xf numFmtId="0" fontId="9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8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left" vertical="center"/>
    </xf>
    <xf numFmtId="1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8" fontId="4" fillId="9" borderId="1" applyAlignment="1" pivotButton="0" quotePrefix="0" xfId="0">
      <alignment horizontal="center" vertical="center"/>
    </xf>
    <xf numFmtId="166" fontId="4" fillId="9" borderId="1" applyAlignment="1" pivotButton="0" quotePrefix="0" xfId="0">
      <alignment horizontal="left" vertical="center"/>
    </xf>
    <xf numFmtId="165" fontId="4" fillId="9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10" fillId="0" borderId="1" pivotButton="0" quotePrefix="0" xfId="0"/>
    <xf numFmtId="166" fontId="5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1" applyAlignment="1" pivotButton="0" quotePrefix="0" xfId="0">
      <alignment horizontal="left" vertical="center"/>
    </xf>
    <xf numFmtId="17" fontId="7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6" fillId="0" borderId="1" pivotButton="0" quotePrefix="0" xfId="0"/>
    <xf numFmtId="164" fontId="5" fillId="0" borderId="1" pivotButton="0" quotePrefix="0" xfId="0"/>
    <xf numFmtId="164" fontId="3" fillId="6" borderId="1" pivotButton="0" quotePrefix="0" xfId="0"/>
    <xf numFmtId="164" fontId="3" fillId="0" borderId="1" pivotButton="0" quotePrefix="0" xfId="0"/>
    <xf numFmtId="166" fontId="3" fillId="6" borderId="1" pivotButton="0" quotePrefix="0" xfId="0"/>
    <xf numFmtId="166" fontId="3" fillId="0" borderId="1" pivotButton="0" quotePrefix="0" xfId="0"/>
    <xf numFmtId="169" fontId="5" fillId="0" borderId="1" pivotButton="0" quotePrefix="0" xfId="0"/>
    <xf numFmtId="169" fontId="3" fillId="6" borderId="1" pivotButton="0" quotePrefix="0" xfId="0"/>
    <xf numFmtId="17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5" fontId="5" fillId="0" borderId="1" pivotButton="0" quotePrefix="0" xfId="0"/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6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166" fontId="3" fillId="3" borderId="1" pivotButton="0" quotePrefix="0" xfId="0"/>
    <xf numFmtId="0" fontId="11" fillId="8" borderId="1" pivotButton="0" quotePrefix="0" xfId="0"/>
    <xf numFmtId="0" fontId="12" fillId="5" borderId="1" pivotButton="0" quotePrefix="0" xfId="0"/>
    <xf numFmtId="0" fontId="13" fillId="11" borderId="1" pivotButton="0" quotePrefix="0" xfId="0"/>
    <xf numFmtId="166" fontId="6" fillId="0" borderId="1" pivotButton="0" quotePrefix="0" xfId="0"/>
    <xf numFmtId="165" fontId="3" fillId="6" borderId="1" pivotButton="0" quotePrefix="0" xfId="0"/>
    <xf numFmtId="0" fontId="7" fillId="12" borderId="0" applyAlignment="1" pivotButton="0" quotePrefix="0" xfId="0">
      <alignment horizontal="left" vertical="center"/>
    </xf>
    <xf numFmtId="166" fontId="3" fillId="12" borderId="1" pivotButton="0" quotePrefix="0" xfId="0"/>
    <xf numFmtId="0" fontId="7" fillId="13" borderId="0" applyAlignment="1" pivotButton="0" quotePrefix="0" xfId="0">
      <alignment horizontal="left" vertical="center"/>
    </xf>
    <xf numFmtId="166" fontId="3" fillId="13" borderId="1" pivotButton="0" quotePrefix="0" xfId="0"/>
    <xf numFmtId="0" fontId="7" fillId="14" borderId="0" applyAlignment="1" pivotButton="0" quotePrefix="0" xfId="0">
      <alignment horizontal="left" vertical="center"/>
    </xf>
    <xf numFmtId="166" fontId="3" fillId="14" borderId="1" pivotButton="0" quotePrefix="0" xfId="0"/>
    <xf numFmtId="164" fontId="5" fillId="6" borderId="1" pivotButton="0" quotePrefix="0" xfId="0"/>
    <xf numFmtId="169" fontId="5" fillId="6" borderId="1" pivotButton="0" quotePrefix="0" xfId="0"/>
    <xf numFmtId="165" fontId="5" fillId="6" borderId="1" pivotButton="0" quotePrefix="0" xfId="0"/>
    <xf numFmtId="0" fontId="4" fillId="4" borderId="1" applyAlignment="1" pivotButton="0" quotePrefix="0" xfId="0">
      <alignment horizontal="left" vertical="top" wrapText="1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11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FFFFFF"/>
      </font>
      <fill>
        <patternFill patternType="solid">
          <fgColor rgb="00808080"/>
        </patternFill>
      </fill>
    </dxf>
    <dxf>
      <font>
        <color rgb="00006100"/>
      </font>
    </dxf>
    <dxf>
      <font>
        <color rgb="009C0006"/>
      </font>
    </dxf>
    <dxf>
      <font>
        <name val="Arial"/>
        <b val="1"/>
        <color rgb="00006100"/>
      </font>
    </dxf>
    <dxf>
      <font>
        <name val="Arial"/>
        <b val="1"/>
        <color rgb="009C0006"/>
      </font>
    </dxf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F2CC"/>
        </patternFill>
      </fill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Total Revenue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'Consolidated Revenue'!$B$3:$M$3</f>
            </numRef>
          </cat>
          <val>
            <numRef>
              <f>'Consolidated Revenue'!$B$33:$M$33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by Segment</a:t>
            </a:r>
          </a:p>
        </rich>
      </tx>
    </title>
    <plotArea>
      <barChart>
        <barDir val="col"/>
        <grouping val="stacked"/>
        <ser>
          <idx val="0"/>
          <order val="0"/>
          <spPr>
            <a:ln>
              <a:prstDash val="solid"/>
            </a:ln>
          </spPr>
          <cat>
            <numRef>
              <f>'Consolidated Revenue'!$B$3:$M$3</f>
            </numRef>
          </cat>
          <val>
            <numRef>
              <f>'Consolidated Revenue'!$B$10:$M$10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'Consolidated Revenue'!$B$3:$M$3</f>
            </numRef>
          </cat>
          <val>
            <numRef>
              <f>'Consolidated Revenue'!$B$16:$M$16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'Consolidated Revenue'!$B$3:$M$3</f>
            </numRef>
          </cat>
          <val>
            <numRef>
              <f>'Consolidated Revenue'!$B$23:$M$23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Residential Subscribers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'Consolidated Revenue'!$B$3:$M$3</f>
            </numRef>
          </cat>
          <val>
            <numRef>
              <f>'Residential Forecast'!$B$12:$M$12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Business Customers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'Consolidated Revenue'!$B$3:$M$3</f>
            </numRef>
          </cat>
          <val>
            <numRef>
              <f>'Business Forecast'!$B$13:$M$13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Mix by Segment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'Executive Dashboard'!$A$61:$A$64</f>
            </numRef>
          </cat>
          <val>
            <numRef>
              <f>'Executive Dashboard'!$B$61:$B$64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Revenue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'Executive Dashboard'!$A$65:$A$67</f>
            </numRef>
          </cat>
          <val>
            <numRef>
              <f>'Executive Dashboard'!$B$65:$B$67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Recurring Revenue (MRR)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'Consolidated Revenue'!$B$3:$M$3</f>
            </numRef>
          </cat>
          <val>
            <numRef>
              <f>'Consolidated Revenue'!$B$36:$M$36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RIVR Model</author>
  </authors>
  <commentList>
    <comment ref="B4" authorId="0" shapeId="0">
      <text>
        <t>Choose Base, Conservative, or Aggressive. This drives every forecast tab.</t>
      </text>
    </comment>
    <comment ref="B16" authorId="0" shapeId="0">
      <text>
        <t>CALIBRATED from H1 2026 actuals: residential broadband monthly revenue / residential ARPU. Reflects the H1 2026 run-rate; grow for expected H2 2026 net adds if desired.</t>
      </text>
    </comment>
    <comment ref="B17" authorId="0" shapeId="0">
      <text>
        <t>Recalibrated to ~1.5%/mo of the actuals-based subscriber base (was 250 on a placeholder 12,000 base). Adjust to management's growth plan.</t>
      </text>
    </comment>
    <comment ref="B18" authorId="0" shapeId="0">
      <text>
        <t>Monthly involuntary+voluntary disconnect rate applied to beginning subs.</t>
      </text>
    </comment>
    <comment ref="B21" authorId="0" shapeId="0">
      <text>
        <t>Average revenue per user per month.</t>
      </text>
    </comment>
    <comment ref="B22" authorId="0" shapeId="0">
      <text>
        <t>Month number the ARPU step increase takes effect.</t>
      </text>
    </comment>
    <comment ref="B29" authorId="0" shapeId="0">
      <text>
        <t>CALIBRATED: H1 2026 actual residential wifi + other monthly revenue.</t>
      </text>
    </comment>
    <comment ref="B30" authorId="0" shapeId="0">
      <text>
        <t>CALIBRATED: H1 2026 actual residential voice monthly revenue / residential subscribers.</t>
      </text>
    </comment>
    <comment ref="B31" authorId="0" shapeId="0">
      <text>
        <t>Average = use average of begin/end subs for recurring revenue. Beginning or Ending also available.</t>
      </text>
    </comment>
    <comment ref="B35" authorId="0" shapeId="0">
      <text>
        <t>CALIBRATED from H1 2026 actuals: business broadband monthly revenue / business ARPU.</t>
      </text>
    </comment>
    <comment ref="B36" authorId="0" shapeId="0">
      <text>
        <t>Recalibrated to the actuals-based business base.</t>
      </text>
    </comment>
    <comment ref="B45" authorId="0" shapeId="0">
      <text>
        <t>Not separately present in H1 2026 business actuals; set to 0. Add if planned.</t>
      </text>
    </comment>
    <comment ref="B47" authorId="0" shapeId="0">
      <text>
        <t>CALIBRATED: H1 2026 actual business voice monthly revenue / business customers.</t>
      </text>
    </comment>
    <comment ref="B48" authorId="0" shapeId="0">
      <text>
        <t>H1 2026 actuals do not separate enterprise/DIA; set to 0 so business broadband ARPU reflects the blended actual.</t>
      </text>
    </comment>
    <comment ref="B57" authorId="0" shapeId="0">
      <text>
        <t>H1 2026 actuals do not separate enterprise customers; set to 0.</t>
      </text>
    </comment>
    <comment ref="B60" authorId="0" shapeId="0">
      <text>
        <t>Used when a contract row leaves the IRU method blank. IRU accounting treatment MUST be reviewed by RIVR Tech's CFO and external accountant under ASC 606 / applicable GAAP.</t>
      </text>
    </comment>
    <comment ref="B93" authorId="0" shapeId="0">
      <text>
        <t>New recurring revenue from the Hoke County project, applied each month during 2027.</t>
      </text>
    </comment>
    <comment ref="B94" authorId="0" shapeId="0">
      <text>
        <t>Month the Hoke project revenue begins (1 = January 2027).</t>
      </text>
    </comment>
  </commentList>
</comments>
</file>

<file path=xl/comments/comment2.xml><?xml version="1.0" encoding="utf-8"?>
<comments xmlns="http://schemas.openxmlformats.org/spreadsheetml/2006/main">
  <authors>
    <author>RIVR Model</author>
  </authors>
  <commentList>
    <comment ref="B5" authorId="0" shapeId="0">
      <text>
        <t>Calibrated: H1 2026 Cost of Goods Sold as a % of operating revenue (annualized). Overwrite with a planning figure if desired.</t>
      </text>
    </comment>
    <comment ref="B7" authorId="0" shapeId="0">
      <text>
        <t>Calibrated from H1 2026 actual expenses (annualized = H1 x 2). Overwrite to enter a 2027 plan figure.</t>
      </text>
    </comment>
    <comment ref="B8" authorId="0" shapeId="0">
      <text>
        <t>Calibrated from H1 2026 actual expenses (annualized = H1 x 2). Overwrite to enter a 2027 plan figure.</t>
      </text>
    </comment>
    <comment ref="B9" authorId="0" shapeId="0">
      <text>
        <t>Calibrated from H1 2026 actual expenses (annualized = H1 x 2). Overwrite to enter a 2027 plan figure.</t>
      </text>
    </comment>
    <comment ref="B10" authorId="0" shapeId="0">
      <text>
        <t>Calibrated from H1 2026 actual expenses (annualized = H1 x 2). Overwrite to enter a 2027 plan figure.</t>
      </text>
    </comment>
    <comment ref="B11" authorId="0" shapeId="0">
      <text>
        <t>Calibrated from H1 2026 actual expenses (annualized = H1 x 2). Overwrite to enter a 2027 plan figure.</t>
      </text>
    </comment>
    <comment ref="B17" authorId="0" shapeId="0">
      <text>
        <t>Leave blank to use the forecast. Enter a number to test any revenue level.</t>
      </text>
    </comment>
    <comment ref="B29" authorId="0" shapeId="0">
      <text>
        <t>Enter the profit margin you want (e.g. 10%). The calculator returns the revenue needed to achieve it at the current cost structure.</t>
      </text>
    </comment>
    <comment ref="B36" authorId="0" shapeId="0">
      <text>
        <t>Alternatively, enter a target profit in dollars. Returns the revenue needed to hit that profit.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30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47</row>
      <rowOff>0</rowOff>
    </from>
    <ext cx="43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47</row>
      <rowOff>0</rowOff>
    </from>
    <ext cx="43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64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tabColor rgb="001F3864"/>
    <s:outlinePr summaryBelow="1" summaryRight="1"/>
    <s:pageSetUpPr fitToPage="1"/>
  </s:sheetPr>
  <s:dimension ref="A1:R67"/>
  <s:sheetViews>
    <s:sheetView showGridLines="0" workbookViewId="0">
      <s:pane ySplit="2" topLeftCell="A3" activePane="bottomLeft" state="frozen"/>
      <s:selection pane="bottomLeft" activeCell="A1" sqref="A1"/>
    </s:sheetView>
  </s:sheetViews>
  <s:sheetFormatPr baseColWidth="8" defaultRowHeight="15"/>
  <s:cols>
    <s:col width="3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  <s:col width="12" customWidth="1" min="15" max="15"/>
    <s:col width="12" customWidth="1" min="16" max="16"/>
    <s:col width="12" customWidth="1" min="17" max="17"/>
    <s:col width="12" customWidth="1" min="18" max="18"/>
  </s:cols>
  <s:sheetData>
    <s:row r="1" ht="30" customHeight="1">
      <s:c r="A1" s="1" t="inlineStr">
        <s:is>
          <s:t>RIVR TECH  —  2027 REVENUE FORECAST DASHBOARD</s:t>
        </s:is>
      </s:c>
    </s:row>
    <s:row r="2">
      <s:c r="A2" s="2" t="inlineStr">
        <s:is>
          <s:t>LREMC Technologies, LLC d/b/a RIVR Tech · Rural broadband &amp; fiber · Robeson, Hoke, Scotland, Cumberland &amp; surrounding NC counties</s:t>
        </s:is>
      </s:c>
    </s:row>
    <s:row r="3">
      <s:c r="B3" s="3" t="inlineStr">
        <s:is>
          <s:t>Active scenario:</s:t>
        </s:is>
      </s:c>
      <s:c r="C3" s="4" t="str">
        <s:f>'Key Assumptions'!$B$4</s:f>
        <s:v>Base</s:v>
      </s:c>
      <s:c r="F3" s="5" t="inlineStr">
        <s:is>
          <s:t>Hoke County project (2027):</s:t>
        </s:is>
      </s:c>
      <s:c r="H3" s="6">
        <s:f>'Consolidated Revenue'!N26</s:f>
        <s:v>684000</s:v>
      </s:c>
      <s:c r="J3" s="7" t="inlineStr">
        <s:is>
          <s:t>(calibrated to H1-2026 actuals)</s:t>
        </s:is>
      </s:c>
    </s:row>
    <s:row r="5">
      <s:c r="B5" s="8" t="inlineStr">
        <s:is>
          <s:t>2027 TOTAL REVENUE</s:t>
        </s:is>
      </s:c>
      <s:c r="C5" s="9" t="n"/>
      <s:c r="D5" s="9" t="n"/>
      <s:c r="E5" s="10" t="inlineStr">
        <s:is>
          <s:t>RESIDENTIAL REVENUE</s:t>
        </s:is>
      </s:c>
      <s:c r="F5" s="9" t="n"/>
      <s:c r="G5" s="9" t="n"/>
      <s:c r="H5" s="10" t="inlineStr">
        <s:is>
          <s:t>BUSINESS REVENUE</s:t>
        </s:is>
      </s:c>
      <s:c r="I5" s="9" t="n"/>
      <s:c r="J5" s="9" t="n"/>
      <s:c r="K5" s="10" t="inlineStr">
        <s:is>
          <s:t>DARK FIBER REVENUE</s:t>
        </s:is>
      </s:c>
      <s:c r="L5" s="9" t="n"/>
      <s:c r="M5" s="9" t="n"/>
      <s:c r="N5" s="8" t="inlineStr">
        <s:is>
          <s:t>DEC MRR</s:t>
        </s:is>
      </s:c>
      <s:c r="O5" s="9" t="n"/>
      <s:c r="P5" s="9" t="n"/>
    </s:row>
    <s:row r="6" ht="24" customHeight="1">
      <s:c r="B6" s="11">
        <s:f>'Consolidated Revenue'!N33</s:f>
        <s:v>5162584.2919</s:v>
      </s:c>
      <s:c r="C6" s="9" t="n"/>
      <s:c r="D6" s="9" t="n"/>
      <s:c r="E6" s="11">
        <s:f>'Consolidated Revenue'!N10</s:f>
        <s:v>3891845.9104</s:v>
      </s:c>
      <s:c r="F6" s="9" t="n"/>
      <s:c r="G6" s="9" t="n"/>
      <s:c r="H6" s="11">
        <s:f>'Consolidated Revenue'!N16</s:f>
        <s:v>567598.3815</s:v>
      </s:c>
      <s:c r="I6" s="9" t="n"/>
      <s:c r="J6" s="9" t="n"/>
      <s:c r="K6" s="11">
        <s:f>'Consolidated Revenue'!N23</s:f>
        <s:v>19140</s:v>
      </s:c>
      <s:c r="L6" s="9" t="n"/>
      <s:c r="M6" s="9" t="n"/>
      <s:c r="N6" s="11">
        <s:f>'Consolidated Revenue'!M36</s:f>
        <s:v>434711.5633333333</s:v>
      </s:c>
      <s:c r="O6" s="9" t="n"/>
      <s:c r="P6" s="9" t="n"/>
    </s:row>
    <s:row r="8">
      <s:c r="B8" s="8" t="inlineStr">
        <s:is>
          <s:t>DEC ARR RUN RATE</s:t>
        </s:is>
      </s:c>
      <s:c r="C8" s="9" t="n"/>
      <s:c r="D8" s="9" t="n"/>
      <s:c r="E8" s="10" t="inlineStr">
        <s:is>
          <s:t>ENDING RES SUBS</s:t>
        </s:is>
      </s:c>
      <s:c r="F8" s="9" t="n"/>
      <s:c r="G8" s="9" t="n"/>
      <s:c r="H8" s="10" t="inlineStr">
        <s:is>
          <s:t>ENDING BUS CUST</s:t>
        </s:is>
      </s:c>
      <s:c r="I8" s="9" t="n"/>
      <s:c r="J8" s="9" t="n"/>
      <s:c r="K8" s="10" t="inlineStr">
        <s:is>
          <s:t>ACTIVE DF CONTRACTS</s:t>
        </s:is>
      </s:c>
      <s:c r="L8" s="9" t="n"/>
      <s:c r="M8" s="9" t="n"/>
      <s:c r="N8" s="10" t="inlineStr">
        <s:is>
          <s:t>RES NET ADDS</s:t>
        </s:is>
      </s:c>
      <s:c r="O8" s="9" t="n"/>
      <s:c r="P8" s="9" t="n"/>
    </s:row>
    <s:row r="9" ht="24" customHeight="1">
      <s:c r="B9" s="11">
        <s:f>'Consolidated Revenue'!M37</s:f>
        <s:v>5216538.76</s:v>
      </s:c>
      <s:c r="C9" s="9" t="n"/>
      <s:c r="D9" s="9" t="n"/>
      <s:c r="E9" s="12">
        <s:f>'Residential Forecast'!M12</s:f>
        <s:v>4072</s:v>
      </s:c>
      <s:c r="F9" s="9" t="n"/>
      <s:c r="G9" s="9" t="n"/>
      <s:c r="H9" s="12">
        <s:f>'Business Forecast'!M13</s:f>
        <s:v>274</s:v>
      </s:c>
      <s:c r="I9" s="9" t="n"/>
      <s:c r="J9" s="9" t="n"/>
      <s:c r="K9" s="12">
        <s:f>COUNTIF('Dark Fiber Forecast'!AE8:AE32,"GREEN")+COUNTIF('Dark Fiber Forecast'!AE8:AE32,"YELLOW*")+COUNTIF('Dark Fiber Forecast'!AE8:AE32,"RED*")</s:f>
        <s:v>1</s:v>
      </s:c>
      <s:c r="L9" s="9" t="n"/>
      <s:c r="M9" s="9" t="n"/>
      <s:c r="N9" s="12">
        <s:f>'Residential Forecast'!M12-'Residential Forecast'!B6</s:f>
        <s:v>24</s:v>
      </s:c>
      <s:c r="O9" s="9" t="n"/>
      <s:c r="P9" s="9" t="n"/>
    </s:row>
    <s:row r="11">
      <s:c r="B11" s="10" t="inlineStr">
        <s:is>
          <s:t>BUS NET ADDS</s:t>
        </s:is>
      </s:c>
      <s:c r="C11" s="9" t="n"/>
      <s:c r="D11" s="9" t="n"/>
      <s:c r="E11" s="10" t="inlineStr">
        <s:is>
          <s:t>AVG RES ARPU</s:t>
        </s:is>
      </s:c>
      <s:c r="F11" s="9" t="n"/>
      <s:c r="G11" s="9" t="n"/>
      <s:c r="H11" s="10" t="inlineStr">
        <s:is>
          <s:t>AVG BUS ARPU</s:t>
        </s:is>
      </s:c>
      <s:c r="I11" s="9" t="n"/>
      <s:c r="J11" s="9" t="n"/>
      <s:c r="K11" s="10" t="inlineStr">
        <s:is>
          <s:t>RES CHURN %</s:t>
        </s:is>
      </s:c>
      <s:c r="L11" s="9" t="n"/>
      <s:c r="M11" s="9" t="n"/>
      <s:c r="N11" s="10" t="inlineStr">
        <s:is>
          <s:t>BUS CHURN %</s:t>
        </s:is>
      </s:c>
      <s:c r="O11" s="9" t="n"/>
      <s:c r="P11" s="9" t="n"/>
    </s:row>
    <s:row r="12" ht="24" customHeight="1">
      <s:c r="B12" s="12">
        <s:f>'Business Forecast'!M13-'Business Forecast'!B6</s:f>
        <s:v>25</s:v>
      </s:c>
      <s:c r="C12" s="9" t="n"/>
      <s:c r="D12" s="9" t="n"/>
      <s:c r="E12" s="13">
        <s:f>'Residential Forecast'!N28</s:f>
        <s:v>75.11000000000001</s:v>
      </s:c>
      <s:c r="F12" s="9" t="n"/>
      <s:c r="G12" s="9" t="n"/>
      <s:c r="H12" s="13">
        <s:f>'Business Forecast'!N39</s:f>
        <s:v>160.91500000000005</s:v>
      </s:c>
      <s:c r="I12" s="9" t="n"/>
      <s:c r="J12" s="9" t="n"/>
      <s:c r="K12" s="14">
        <s:f>'Key Assumptions'!$B$18*'Key Assumptions'!$C$12</s:f>
        <s:v>0.015</s:v>
      </s:c>
      <s:c r="L12" s="9" t="n"/>
      <s:c r="M12" s="9" t="n"/>
      <s:c r="N12" s="14">
        <s:f>'Key Assumptions'!$B$38*'Key Assumptions'!$F$12</s:f>
        <s:v>0.01</s:v>
      </s:c>
      <s:c r="O12" s="9" t="n"/>
      <s:c r="P12" s="9" t="n"/>
    </s:row>
    <s:row r="60">
      <s:c r="A60" s="7" t="inlineStr">
        <s:is>
          <s:t>Chart data (auto)</s:t>
        </s:is>
      </s:c>
    </s:row>
    <s:row r="61">
      <s:c r="A61" s="15" t="inlineStr">
        <s:is>
          <s:t>Residential</s:t>
        </s:is>
      </s:c>
      <s:c r="B61" s="16">
        <s:f>'Consolidated Revenue'!N10</s:f>
        <s:v>3891845.9104</s:v>
      </s:c>
    </s:row>
    <s:row r="62">
      <s:c r="A62" s="15" t="inlineStr">
        <s:is>
          <s:t>Business</s:t>
        </s:is>
      </s:c>
      <s:c r="B62" s="16">
        <s:f>'Consolidated Revenue'!N16</s:f>
        <s:v>567598.3815</s:v>
      </s:c>
    </s:row>
    <s:row r="63">
      <s:c r="A63" s="15" t="inlineStr">
        <s:is>
          <s:t>Dark Fiber</s:t>
        </s:is>
      </s:c>
      <s:c r="B63" s="16">
        <s:f>'Consolidated Revenue'!N23</s:f>
        <s:v>19140</s:v>
      </s:c>
    </s:row>
    <s:row r="64">
      <s:c r="A64" s="15" t="inlineStr">
        <s:is>
          <s:t>Project/Other</s:t>
        </s:is>
      </s:c>
      <s:c r="B64" s="16">
        <s:f>'Consolidated Revenue'!N26</s:f>
        <s:v>684000</s:v>
      </s:c>
    </s:row>
    <s:row r="65">
      <s:c r="A65" s="15" t="inlineStr">
        <s:is>
          <s:t>Conservative</s:t>
        </s:is>
      </s:c>
      <s:c r="B65" s="16">
        <s:f>'Scenario Analysis'!N19</s:f>
        <s:v>4901645.198197</s:v>
      </s:c>
    </s:row>
    <s:row r="66">
      <s:c r="A66" s="15" t="inlineStr">
        <s:is>
          <s:t>Base</s:t>
        </s:is>
      </s:c>
      <s:c r="B66" s="16">
        <s:f>'Scenario Analysis'!N35</s:f>
        <s:v>5162584.2919</s:v>
      </s:c>
    </s:row>
    <s:row r="67">
      <s:c r="A67" s="15" t="inlineStr">
        <s:is>
          <s:t>Aggressive</s:t>
        </s:is>
      </s:c>
      <s:c r="B67" s="16">
        <s:f>'Scenario Analysis'!N51</s:f>
        <s:v>5425057.860985001</s:v>
      </s:c>
    </s:row>
  </s:sheetData>
  <s:mergeCells count="32">
    <s:mergeCell ref="B11:D11"/>
    <s:mergeCell ref="B8:D8"/>
    <s:mergeCell ref="N5:P5"/>
    <s:mergeCell ref="E9:G9"/>
    <s:mergeCell ref="N8:P8"/>
    <s:mergeCell ref="K12:M12"/>
    <s:mergeCell ref="H11:J11"/>
    <s:mergeCell ref="E6:G6"/>
    <s:mergeCell ref="K8:M8"/>
    <s:mergeCell ref="E11:G11"/>
    <s:mergeCell ref="A2:R2"/>
    <s:mergeCell ref="B9:D9"/>
    <s:mergeCell ref="N9:P9"/>
    <s:mergeCell ref="H12:J12"/>
    <s:mergeCell ref="B6:D6"/>
    <s:mergeCell ref="N6:P6"/>
    <s:mergeCell ref="B5:D5"/>
    <s:mergeCell ref="K6:M6"/>
    <s:mergeCell ref="H5:J5"/>
    <s:mergeCell ref="H8:J8"/>
    <s:mergeCell ref="E12:G12"/>
    <s:mergeCell ref="N11:P11"/>
    <s:mergeCell ref="K9:M9"/>
    <s:mergeCell ref="E5:G5"/>
    <s:mergeCell ref="K5:M5"/>
    <s:mergeCell ref="E8:G8"/>
    <s:mergeCell ref="A1:R1"/>
    <s:mergeCell ref="H9:J9"/>
    <s:mergeCell ref="B12:D12"/>
    <s:mergeCell ref="N12:P12"/>
    <s:mergeCell ref="K11:M11"/>
    <s:mergeCell ref="H6:J6"/>
  </s:mergeCells>
  <s:pageMargins left="0.75" right="0.75" top="1" bottom="1" header="0.5" footer="0.5"/>
  <s:pageSetup orientation="landscape" fitToWidth="1"/>
  <s:drawing r:id="rId1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tabColor rgb="002E75B6"/>
    <s:outlinePr summaryBelow="1" summaryRight="1"/>
    <s:pageSetUpPr/>
  </s:sheetPr>
  <s:dimension ref="A1:V94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" customWidth="1" min="1" max="1"/>
    <s:col width="26" customWidth="1" min="2" max="2"/>
    <s:col width="20" customWidth="1" min="3" max="3"/>
    <s:col width="12" customWidth="1" min="4" max="4"/>
    <s:col width="26" customWidth="1" min="5" max="5"/>
    <s:col width="18" customWidth="1" min="6" max="6"/>
    <s:col width="12" customWidth="1" min="7" max="7"/>
    <s:col width="12" customWidth="1" min="8" max="8"/>
    <s:col width="12" customWidth="1" min="9" max="9"/>
    <s:col width="16" customWidth="1" min="10" max="10"/>
    <s:col width="13" customWidth="1" min="11" max="11"/>
    <s:col width="13" customWidth="1" min="12" max="12"/>
    <s:col width="16" customWidth="1" min="13" max="13"/>
    <s:col width="16" customWidth="1" min="14" max="14"/>
    <s:col width="16" customWidth="1" min="15" max="15"/>
    <s:col width="12" customWidth="1" min="16" max="16"/>
    <s:col width="20" customWidth="1" min="17" max="17"/>
    <s:col width="15" customWidth="1" min="18" max="18"/>
    <s:col width="12" customWidth="1" min="19" max="19"/>
    <s:col width="26" customWidth="1" min="20" max="20"/>
  </s:cols>
  <s:sheetData>
    <s:row r="1" ht="30" customHeight="1">
      <s:c r="A1" s="1" t="inlineStr">
        <s:is>
          <s:t>KEY ASSUMPTIONS  —  RIVR Tech 2027 Revenue Forecast</s:t>
        </s:is>
      </s:c>
    </s:row>
    <s:row r="2">
      <s:c r="A2" s="2" t="inlineStr">
        <s:is>
          <s:t>All blue cells are editable inputs. Yellow = key assumption / management input required. Do not overwrite grey formula cells.</s:t>
        </s:is>
      </s:c>
    </s:row>
    <s:row r="3">
      <s:c r="A3" s="17" t="inlineStr">
        <s:is>
          <s:t>SCENARIO SELECTION</s:t>
        </s:is>
      </s:c>
      <s:c r="L3" s="18" t="inlineStr">
        <s:is>
          <s:t>LEGEND</s:t>
        </s:is>
      </s:c>
    </s:row>
    <s:row r="4">
      <s:c r="A4" s="19" t="inlineStr">
        <s:is>
          <s:t>Active Scenario (select)</s:t>
        </s:is>
      </s:c>
      <s:c r="B4" s="20" t="inlineStr">
        <s:is>
          <s:t>Base</s:t>
        </s:is>
      </s:c>
      <s:c r="L4" s="21" t="inlineStr">
        <s:is>
          <s:t>Editable input</s:t>
        </s:is>
      </s:c>
    </s:row>
    <s:row r="5">
      <s:c r="A5" s="22" t="inlineStr">
        <s:is>
          <s:t>Scenario index (auto)</s:t>
        </s:is>
      </s:c>
      <s:c r="B5" s="23">
        <s:f>MATCH($B$4,$A$8:$A$10,0)</s:f>
        <s:v>1</s:v>
      </s:c>
      <s:c r="L5" s="24" t="inlineStr">
        <s:is>
          <s:t>Key assumption / fill-in</s:t>
        </s:is>
      </s:c>
    </s:row>
    <s:row r="6">
      <s:c r="L6" s="22" t="inlineStr">
        <s:is>
          <s:t>Calculated (do not edit)</s:t>
        </s:is>
      </s:c>
    </s:row>
    <s:row r="7">
      <s:c r="A7" s="25" t="inlineStr">
        <s:is>
          <s:t>Scenario</s:t>
        </s:is>
      </s:c>
      <s:c r="B7" s="25" t="inlineStr">
        <s:is>
          <s:t>Res Adds</s:t>
        </s:is>
      </s:c>
      <s:c r="C7" s="25" t="inlineStr">
        <s:is>
          <s:t>Res Churn</s:t>
        </s:is>
      </s:c>
      <s:c r="D7" s="25" t="inlineStr">
        <s:is>
          <s:t>Res ARPU</s:t>
        </s:is>
      </s:c>
      <s:c r="E7" s="25" t="inlineStr">
        <s:is>
          <s:t>Bus Adds</s:t>
        </s:is>
      </s:c>
      <s:c r="F7" s="25" t="inlineStr">
        <s:is>
          <s:t>Bus Churn</s:t>
        </s:is>
      </s:c>
      <s:c r="G7" s="25" t="inlineStr">
        <s:is>
          <s:t>Bus ARPU</s:t>
        </s:is>
      </s:c>
      <s:c r="H7" s="25" t="inlineStr">
        <s:is>
          <s:t>DF Recur</s:t>
        </s:is>
      </s:c>
      <s:c r="I7" s="25" t="inlineStr">
        <s:is>
          <s:t>DF Timing(mo)</s:t>
        </s:is>
      </s:c>
      <s:c r="J7" s="25" t="inlineStr">
        <s:is>
          <s:t>Install/Constr</s:t>
        </s:is>
      </s:c>
      <s:c r="L7" s="26" t="inlineStr">
        <s:is>
          <s:t>Cross-sheet link</s:t>
        </s:is>
      </s:c>
    </s:row>
    <s:row r="8">
      <s:c r="A8" s="21" t="inlineStr">
        <s:is>
          <s:t>Base</s:t>
        </s:is>
      </s:c>
      <s:c r="B8" s="27" t="n">
        <s:v>1</s:v>
      </s:c>
      <s:c r="C8" s="27" t="n">
        <s:v>1</s:v>
      </s:c>
      <s:c r="D8" s="27" t="n">
        <s:v>1</s:v>
      </s:c>
      <s:c r="E8" s="27" t="n">
        <s:v>1</s:v>
      </s:c>
      <s:c r="F8" s="27" t="n">
        <s:v>1</s:v>
      </s:c>
      <s:c r="G8" s="27" t="n">
        <s:v>1</s:v>
      </s:c>
      <s:c r="H8" s="27" t="n">
        <s:v>1</s:v>
      </s:c>
      <s:c r="I8" s="28" t="n">
        <s:v>0</s:v>
      </s:c>
      <s:c r="J8" s="27" t="n">
        <s:v>1</s:v>
      </s:c>
    </s:row>
    <s:row r="9">
      <s:c r="A9" s="21" t="inlineStr">
        <s:is>
          <s:t>Conservative</s:t>
        </s:is>
      </s:c>
      <s:c r="B9" s="27" t="n">
        <s:v>0.85</s:v>
      </s:c>
      <s:c r="C9" s="27" t="n">
        <s:v>1.2</s:v>
      </s:c>
      <s:c r="D9" s="27" t="n">
        <s:v>0.97</s:v>
      </s:c>
      <s:c r="E9" s="27" t="n">
        <s:v>0.85</s:v>
      </s:c>
      <s:c r="F9" s="27" t="n">
        <s:v>1.2</s:v>
      </s:c>
      <s:c r="G9" s="27" t="n">
        <s:v>0.97</s:v>
      </s:c>
      <s:c r="H9" s="27" t="n">
        <s:v>0.9</s:v>
      </s:c>
      <s:c r="I9" s="28" t="n">
        <s:v>1</s:v>
      </s:c>
      <s:c r="J9" s="27" t="n">
        <s:v>0.8</s:v>
      </s:c>
    </s:row>
    <s:row r="10">
      <s:c r="A10" s="21" t="inlineStr">
        <s:is>
          <s:t>Aggressive</s:t>
        </s:is>
      </s:c>
      <s:c r="B10" s="27" t="n">
        <s:v>1.15</s:v>
      </s:c>
      <s:c r="C10" s="27" t="n">
        <s:v>0.85</s:v>
      </s:c>
      <s:c r="D10" s="27" t="n">
        <s:v>1.03</s:v>
      </s:c>
      <s:c r="E10" s="27" t="n">
        <s:v>1.15</s:v>
      </s:c>
      <s:c r="F10" s="27" t="n">
        <s:v>0.85</s:v>
      </s:c>
      <s:c r="G10" s="27" t="n">
        <s:v>1.03</s:v>
      </s:c>
      <s:c r="H10" s="27" t="n">
        <s:v>1.1</s:v>
      </s:c>
      <s:c r="I10" s="28" t="n">
        <s:v>-1</s:v>
      </s:c>
      <s:c r="J10" s="27" t="n">
        <s:v>1.2</s:v>
      </s:c>
    </s:row>
    <s:row r="12">
      <s:c r="A12" s="29" t="inlineStr">
        <s:is>
          <s:t>ACTIVE MULTIPLIERS (auto)</s:t>
        </s:is>
      </s:c>
      <s:c r="B12" s="30">
        <s:f>INDEX(B8:B10,$B$5)</s:f>
        <s:v>1</s:v>
      </s:c>
      <s:c r="C12" s="30">
        <s:f>INDEX(C8:C10,$B$5)</s:f>
        <s:v>1</s:v>
      </s:c>
      <s:c r="D12" s="30">
        <s:f>INDEX(D8:D10,$B$5)</s:f>
        <s:v>1</s:v>
      </s:c>
      <s:c r="E12" s="30">
        <s:f>INDEX(E8:E10,$B$5)</s:f>
        <s:v>1</s:v>
      </s:c>
      <s:c r="F12" s="30">
        <s:f>INDEX(F8:F10,$B$5)</s:f>
        <s:v>1</s:v>
      </s:c>
      <s:c r="G12" s="30">
        <s:f>INDEX(G8:G10,$B$5)</s:f>
        <s:v>1</s:v>
      </s:c>
      <s:c r="H12" s="30">
        <s:f>INDEX(H8:H10,$B$5)</s:f>
        <s:v>1</s:v>
      </s:c>
      <s:c r="I12" s="31">
        <s:f>INDEX(I8:I10,$B$5)</s:f>
        <s:v>0</s:v>
      </s:c>
      <s:c r="J12" s="30">
        <s:f>INDEX(J8:J10,$B$5)</s:f>
        <s:v>1</s:v>
      </s:c>
    </s:row>
    <s:row r="14">
      <s:c r="A14" s="17" t="inlineStr">
        <s:is>
          <s:t>RESIDENTIAL ASSUMPTIONS</s:t>
        </s:is>
      </s:c>
    </s:row>
    <s:row r="16">
      <s:c r="A16" s="15" t="inlineStr">
        <s:is>
          <s:t>Beginning residential subscribers (12/31/2026)</s:t>
        </s:is>
      </s:c>
      <s:c r="B16" s="32">
        <s:f>ROUND('2026 Actuals (H1)'!E6/B21,0)</s:f>
        <s:v>4048</s:v>
      </s:c>
      <s:c r="C16" s="33" t="inlineStr">
        <s:is>
          <s:t>← calibrated from actuals</s:t>
        </s:is>
      </s:c>
    </s:row>
    <s:row r="17">
      <s:c r="A17" s="15" t="inlineStr">
        <s:is>
          <s:t>Monthly gross additions</s:t>
        </s:is>
      </s:c>
      <s:c r="B17" s="34" t="n">
        <s:v>60</s:v>
      </s:c>
    </s:row>
    <s:row r="18">
      <s:c r="A18" s="15" t="inlineStr">
        <s:is>
          <s:t>Monthly churn %</s:t>
        </s:is>
      </s:c>
      <s:c r="B18" s="35" t="n">
        <s:v>0.015</s:v>
      </s:c>
    </s:row>
    <s:row r="19">
      <s:c r="A19" s="15" t="inlineStr">
        <s:is>
          <s:t>Monthly other disconnects (non-churn)</s:t>
        </s:is>
      </s:c>
      <s:c r="B19" s="34" t="n">
        <s:v>5</s:v>
      </s:c>
    </s:row>
    <s:row r="20">
      <s:c r="A20" s="15" t="inlineStr">
        <s:is>
          <s:t>Monthly reconnects</s:t>
        </s:is>
      </s:c>
      <s:c r="B20" s="34" t="n">
        <s:v>8</s:v>
      </s:c>
    </s:row>
    <s:row r="21">
      <s:c r="A21" s="15" t="inlineStr">
        <s:is>
          <s:t>Residential ARPU ($/mo)</s:t>
        </s:is>
      </s:c>
      <s:c r="B21" s="36" t="n">
        <s:v>74</s:v>
      </s:c>
    </s:row>
    <s:row r="22">
      <s:c r="A22" s="15" t="inlineStr">
        <s:is>
          <s:t>ARPU increase month (1-12)</s:t>
        </s:is>
      </s:c>
      <s:c r="B22" s="28" t="n">
        <s:v>7</s:v>
      </s:c>
    </s:row>
    <s:row r="23">
      <s:c r="A23" s="15" t="inlineStr">
        <s:is>
          <s:t>ARPU increase %</s:t>
        </s:is>
      </s:c>
      <s:c r="B23" s="35" t="n">
        <s:v>0.03</s:v>
      </s:c>
    </s:row>
    <s:row r="24">
      <s:c r="A24" s="15" t="inlineStr">
        <s:is>
          <s:t>Installation revenue per new customer</s:t>
        </s:is>
      </s:c>
      <s:c r="B24" s="36" t="n">
        <s:v>99</s:v>
      </s:c>
    </s:row>
    <s:row r="25">
      <s:c r="A25" s="15" t="inlineStr">
        <s:is>
          <s:t>Upgrade revenue per customer</s:t>
        </s:is>
      </s:c>
      <s:c r="B25" s="36" t="n">
        <s:v>25</s:v>
      </s:c>
    </s:row>
    <s:row r="26">
      <s:c r="A26" s="15" t="inlineStr">
        <s:is>
          <s:t>% customers purchasing upgrades (monthly)</s:t>
        </s:is>
      </s:c>
      <s:c r="B26" s="35" t="n">
        <s:v>0.02</s:v>
      </s:c>
    </s:row>
    <s:row r="27">
      <s:c r="A27" s="15" t="inlineStr">
        <s:is>
          <s:t>Promotional discount % of recurring</s:t>
        </s:is>
      </s:c>
      <s:c r="B27" s="35" t="n">
        <s:v>0.02</s:v>
      </s:c>
    </s:row>
    <s:row r="28">
      <s:c r="A28" s="15" t="inlineStr">
        <s:is>
          <s:t>Bad-debt / collection adj % of gross</s:t>
        </s:is>
      </s:c>
      <s:c r="B28" s="35" t="n">
        <s:v>0.01</s:v>
      </s:c>
    </s:row>
    <s:row r="29">
      <s:c r="A29" s="15" t="inlineStr">
        <s:is>
          <s:t>Other residential revenue ($/mo, fixed)</s:t>
        </s:is>
      </s:c>
      <s:c r="B29" s="37">
        <s:f>'2026 Actuals (H1)'!E8+'2026 Actuals (H1)'!E9</s:f>
        <s:v>13305.833333333332</s:v>
      </s:c>
    </s:row>
    <s:row r="30">
      <s:c r="A30" s="15" t="inlineStr">
        <s:is>
          <s:t>Voice / additional svc revenue ($/cust/mo)</s:t>
        </s:is>
      </s:c>
      <s:c r="B30" s="38">
        <s:f>ROUND('2026 Actuals (H1)'!E7/B16,2)</s:f>
        <s:v>1.96</s:v>
      </s:c>
    </s:row>
    <s:row r="31">
      <s:c r="A31" s="15" t="inlineStr">
        <s:is>
          <s:t>Revenue recognition convention</s:t>
        </s:is>
      </s:c>
      <s:c r="B31" s="39" t="inlineStr">
        <s:is>
          <s:t>Average</s:t>
        </s:is>
      </s:c>
    </s:row>
    <s:row r="33">
      <s:c r="A33" s="17" t="inlineStr">
        <s:is>
          <s:t>BUSINESS ASSUMPTIONS</s:t>
        </s:is>
      </s:c>
    </s:row>
    <s:row r="35">
      <s:c r="A35" s="15" t="inlineStr">
        <s:is>
          <s:t>Beginning business customers (12/31/2026)</s:t>
        </s:is>
      </s:c>
      <s:c r="B35" s="32">
        <s:f>ROUND('2026 Actuals (H1)'!E13/B41,0)</s:f>
        <s:v>249</s:v>
      </s:c>
      <s:c r="C35" s="33" t="inlineStr">
        <s:is>
          <s:t>← calibrated from actuals</s:t>
        </s:is>
      </s:c>
    </s:row>
    <s:row r="36">
      <s:c r="A36" s="15" t="inlineStr">
        <s:is>
          <s:t>Monthly gross additions - small business</s:t>
        </s:is>
      </s:c>
      <s:c r="B36" s="34" t="n">
        <s:v>4</s:v>
      </s:c>
    </s:row>
    <s:row r="37">
      <s:c r="A37" s="15" t="inlineStr">
        <s:is>
          <s:t>Monthly gross additions - enterprise</s:t>
        </s:is>
      </s:c>
      <s:c r="B37" s="34" t="n">
        <s:v>1</s:v>
      </s:c>
    </s:row>
    <s:row r="38">
      <s:c r="A38" s="15" t="inlineStr">
        <s:is>
          <s:t>Monthly churn %</s:t>
        </s:is>
      </s:c>
      <s:c r="B38" s="35" t="n">
        <s:v>0.01</s:v>
      </s:c>
    </s:row>
    <s:row r="39">
      <s:c r="A39" s="15" t="inlineStr">
        <s:is>
          <s:t>Monthly other disconnects (non-churn)</s:t>
        </s:is>
      </s:c>
      <s:c r="B39" s="34" t="n">
        <s:v>2</s:v>
      </s:c>
    </s:row>
    <s:row r="40">
      <s:c r="A40" s="15" t="inlineStr">
        <s:is>
          <s:t>Monthly reconnects</s:t>
        </s:is>
      </s:c>
      <s:c r="B40" s="34" t="n">
        <s:v>2</s:v>
      </s:c>
    </s:row>
    <s:row r="41">
      <s:c r="A41" s="15" t="inlineStr">
        <s:is>
          <s:t>Business ARPU ($/mo)</s:t>
        </s:is>
      </s:c>
      <s:c r="B41" s="36" t="n">
        <s:v>149</s:v>
      </s:c>
    </s:row>
    <s:row r="42">
      <s:c r="A42" s="15" t="inlineStr">
        <s:is>
          <s:t>ARPU increase month (1-12)</s:t>
        </s:is>
      </s:c>
      <s:c r="B42" s="28" t="n">
        <s:v>7</s:v>
      </s:c>
    </s:row>
    <s:row r="43">
      <s:c r="A43" s="15" t="inlineStr">
        <s:is>
          <s:t>ARPU increase %</s:t>
        </s:is>
      </s:c>
      <s:c r="B43" s="35" t="n">
        <s:v>0.03</s:v>
      </s:c>
    </s:row>
    <s:row r="44">
      <s:c r="A44" s="15" t="inlineStr">
        <s:is>
          <s:t>Installation &amp; construction rev per new cust</s:t>
        </s:is>
      </s:c>
      <s:c r="B44" s="36" t="n">
        <s:v>500</s:v>
      </s:c>
    </s:row>
    <s:row r="45">
      <s:c r="A45" s="15" t="inlineStr">
        <s:is>
          <s:t>Static IP revenue ($/cust/mo)</s:t>
        </s:is>
      </s:c>
      <s:c r="B45" s="36" t="n">
        <s:v>0</s:v>
      </s:c>
    </s:row>
    <s:row r="46">
      <s:c r="A46" s="15" t="inlineStr">
        <s:is>
          <s:t>Managed Wi-Fi / router rev ($/cust/mo)</s:t>
        </s:is>
      </s:c>
      <s:c r="B46" s="36" t="n">
        <s:v>0</s:v>
      </s:c>
    </s:row>
    <s:row r="47">
      <s:c r="A47" s="15" t="inlineStr">
        <s:is>
          <s:t>Voice revenue ($/cust/mo)</s:t>
        </s:is>
      </s:c>
      <s:c r="B47" s="38">
        <s:f>ROUND('2026 Actuals (H1)'!E14/B35,2)</s:f>
        <s:v>9.68</s:v>
      </s:c>
    </s:row>
    <s:row r="48">
      <s:c r="A48" s="15" t="inlineStr">
        <s:is>
          <s:t>Enterprise / DIA revenue ($/ent cust/mo)</s:t>
        </s:is>
      </s:c>
      <s:c r="B48" s="36" t="n">
        <s:v>0</s:v>
      </s:c>
    </s:row>
    <s:row r="49">
      <s:c r="A49" s="15" t="inlineStr">
        <s:is>
          <s:t>Other business recurring rev ($/cust/mo)</s:t>
        </s:is>
      </s:c>
      <s:c r="B49" s="36" t="n">
        <s:v>0</s:v>
      </s:c>
    </s:row>
    <s:row r="50">
      <s:c r="A50" s="15" t="inlineStr">
        <s:is>
          <s:t>Aid-to-construction rev per new cust</s:t>
        </s:is>
      </s:c>
      <s:c r="B50" s="36" t="n">
        <s:v>250</s:v>
      </s:c>
    </s:row>
    <s:row r="51">
      <s:c r="A51" s="15" t="inlineStr">
        <s:is>
          <s:t>Activation charge per new cust</s:t>
        </s:is>
      </s:c>
      <s:c r="B51" s="36" t="n">
        <s:v>100</s:v>
      </s:c>
    </s:row>
    <s:row r="52">
      <s:c r="A52" s="15" t="inlineStr">
        <s:is>
          <s:t>Professional services ($/mo, fixed)</s:t>
        </s:is>
      </s:c>
      <s:c r="B52" s="36" t="n">
        <s:v>1500</s:v>
      </s:c>
    </s:row>
    <s:row r="53">
      <s:c r="A53" s="15" t="inlineStr">
        <s:is>
          <s:t>Other nonrecurring ($/mo, fixed)</s:t>
        </s:is>
      </s:c>
      <s:c r="B53" s="36" t="n">
        <s:v>500</s:v>
      </s:c>
    </s:row>
    <s:row r="54">
      <s:c r="A54" s="15" t="inlineStr">
        <s:is>
          <s:t>Promotional discount % of recurring</s:t>
        </s:is>
      </s:c>
      <s:c r="B54" s="35" t="n">
        <s:v>0.015</s:v>
      </s:c>
    </s:row>
    <s:row r="55">
      <s:c r="A55" s="15" t="inlineStr">
        <s:is>
          <s:t>Bad-debt adjustment % of gross</s:t>
        </s:is>
      </s:c>
      <s:c r="B55" s="35" t="n">
        <s:v>0.01</s:v>
      </s:c>
    </s:row>
    <s:row r="56">
      <s:c r="A56" s="15" t="inlineStr">
        <s:is>
          <s:t>Revenue recognition convention</s:t>
        </s:is>
      </s:c>
      <s:c r="B56" s="39" t="inlineStr">
        <s:is>
          <s:t>Average</s:t>
        </s:is>
      </s:c>
    </s:row>
    <s:row r="57">
      <s:c r="A57" s="15" t="inlineStr">
        <s:is>
          <s:t>Beginning enterprise customers (subset)</s:t>
        </s:is>
      </s:c>
      <s:c r="B57" s="34" t="n">
        <s:v>0</s:v>
      </s:c>
      <s:c r="C57" s="40" t="inlineStr">
        <s:is>
          <s:t>PLACEHOLDER—UPDATE REQUIRED</s:t>
        </s:is>
      </s:c>
    </s:row>
    <s:row r="59">
      <s:c r="A59" s="17" t="inlineStr">
        <s:is>
          <s:t>DARK FIBER GLOBAL ASSUMPTIONS</s:t>
        </s:is>
      </s:c>
    </s:row>
    <s:row r="60">
      <s:c r="A60" s="15" t="inlineStr">
        <s:is>
          <s:t>Default IRU recognition method</s:t>
        </s:is>
      </s:c>
      <s:c r="B60" s="20" t="inlineStr">
        <s:is>
          <s:t>Straight-line</s:t>
        </s:is>
      </s:c>
    </s:row>
    <s:row r="61">
      <s:c r="A61" s="15" t="inlineStr">
        <s:is>
          <s:t>Default O&amp;M revenue % of MRC (if blank)</s:t>
        </s:is>
      </s:c>
      <s:c r="B61" s="35" t="n">
        <s:v>0.1</s:v>
      </s:c>
    </s:row>
    <s:row r="62">
      <s:c r="A62" s="41" t="inlineStr">
        <s:is>
          <s:t>IRU ACCOUNTING — CFO / ACCOUNTANT REVIEW REQUIRED</s:t>
        </s:is>
      </s:c>
    </s:row>
    <s:row r="64">
      <s:c r="A64" s="17" t="inlineStr">
        <s:is>
          <s:t>DARK FIBER CONTRACTS (feeds Dark Fiber Forecast automatically by start/end date)</s:t>
        </s:is>
      </s:c>
      <s:c r="V64" s="42" t="inlineStr">
        <s:is>
          <s:t>All contract rows above are PLACEHOLDER—UPDATE REQUIRED. Replace with RIVR Tech's actual dark fiber agreements.</s:t>
        </s:is>
      </s:c>
    </s:row>
    <s:row r="65" ht="40" customHeight="1">
      <s:c r="A65" s="43" t="inlineStr">
        <s:is>
          <s:t>#</s:t>
        </s:is>
      </s:c>
      <s:c r="B65" s="43" t="inlineStr">
        <s:is>
          <s:t>Customer / Contract Name</s:t>
        </s:is>
      </s:c>
      <s:c r="C65" s="43" t="inlineStr">
        <s:is>
          <s:t>Contract Type</s:t>
        </s:is>
      </s:c>
      <s:c r="D65" s="43" t="inlineStr">
        <s:is>
          <s:t>Status</s:t>
        </s:is>
      </s:c>
      <s:c r="E65" s="43" t="inlineStr">
        <s:is>
          <s:t>Service Description</s:t>
        </s:is>
      </s:c>
      <s:c r="F65" s="43" t="inlineStr">
        <s:is>
          <s:t>County / Route</s:t>
        </s:is>
      </s:c>
      <s:c r="G65" s="43" t="inlineStr">
        <s:is>
          <s:t>Strands / Pairs</s:t>
        </s:is>
      </s:c>
      <s:c r="H65" s="43" t="inlineStr">
        <s:is>
          <s:t>Start Date</s:t>
        </s:is>
      </s:c>
      <s:c r="I65" s="43" t="inlineStr">
        <s:is>
          <s:t>End Date</s:t>
        </s:is>
      </s:c>
      <s:c r="J65" s="43" t="inlineStr">
        <s:is>
          <s:t>Monthly Recurring Charge</s:t>
        </s:is>
      </s:c>
      <s:c r="K65" s="43" t="inlineStr">
        <s:is>
          <s:t>Annual Escalation %</s:t>
        </s:is>
      </s:c>
      <s:c r="L65" s="43" t="inlineStr">
        <s:is>
          <s:t>Escalation Date</s:t>
        </s:is>
      </s:c>
      <s:c r="M65" s="43" t="inlineStr">
        <s:is>
          <s:t>One-time Construction</s:t>
        </s:is>
      </s:c>
      <s:c r="N65" s="43" t="inlineStr">
        <s:is>
          <s:t>One-time Activation</s:t>
        </s:is>
      </s:c>
      <s:c r="O65" s="43" t="inlineStr">
        <s:is>
          <s:t>IRU Upfront Payment</s:t>
        </s:is>
      </s:c>
      <s:c r="P65" s="43" t="inlineStr">
        <s:is>
          <s:t>IRU Term (yrs)</s:t>
        </s:is>
      </s:c>
      <s:c r="Q65" s="43" t="inlineStr">
        <s:is>
          <s:t>IRU Recognition Method</s:t>
        </s:is>
      </s:c>
      <s:c r="R65" s="43" t="inlineStr">
        <s:is>
          <s:t>O&amp;M Revenue ($/mo)</s:t>
        </s:is>
      </s:c>
      <s:c r="S65" s="43" t="inlineStr">
        <s:is>
          <s:t>Renewal Prob %</s:t>
        </s:is>
      </s:c>
      <s:c r="T65" s="43" t="inlineStr">
        <s:is>
          <s:t>Notes</s:t>
        </s:is>
      </s:c>
    </s:row>
    <s:row r="66">
      <s:c r="A66" s="28" t="n">
        <s:v>1</s:v>
      </s:c>
      <s:c r="B66" s="44" t="inlineStr">
        <s:is>
          <s:t>PLACEHOLDER — Current dark fiber book (H1 2026 run-rate)</s:t>
        </s:is>
      </s:c>
      <s:c r="C66" s="44" t="inlineStr">
        <s:is>
          <s:t>Monthly dark fiber lease</s:t>
        </s:is>
      </s:c>
      <s:c r="D66" s="44" t="inlineStr">
        <s:is>
          <s:t>Active</s:t>
        </s:is>
      </s:c>
      <s:c r="E66" s="44" t="inlineStr">
        <s:is>
          <s:t>Aggregate of existing DF leases — split into real contracts</s:t>
        </s:is>
      </s:c>
      <s:c r="F66" s="44" t="inlineStr">
        <s:is>
          <s:t>Multiple</s:t>
        </s:is>
      </s:c>
      <s:c r="G66" s="28" t="n">
        <s:v>0</s:v>
      </s:c>
      <s:c r="H66" s="45" t="n">
        <s:v>45292</s:v>
      </s:c>
      <s:c r="I66" s="45" t="n">
        <s:v>47848</s:v>
      </s:c>
      <s:c r="J66" s="46" t="n">
        <s:v>1595</s:v>
      </s:c>
      <s:c r="K66" s="35" t="n">
        <s:v>0</s:v>
      </s:c>
      <s:c r="L66" s="45" t="n">
        <s:v>46388</s:v>
      </s:c>
      <s:c r="M66" s="46" t="n">
        <s:v>0</s:v>
      </s:c>
      <s:c r="N66" s="46" t="n">
        <s:v>0</s:v>
      </s:c>
      <s:c r="O66" s="46" t="n">
        <s:v>0</s:v>
      </s:c>
      <s:c r="P66" s="28" t="n">
        <s:v>0</s:v>
      </s:c>
      <s:c r="Q66" s="44" t="inlineStr">
        <s:is>
          <s:t>None</s:t>
        </s:is>
      </s:c>
      <s:c r="R66" s="46" t="n">
        <s:v>0</s:v>
      </s:c>
      <s:c r="S66" s="35" t="n">
        <s:v>0.8</s:v>
      </s:c>
      <s:c r="T66" s="44" t="inlineStr">
        <s:is>
          <s:t>Set to the H1 2026 actual DF run-rate ($1,595/mo). Replace with individual real contracts; the IRU / escalation / expiration engine below will then activate.</s:t>
        </s:is>
      </s:c>
    </s:row>
    <s:row r="67">
      <s:c r="A67" s="47" t="n">
        <s:v>2</s:v>
      </s:c>
      <s:c r="B67" s="48" t="n"/>
      <s:c r="C67" s="48" t="n"/>
      <s:c r="D67" s="48" t="n"/>
      <s:c r="E67" s="48" t="n"/>
      <s:c r="F67" s="48" t="n"/>
      <s:c r="G67" s="47" t="n"/>
      <s:c r="H67" s="49" t="n"/>
      <s:c r="I67" s="49" t="n"/>
      <s:c r="J67" s="50" t="n"/>
      <s:c r="K67" s="51" t="n"/>
      <s:c r="L67" s="49" t="n"/>
      <s:c r="M67" s="50" t="n"/>
      <s:c r="N67" s="50" t="n"/>
      <s:c r="O67" s="50" t="n"/>
      <s:c r="P67" s="47" t="n"/>
      <s:c r="Q67" s="48" t="n"/>
      <s:c r="R67" s="50" t="n"/>
      <s:c r="S67" s="51" t="n"/>
      <s:c r="T67" s="48" t="n"/>
    </s:row>
    <s:row r="68">
      <s:c r="A68" s="47" t="n">
        <s:v>3</s:v>
      </s:c>
      <s:c r="B68" s="48" t="n"/>
      <s:c r="C68" s="48" t="n"/>
      <s:c r="D68" s="48" t="n"/>
      <s:c r="E68" s="48" t="n"/>
      <s:c r="F68" s="48" t="n"/>
      <s:c r="G68" s="47" t="n"/>
      <s:c r="H68" s="49" t="n"/>
      <s:c r="I68" s="49" t="n"/>
      <s:c r="J68" s="50" t="n"/>
      <s:c r="K68" s="51" t="n"/>
      <s:c r="L68" s="49" t="n"/>
      <s:c r="M68" s="50" t="n"/>
      <s:c r="N68" s="50" t="n"/>
      <s:c r="O68" s="50" t="n"/>
      <s:c r="P68" s="47" t="n"/>
      <s:c r="Q68" s="48" t="n"/>
      <s:c r="R68" s="50" t="n"/>
      <s:c r="S68" s="51" t="n"/>
      <s:c r="T68" s="48" t="n"/>
    </s:row>
    <s:row r="69">
      <s:c r="A69" s="47" t="n">
        <s:v>4</s:v>
      </s:c>
      <s:c r="B69" s="48" t="n"/>
      <s:c r="C69" s="48" t="n"/>
      <s:c r="D69" s="48" t="n"/>
      <s:c r="E69" s="48" t="n"/>
      <s:c r="F69" s="48" t="n"/>
      <s:c r="G69" s="47" t="n"/>
      <s:c r="H69" s="49" t="n"/>
      <s:c r="I69" s="49" t="n"/>
      <s:c r="J69" s="50" t="n"/>
      <s:c r="K69" s="51" t="n"/>
      <s:c r="L69" s="49" t="n"/>
      <s:c r="M69" s="50" t="n"/>
      <s:c r="N69" s="50" t="n"/>
      <s:c r="O69" s="50" t="n"/>
      <s:c r="P69" s="47" t="n"/>
      <s:c r="Q69" s="48" t="n"/>
      <s:c r="R69" s="50" t="n"/>
      <s:c r="S69" s="51" t="n"/>
      <s:c r="T69" s="48" t="n"/>
    </s:row>
    <s:row r="70">
      <s:c r="A70" s="47" t="n">
        <s:v>5</s:v>
      </s:c>
      <s:c r="B70" s="48" t="n"/>
      <s:c r="C70" s="48" t="n"/>
      <s:c r="D70" s="48" t="n"/>
      <s:c r="E70" s="48" t="n"/>
      <s:c r="F70" s="48" t="n"/>
      <s:c r="G70" s="47" t="n"/>
      <s:c r="H70" s="49" t="n"/>
      <s:c r="I70" s="49" t="n"/>
      <s:c r="J70" s="50" t="n"/>
      <s:c r="K70" s="51" t="n"/>
      <s:c r="L70" s="49" t="n"/>
      <s:c r="M70" s="50" t="n"/>
      <s:c r="N70" s="50" t="n"/>
      <s:c r="O70" s="50" t="n"/>
      <s:c r="P70" s="47" t="n"/>
      <s:c r="Q70" s="48" t="n"/>
      <s:c r="R70" s="50" t="n"/>
      <s:c r="S70" s="51" t="n"/>
      <s:c r="T70" s="48" t="n"/>
    </s:row>
    <s:row r="71">
      <s:c r="A71" s="47" t="n">
        <s:v>6</s:v>
      </s:c>
      <s:c r="B71" s="48" t="n"/>
      <s:c r="C71" s="48" t="n"/>
      <s:c r="D71" s="48" t="n"/>
      <s:c r="E71" s="48" t="n"/>
      <s:c r="F71" s="48" t="n"/>
      <s:c r="G71" s="47" t="n"/>
      <s:c r="H71" s="49" t="n"/>
      <s:c r="I71" s="49" t="n"/>
      <s:c r="J71" s="50" t="n"/>
      <s:c r="K71" s="51" t="n"/>
      <s:c r="L71" s="49" t="n"/>
      <s:c r="M71" s="50" t="n"/>
      <s:c r="N71" s="50" t="n"/>
      <s:c r="O71" s="50" t="n"/>
      <s:c r="P71" s="47" t="n"/>
      <s:c r="Q71" s="48" t="n"/>
      <s:c r="R71" s="50" t="n"/>
      <s:c r="S71" s="51" t="n"/>
      <s:c r="T71" s="48" t="n"/>
    </s:row>
    <s:row r="72">
      <s:c r="A72" s="47" t="n">
        <s:v>7</s:v>
      </s:c>
      <s:c r="B72" s="48" t="n"/>
      <s:c r="C72" s="48" t="n"/>
      <s:c r="D72" s="48" t="n"/>
      <s:c r="E72" s="48" t="n"/>
      <s:c r="F72" s="48" t="n"/>
      <s:c r="G72" s="47" t="n"/>
      <s:c r="H72" s="49" t="n"/>
      <s:c r="I72" s="49" t="n"/>
      <s:c r="J72" s="50" t="n"/>
      <s:c r="K72" s="51" t="n"/>
      <s:c r="L72" s="49" t="n"/>
      <s:c r="M72" s="50" t="n"/>
      <s:c r="N72" s="50" t="n"/>
      <s:c r="O72" s="50" t="n"/>
      <s:c r="P72" s="47" t="n"/>
      <s:c r="Q72" s="48" t="n"/>
      <s:c r="R72" s="50" t="n"/>
      <s:c r="S72" s="51" t="n"/>
      <s:c r="T72" s="48" t="n"/>
    </s:row>
    <s:row r="73">
      <s:c r="A73" s="47" t="n">
        <s:v>8</s:v>
      </s:c>
      <s:c r="B73" s="48" t="n"/>
      <s:c r="C73" s="48" t="n"/>
      <s:c r="D73" s="48" t="n"/>
      <s:c r="E73" s="48" t="n"/>
      <s:c r="F73" s="48" t="n"/>
      <s:c r="G73" s="47" t="n"/>
      <s:c r="H73" s="49" t="n"/>
      <s:c r="I73" s="49" t="n"/>
      <s:c r="J73" s="50" t="n"/>
      <s:c r="K73" s="51" t="n"/>
      <s:c r="L73" s="49" t="n"/>
      <s:c r="M73" s="50" t="n"/>
      <s:c r="N73" s="50" t="n"/>
      <s:c r="O73" s="50" t="n"/>
      <s:c r="P73" s="47" t="n"/>
      <s:c r="Q73" s="48" t="n"/>
      <s:c r="R73" s="50" t="n"/>
      <s:c r="S73" s="51" t="n"/>
      <s:c r="T73" s="48" t="n"/>
    </s:row>
    <s:row r="74">
      <s:c r="A74" s="47" t="n">
        <s:v>9</s:v>
      </s:c>
      <s:c r="B74" s="48" t="n"/>
      <s:c r="C74" s="48" t="n"/>
      <s:c r="D74" s="48" t="n"/>
      <s:c r="E74" s="48" t="n"/>
      <s:c r="F74" s="48" t="n"/>
      <s:c r="G74" s="47" t="n"/>
      <s:c r="H74" s="49" t="n"/>
      <s:c r="I74" s="49" t="n"/>
      <s:c r="J74" s="50" t="n"/>
      <s:c r="K74" s="51" t="n"/>
      <s:c r="L74" s="49" t="n"/>
      <s:c r="M74" s="50" t="n"/>
      <s:c r="N74" s="50" t="n"/>
      <s:c r="O74" s="50" t="n"/>
      <s:c r="P74" s="47" t="n"/>
      <s:c r="Q74" s="48" t="n"/>
      <s:c r="R74" s="50" t="n"/>
      <s:c r="S74" s="51" t="n"/>
      <s:c r="T74" s="48" t="n"/>
    </s:row>
    <s:row r="75">
      <s:c r="A75" s="47" t="n">
        <s:v>10</s:v>
      </s:c>
      <s:c r="B75" s="48" t="n"/>
      <s:c r="C75" s="48" t="n"/>
      <s:c r="D75" s="48" t="n"/>
      <s:c r="E75" s="48" t="n"/>
      <s:c r="F75" s="48" t="n"/>
      <s:c r="G75" s="47" t="n"/>
      <s:c r="H75" s="49" t="n"/>
      <s:c r="I75" s="49" t="n"/>
      <s:c r="J75" s="50" t="n"/>
      <s:c r="K75" s="51" t="n"/>
      <s:c r="L75" s="49" t="n"/>
      <s:c r="M75" s="50" t="n"/>
      <s:c r="N75" s="50" t="n"/>
      <s:c r="O75" s="50" t="n"/>
      <s:c r="P75" s="47" t="n"/>
      <s:c r="Q75" s="48" t="n"/>
      <s:c r="R75" s="50" t="n"/>
      <s:c r="S75" s="51" t="n"/>
      <s:c r="T75" s="48" t="n"/>
    </s:row>
    <s:row r="76">
      <s:c r="A76" s="47" t="n">
        <s:v>11</s:v>
      </s:c>
      <s:c r="B76" s="48" t="n"/>
      <s:c r="C76" s="48" t="n"/>
      <s:c r="D76" s="48" t="n"/>
      <s:c r="E76" s="48" t="n"/>
      <s:c r="F76" s="48" t="n"/>
      <s:c r="G76" s="47" t="n"/>
      <s:c r="H76" s="49" t="n"/>
      <s:c r="I76" s="49" t="n"/>
      <s:c r="J76" s="50" t="n"/>
      <s:c r="K76" s="51" t="n"/>
      <s:c r="L76" s="49" t="n"/>
      <s:c r="M76" s="50" t="n"/>
      <s:c r="N76" s="50" t="n"/>
      <s:c r="O76" s="50" t="n"/>
      <s:c r="P76" s="47" t="n"/>
      <s:c r="Q76" s="48" t="n"/>
      <s:c r="R76" s="50" t="n"/>
      <s:c r="S76" s="51" t="n"/>
      <s:c r="T76" s="48" t="n"/>
    </s:row>
    <s:row r="77">
      <s:c r="A77" s="47" t="n">
        <s:v>12</s:v>
      </s:c>
      <s:c r="B77" s="48" t="n"/>
      <s:c r="C77" s="48" t="n"/>
      <s:c r="D77" s="48" t="n"/>
      <s:c r="E77" s="48" t="n"/>
      <s:c r="F77" s="48" t="n"/>
      <s:c r="G77" s="47" t="n"/>
      <s:c r="H77" s="49" t="n"/>
      <s:c r="I77" s="49" t="n"/>
      <s:c r="J77" s="50" t="n"/>
      <s:c r="K77" s="51" t="n"/>
      <s:c r="L77" s="49" t="n"/>
      <s:c r="M77" s="50" t="n"/>
      <s:c r="N77" s="50" t="n"/>
      <s:c r="O77" s="50" t="n"/>
      <s:c r="P77" s="47" t="n"/>
      <s:c r="Q77" s="48" t="n"/>
      <s:c r="R77" s="50" t="n"/>
      <s:c r="S77" s="51" t="n"/>
      <s:c r="T77" s="48" t="n"/>
    </s:row>
    <s:row r="78">
      <s:c r="A78" s="47" t="n">
        <s:v>13</s:v>
      </s:c>
      <s:c r="B78" s="48" t="n"/>
      <s:c r="C78" s="48" t="n"/>
      <s:c r="D78" s="48" t="n"/>
      <s:c r="E78" s="48" t="n"/>
      <s:c r="F78" s="48" t="n"/>
      <s:c r="G78" s="47" t="n"/>
      <s:c r="H78" s="49" t="n"/>
      <s:c r="I78" s="49" t="n"/>
      <s:c r="J78" s="50" t="n"/>
      <s:c r="K78" s="51" t="n"/>
      <s:c r="L78" s="49" t="n"/>
      <s:c r="M78" s="50" t="n"/>
      <s:c r="N78" s="50" t="n"/>
      <s:c r="O78" s="50" t="n"/>
      <s:c r="P78" s="47" t="n"/>
      <s:c r="Q78" s="48" t="n"/>
      <s:c r="R78" s="50" t="n"/>
      <s:c r="S78" s="51" t="n"/>
      <s:c r="T78" s="48" t="n"/>
    </s:row>
    <s:row r="79">
      <s:c r="A79" s="47" t="n">
        <s:v>14</s:v>
      </s:c>
      <s:c r="B79" s="48" t="n"/>
      <s:c r="C79" s="48" t="n"/>
      <s:c r="D79" s="48" t="n"/>
      <s:c r="E79" s="48" t="n"/>
      <s:c r="F79" s="48" t="n"/>
      <s:c r="G79" s="47" t="n"/>
      <s:c r="H79" s="49" t="n"/>
      <s:c r="I79" s="49" t="n"/>
      <s:c r="J79" s="50" t="n"/>
      <s:c r="K79" s="51" t="n"/>
      <s:c r="L79" s="49" t="n"/>
      <s:c r="M79" s="50" t="n"/>
      <s:c r="N79" s="50" t="n"/>
      <s:c r="O79" s="50" t="n"/>
      <s:c r="P79" s="47" t="n"/>
      <s:c r="Q79" s="48" t="n"/>
      <s:c r="R79" s="50" t="n"/>
      <s:c r="S79" s="51" t="n"/>
      <s:c r="T79" s="48" t="n"/>
    </s:row>
    <s:row r="80">
      <s:c r="A80" s="47" t="n">
        <s:v>15</s:v>
      </s:c>
      <s:c r="B80" s="48" t="n"/>
      <s:c r="C80" s="48" t="n"/>
      <s:c r="D80" s="48" t="n"/>
      <s:c r="E80" s="48" t="n"/>
      <s:c r="F80" s="48" t="n"/>
      <s:c r="G80" s="47" t="n"/>
      <s:c r="H80" s="49" t="n"/>
      <s:c r="I80" s="49" t="n"/>
      <s:c r="J80" s="50" t="n"/>
      <s:c r="K80" s="51" t="n"/>
      <s:c r="L80" s="49" t="n"/>
      <s:c r="M80" s="50" t="n"/>
      <s:c r="N80" s="50" t="n"/>
      <s:c r="O80" s="50" t="n"/>
      <s:c r="P80" s="47" t="n"/>
      <s:c r="Q80" s="48" t="n"/>
      <s:c r="R80" s="50" t="n"/>
      <s:c r="S80" s="51" t="n"/>
      <s:c r="T80" s="48" t="n"/>
    </s:row>
    <s:row r="81">
      <s:c r="A81" s="47" t="n">
        <s:v>16</s:v>
      </s:c>
      <s:c r="B81" s="48" t="n"/>
      <s:c r="C81" s="48" t="n"/>
      <s:c r="D81" s="48" t="n"/>
      <s:c r="E81" s="48" t="n"/>
      <s:c r="F81" s="48" t="n"/>
      <s:c r="G81" s="47" t="n"/>
      <s:c r="H81" s="49" t="n"/>
      <s:c r="I81" s="49" t="n"/>
      <s:c r="J81" s="50" t="n"/>
      <s:c r="K81" s="51" t="n"/>
      <s:c r="L81" s="49" t="n"/>
      <s:c r="M81" s="50" t="n"/>
      <s:c r="N81" s="50" t="n"/>
      <s:c r="O81" s="50" t="n"/>
      <s:c r="P81" s="47" t="n"/>
      <s:c r="Q81" s="48" t="n"/>
      <s:c r="R81" s="50" t="n"/>
      <s:c r="S81" s="51" t="n"/>
      <s:c r="T81" s="48" t="n"/>
    </s:row>
    <s:row r="82">
      <s:c r="A82" s="47" t="n">
        <s:v>17</s:v>
      </s:c>
      <s:c r="B82" s="48" t="n"/>
      <s:c r="C82" s="48" t="n"/>
      <s:c r="D82" s="48" t="n"/>
      <s:c r="E82" s="48" t="n"/>
      <s:c r="F82" s="48" t="n"/>
      <s:c r="G82" s="47" t="n"/>
      <s:c r="H82" s="49" t="n"/>
      <s:c r="I82" s="49" t="n"/>
      <s:c r="J82" s="50" t="n"/>
      <s:c r="K82" s="51" t="n"/>
      <s:c r="L82" s="49" t="n"/>
      <s:c r="M82" s="50" t="n"/>
      <s:c r="N82" s="50" t="n"/>
      <s:c r="O82" s="50" t="n"/>
      <s:c r="P82" s="47" t="n"/>
      <s:c r="Q82" s="48" t="n"/>
      <s:c r="R82" s="50" t="n"/>
      <s:c r="S82" s="51" t="n"/>
      <s:c r="T82" s="48" t="n"/>
    </s:row>
    <s:row r="83">
      <s:c r="A83" s="47" t="n">
        <s:v>18</s:v>
      </s:c>
      <s:c r="B83" s="48" t="n"/>
      <s:c r="C83" s="48" t="n"/>
      <s:c r="D83" s="48" t="n"/>
      <s:c r="E83" s="48" t="n"/>
      <s:c r="F83" s="48" t="n"/>
      <s:c r="G83" s="47" t="n"/>
      <s:c r="H83" s="49" t="n"/>
      <s:c r="I83" s="49" t="n"/>
      <s:c r="J83" s="50" t="n"/>
      <s:c r="K83" s="51" t="n"/>
      <s:c r="L83" s="49" t="n"/>
      <s:c r="M83" s="50" t="n"/>
      <s:c r="N83" s="50" t="n"/>
      <s:c r="O83" s="50" t="n"/>
      <s:c r="P83" s="47" t="n"/>
      <s:c r="Q83" s="48" t="n"/>
      <s:c r="R83" s="50" t="n"/>
      <s:c r="S83" s="51" t="n"/>
      <s:c r="T83" s="48" t="n"/>
    </s:row>
    <s:row r="84">
      <s:c r="A84" s="47" t="n">
        <s:v>19</s:v>
      </s:c>
      <s:c r="B84" s="48" t="n"/>
      <s:c r="C84" s="48" t="n"/>
      <s:c r="D84" s="48" t="n"/>
      <s:c r="E84" s="48" t="n"/>
      <s:c r="F84" s="48" t="n"/>
      <s:c r="G84" s="47" t="n"/>
      <s:c r="H84" s="49" t="n"/>
      <s:c r="I84" s="49" t="n"/>
      <s:c r="J84" s="50" t="n"/>
      <s:c r="K84" s="51" t="n"/>
      <s:c r="L84" s="49" t="n"/>
      <s:c r="M84" s="50" t="n"/>
      <s:c r="N84" s="50" t="n"/>
      <s:c r="O84" s="50" t="n"/>
      <s:c r="P84" s="47" t="n"/>
      <s:c r="Q84" s="48" t="n"/>
      <s:c r="R84" s="50" t="n"/>
      <s:c r="S84" s="51" t="n"/>
      <s:c r="T84" s="48" t="n"/>
    </s:row>
    <s:row r="85">
      <s:c r="A85" s="47" t="n">
        <s:v>20</s:v>
      </s:c>
      <s:c r="B85" s="48" t="n"/>
      <s:c r="C85" s="48" t="n"/>
      <s:c r="D85" s="48" t="n"/>
      <s:c r="E85" s="48" t="n"/>
      <s:c r="F85" s="48" t="n"/>
      <s:c r="G85" s="47" t="n"/>
      <s:c r="H85" s="49" t="n"/>
      <s:c r="I85" s="49" t="n"/>
      <s:c r="J85" s="50" t="n"/>
      <s:c r="K85" s="51" t="n"/>
      <s:c r="L85" s="49" t="n"/>
      <s:c r="M85" s="50" t="n"/>
      <s:c r="N85" s="50" t="n"/>
      <s:c r="O85" s="50" t="n"/>
      <s:c r="P85" s="47" t="n"/>
      <s:c r="Q85" s="48" t="n"/>
      <s:c r="R85" s="50" t="n"/>
      <s:c r="S85" s="51" t="n"/>
      <s:c r="T85" s="48" t="n"/>
    </s:row>
    <s:row r="86">
      <s:c r="A86" s="47" t="n">
        <s:v>21</s:v>
      </s:c>
      <s:c r="B86" s="48" t="n"/>
      <s:c r="C86" s="48" t="n"/>
      <s:c r="D86" s="48" t="n"/>
      <s:c r="E86" s="48" t="n"/>
      <s:c r="F86" s="48" t="n"/>
      <s:c r="G86" s="47" t="n"/>
      <s:c r="H86" s="49" t="n"/>
      <s:c r="I86" s="49" t="n"/>
      <s:c r="J86" s="50" t="n"/>
      <s:c r="K86" s="51" t="n"/>
      <s:c r="L86" s="49" t="n"/>
      <s:c r="M86" s="50" t="n"/>
      <s:c r="N86" s="50" t="n"/>
      <s:c r="O86" s="50" t="n"/>
      <s:c r="P86" s="47" t="n"/>
      <s:c r="Q86" s="48" t="n"/>
      <s:c r="R86" s="50" t="n"/>
      <s:c r="S86" s="51" t="n"/>
      <s:c r="T86" s="48" t="n"/>
    </s:row>
    <s:row r="87">
      <s:c r="A87" s="47" t="n">
        <s:v>22</s:v>
      </s:c>
      <s:c r="B87" s="48" t="n"/>
      <s:c r="C87" s="48" t="n"/>
      <s:c r="D87" s="48" t="n"/>
      <s:c r="E87" s="48" t="n"/>
      <s:c r="F87" s="48" t="n"/>
      <s:c r="G87" s="47" t="n"/>
      <s:c r="H87" s="49" t="n"/>
      <s:c r="I87" s="49" t="n"/>
      <s:c r="J87" s="50" t="n"/>
      <s:c r="K87" s="51" t="n"/>
      <s:c r="L87" s="49" t="n"/>
      <s:c r="M87" s="50" t="n"/>
      <s:c r="N87" s="50" t="n"/>
      <s:c r="O87" s="50" t="n"/>
      <s:c r="P87" s="47" t="n"/>
      <s:c r="Q87" s="48" t="n"/>
      <s:c r="R87" s="50" t="n"/>
      <s:c r="S87" s="51" t="n"/>
      <s:c r="T87" s="48" t="n"/>
    </s:row>
    <s:row r="88">
      <s:c r="A88" s="47" t="n">
        <s:v>23</s:v>
      </s:c>
      <s:c r="B88" s="48" t="n"/>
      <s:c r="C88" s="48" t="n"/>
      <s:c r="D88" s="48" t="n"/>
      <s:c r="E88" s="48" t="n"/>
      <s:c r="F88" s="48" t="n"/>
      <s:c r="G88" s="47" t="n"/>
      <s:c r="H88" s="49" t="n"/>
      <s:c r="I88" s="49" t="n"/>
      <s:c r="J88" s="50" t="n"/>
      <s:c r="K88" s="51" t="n"/>
      <s:c r="L88" s="49" t="n"/>
      <s:c r="M88" s="50" t="n"/>
      <s:c r="N88" s="50" t="n"/>
      <s:c r="O88" s="50" t="n"/>
      <s:c r="P88" s="47" t="n"/>
      <s:c r="Q88" s="48" t="n"/>
      <s:c r="R88" s="50" t="n"/>
      <s:c r="S88" s="51" t="n"/>
      <s:c r="T88" s="48" t="n"/>
    </s:row>
    <s:row r="89">
      <s:c r="A89" s="47" t="n">
        <s:v>24</s:v>
      </s:c>
      <s:c r="B89" s="48" t="n"/>
      <s:c r="C89" s="48" t="n"/>
      <s:c r="D89" s="48" t="n"/>
      <s:c r="E89" s="48" t="n"/>
      <s:c r="F89" s="48" t="n"/>
      <s:c r="G89" s="47" t="n"/>
      <s:c r="H89" s="49" t="n"/>
      <s:c r="I89" s="49" t="n"/>
      <s:c r="J89" s="50" t="n"/>
      <s:c r="K89" s="51" t="n"/>
      <s:c r="L89" s="49" t="n"/>
      <s:c r="M89" s="50" t="n"/>
      <s:c r="N89" s="50" t="n"/>
      <s:c r="O89" s="50" t="n"/>
      <s:c r="P89" s="47" t="n"/>
      <s:c r="Q89" s="48" t="n"/>
      <s:c r="R89" s="50" t="n"/>
      <s:c r="S89" s="51" t="n"/>
      <s:c r="T89" s="48" t="n"/>
    </s:row>
    <s:row r="90">
      <s:c r="A90" s="47" t="n">
        <s:v>25</s:v>
      </s:c>
      <s:c r="B90" s="48" t="n"/>
      <s:c r="C90" s="48" t="n"/>
      <s:c r="D90" s="48" t="n"/>
      <s:c r="E90" s="48" t="n"/>
      <s:c r="F90" s="48" t="n"/>
      <s:c r="G90" s="47" t="n"/>
      <s:c r="H90" s="49" t="n"/>
      <s:c r="I90" s="49" t="n"/>
      <s:c r="J90" s="50" t="n"/>
      <s:c r="K90" s="51" t="n"/>
      <s:c r="L90" s="49" t="n"/>
      <s:c r="M90" s="50" t="n"/>
      <s:c r="N90" s="50" t="n"/>
      <s:c r="O90" s="50" t="n"/>
      <s:c r="P90" s="47" t="n"/>
      <s:c r="Q90" s="48" t="n"/>
      <s:c r="R90" s="50" t="n"/>
      <s:c r="S90" s="51" t="n"/>
      <s:c r="T90" s="48" t="n"/>
    </s:row>
    <s:row r="92">
      <s:c r="A92" s="17" t="inlineStr">
        <s:is>
          <s:t>SPECIAL / PROJECT REVENUE (2027)</s:t>
        </s:is>
      </s:c>
    </s:row>
    <s:row r="93">
      <s:c r="A93" s="15" t="inlineStr">
        <s:is>
          <s:t>Hoke County project revenue ($/mo)</s:t>
        </s:is>
      </s:c>
      <s:c r="B93" s="52" t="n">
        <s:v>57000</s:v>
      </s:c>
      <s:c r="C93" s="53" t="inlineStr">
        <s:is>
          <s:t>NEW PROJECT</s:t>
        </s:is>
      </s:c>
    </s:row>
    <s:row r="94">
      <s:c r="A94" s="15" t="inlineStr">
        <s:is>
          <s:t>Hoke project start month (1-12)</s:t>
        </s:is>
      </s:c>
      <s:c r="B94" s="28" t="n">
        <s:v>1</s:v>
      </s:c>
    </s:row>
  </s:sheetData>
  <s:autoFilter ref="A65:T90"/>
  <s:mergeCells count="8">
    <s:mergeCell ref="A1:T1"/>
    <s:mergeCell ref="A33:C33"/>
    <s:mergeCell ref="A14:C14"/>
    <s:mergeCell ref="A64:T64"/>
    <s:mergeCell ref="A3:C3"/>
    <s:mergeCell ref="A2:T2"/>
    <s:mergeCell ref="A92:C92"/>
    <s:mergeCell ref="A59:C59"/>
  </s:mergeCells>
  <s:dataValidations count="6">
    <s:dataValidation sqref="B4" showDropDown="0" showInputMessage="0" showErrorMessage="0" allowBlank="0" type="list">
      <s:formula1>"Base,Conservative,Aggressive"</s:formula1>
    </s:dataValidation>
    <s:dataValidation sqref="B31 B56" showDropDown="0" showInputMessage="0" showErrorMessage="0" allowBlank="0" type="list">
      <s:formula1>"Average,Beginning,Ending"</s:formula1>
    </s:dataValidation>
    <s:dataValidation sqref="B60" showDropDown="0" showInputMessage="0" showErrorMessage="0" allowBlank="1" type="list">
      <s:formula1>"Upfront,Straight-line,Manual,None"</s:formula1>
    </s:dataValidation>
    <s:dataValidation sqref="C66 C67 C68 C69 C70 C71 C72 C73 C74 C75 C76 C77 C78 C79 C80 C81 C82 C83 C84 C85 C86 C87 C88 C89 C90" showDropDown="0" showInputMessage="0" showErrorMessage="0" allowBlank="1" type="list">
      <s:formula1>"Monthly dark fiber lease,Annual dark fiber lease,Fiber strand lease,Fiber-pair lease,Indefeasible Right of Use (IRU),Operations and maintenance agreement,Middle-mile transport,Colocation / hut access,Pole / conduit / infrastructure use,Other fiber infrastructure"</s:formula1>
    </s:dataValidation>
    <s:dataValidation sqref="D66 D67 D68 D69 D70 D71 D72 D73 D74 D75 D76 D77 D78 D79 D80 D81 D82 D83 D84 D85 D86 D87 D88 D89 D90" showDropDown="0" showInputMessage="0" showErrorMessage="0" allowBlank="1" type="list">
      <s:formula1>"Active,Pending,Expired,Renewal,Prospect"</s:formula1>
    </s:dataValidation>
    <s:dataValidation sqref="Q66 Q67 Q68 Q69 Q70 Q71 Q72 Q73 Q74 Q75 Q76 Q77 Q78 Q79 Q80 Q81 Q82 Q83 Q84 Q85 Q86 Q87 Q88 Q89 Q90" showDropDown="0" showInputMessage="0" showErrorMessage="0" allowBlank="1" type="list">
      <s:formula1>"Upfront,Straight-line,Manual,None"</s:formula1>
    </s:dataValidation>
  </s:dataValidations>
  <s:pageMargins left="0.75" right="0.75" top="1" bottom="1" header="0.5" footer="0.5"/>
  <s:legacyDrawing r:id="anysvml"/>
</s:worksheet>
</file>

<file path=xl/worksheets/sheet3.xml><?xml version="1.0" encoding="utf-8"?>
<s:worksheet xmlns:s="http://schemas.openxmlformats.org/spreadsheetml/2006/main">
  <s:sheetPr>
    <s:tabColor rgb="007F7F7F"/>
    <s:outlinePr summaryBelow="1" summaryRight="1"/>
    <s:pageSetUpPr/>
  </s:sheetPr>
  <s:dimension ref="A1:F60"/>
  <s:sheetViews>
    <s:sheetView showGridLines="0" workbookViewId="0">
      <s:pane xSplit="1" ySplit="4" topLeftCell="B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0" customWidth="1" min="1" max="1"/>
    <s:col width="15" customWidth="1" min="2" max="2"/>
    <s:col width="15" customWidth="1" min="3" max="3"/>
    <s:col width="15" customWidth="1" min="4" max="4"/>
    <s:col width="15" customWidth="1" min="5" max="5"/>
    <s:col width="15" customWidth="1" min="6" max="6"/>
  </s:cols>
  <s:sheetData>
    <s:row r="1" ht="30" customHeight="1">
      <s:c r="A1" s="1" t="inlineStr">
        <s:is>
          <s:t>2026 ACTUALS — Income Statement (H1, QTR ending June 30, 2026)</s:t>
        </s:is>
      </s:c>
    </s:row>
    <s:row r="2">
      <s:c r="A2" s="2" t="inlineStr">
        <s:is>
          <s:t>Source data from RIVR Tech income statement. Blue = actuals as reported; grey = derived (YTD, monthly run-rate, annualized). Feeds the 2027 model calibration.</s:t>
        </s:is>
      </s:c>
    </s:row>
    <s:row r="4">
      <s:c r="B4" s="25" t="inlineStr">
        <s:is>
          <s:t>Qtr 1</s:t>
        </s:is>
      </s:c>
      <s:c r="C4" s="25" t="inlineStr">
        <s:is>
          <s:t>Qtr 2</s:t>
        </s:is>
      </s:c>
      <s:c r="D4" s="25" t="inlineStr">
        <s:is>
          <s:t>YTD</s:t>
        </s:is>
      </s:c>
      <s:c r="E4" s="25" t="inlineStr">
        <s:is>
          <s:t>Monthly Avg</s:t>
        </s:is>
      </s:c>
      <s:c r="F4" s="25" t="inlineStr">
        <s:is>
          <s:t>Annualized</s:t>
        </s:is>
      </s:c>
    </s:row>
    <s:row r="5">
      <s:c r="A5" s="17" t="inlineStr">
        <s:is>
          <s:t>OPERATING REVENUE — RESIDENTIAL</s:t>
        </s:is>
      </s:c>
    </s:row>
    <s:row r="6">
      <s:c r="A6" s="15" t="inlineStr">
        <s:is>
          <s:t>Residential Broadband</s:t>
        </s:is>
      </s:c>
      <s:c r="B6" s="36" t="n">
        <s:v>937587</s:v>
      </s:c>
      <s:c r="C6" s="36" t="n">
        <s:v>859936</s:v>
      </s:c>
      <s:c r="D6" s="54">
        <s:f>B6+C6</s:f>
        <s:v>1797523</s:v>
      </s:c>
      <s:c r="E6" s="54">
        <s:f>D6/6</s:f>
        <s:v>299587.1666666667</s:v>
      </s:c>
      <s:c r="F6" s="54">
        <s:f>E6*12</s:f>
        <s:v>3595046</s:v>
      </s:c>
    </s:row>
    <s:row r="7">
      <s:c r="A7" s="15" t="inlineStr">
        <s:is>
          <s:t>Residential Voice</s:t>
        </s:is>
      </s:c>
      <s:c r="B7" s="36" t="n">
        <s:v>23659</s:v>
      </s:c>
      <s:c r="C7" s="36" t="n">
        <s:v>24039</s:v>
      </s:c>
      <s:c r="D7" s="54">
        <s:f>B7+C7</s:f>
        <s:v>47698</s:v>
      </s:c>
      <s:c r="E7" s="54">
        <s:f>D7/6</s:f>
        <s:v>7949.666666666667</s:v>
      </s:c>
      <s:c r="F7" s="54">
        <s:f>E7*12</s:f>
        <s:v>95396</s:v>
      </s:c>
    </s:row>
    <s:row r="8">
      <s:c r="A8" s="15" t="inlineStr">
        <s:is>
          <s:t>Residential Wifi</s:t>
        </s:is>
      </s:c>
      <s:c r="B8" s="36" t="n">
        <s:v>721</s:v>
      </s:c>
      <s:c r="C8" s="36" t="n">
        <s:v>714</s:v>
      </s:c>
      <s:c r="D8" s="54">
        <s:f>B8+C8</s:f>
        <s:v>1435</s:v>
      </s:c>
      <s:c r="E8" s="54">
        <s:f>D8/6</s:f>
        <s:v>239.16666666666666</s:v>
      </s:c>
      <s:c r="F8" s="54">
        <s:f>E8*12</s:f>
        <s:v>2870</s:v>
      </s:c>
    </s:row>
    <s:row r="9">
      <s:c r="A9" s="15" t="inlineStr">
        <s:is>
          <s:t>Residential Other</s:t>
        </s:is>
      </s:c>
      <s:c r="B9" s="36" t="n">
        <s:v>36481</s:v>
      </s:c>
      <s:c r="C9" s="36" t="n">
        <s:v>41919</s:v>
      </s:c>
      <s:c r="D9" s="54">
        <s:f>B9+C9</s:f>
        <s:v>78400</s:v>
      </s:c>
      <s:c r="E9" s="54">
        <s:f>D9/6</s:f>
        <s:v>13066.666666666666</s:v>
      </s:c>
      <s:c r="F9" s="54">
        <s:f>E9*12</s:f>
        <s:v>156800</s:v>
      </s:c>
    </s:row>
    <s:row r="10">
      <s:c r="A10" s="15" t="inlineStr">
        <s:is>
          <s:t>Less ACP Credits</s:t>
        </s:is>
      </s:c>
      <s:c r="B10" s="36" t="n">
        <s:v>0</s:v>
      </s:c>
      <s:c r="C10" s="36" t="n">
        <s:v>0</s:v>
      </s:c>
      <s:c r="D10" s="54">
        <s:f>B10+C10</s:f>
        <s:v>0</s:v>
      </s:c>
      <s:c r="E10" s="54">
        <s:f>D10/6</s:f>
        <s:v>0</s:v>
      </s:c>
      <s:c r="F10" s="54">
        <s:f>E10*12</s:f>
        <s:v>0</s:v>
      </s:c>
    </s:row>
    <s:row r="11">
      <s:c r="A11" s="3" t="inlineStr">
        <s:is>
          <s:t>Total Residential</s:t>
        </s:is>
      </s:c>
      <s:c r="B11" s="55">
        <s:f>B6+B7+B8+B9-B10</s:f>
        <s:v>998448</s:v>
      </s:c>
      <s:c r="C11" s="55">
        <s:f>C6+C7+C8+C9-C10</s:f>
        <s:v>926608</s:v>
      </s:c>
      <s:c r="D11" s="55">
        <s:f>B11+C11</s:f>
        <s:v>1925056</s:v>
      </s:c>
      <s:c r="E11" s="54">
        <s:f>D11/6</s:f>
        <s:v>320842.6666666667</s:v>
      </s:c>
      <s:c r="F11" s="54">
        <s:f>E11*12</s:f>
        <s:v>3850112</s:v>
      </s:c>
    </s:row>
    <s:row r="12">
      <s:c r="A12" s="17" t="inlineStr">
        <s:is>
          <s:t>OPERATING REVENUE — BUSINESS</s:t>
        </s:is>
      </s:c>
    </s:row>
    <s:row r="13">
      <s:c r="A13" s="15" t="inlineStr">
        <s:is>
          <s:t>Business Broadband</s:t>
        </s:is>
      </s:c>
      <s:c r="B13" s="36" t="n">
        <s:v>109308</s:v>
      </s:c>
      <s:c r="C13" s="36" t="n">
        <s:v>113631</s:v>
      </s:c>
      <s:c r="D13" s="54">
        <s:f>B13+C13</s:f>
        <s:v>222939</s:v>
      </s:c>
      <s:c r="E13" s="54">
        <s:f>D13/6</s:f>
        <s:v>37156.5</s:v>
      </s:c>
      <s:c r="F13" s="54">
        <s:f>E13*12</s:f>
        <s:v>445878</s:v>
      </s:c>
    </s:row>
    <s:row r="14">
      <s:c r="A14" s="15" t="inlineStr">
        <s:is>
          <s:t>Business Voice</s:t>
        </s:is>
      </s:c>
      <s:c r="B14" s="36" t="n">
        <s:v>7167</s:v>
      </s:c>
      <s:c r="C14" s="36" t="n">
        <s:v>7289</s:v>
      </s:c>
      <s:c r="D14" s="54">
        <s:f>B14+C14</s:f>
        <s:v>14456</s:v>
      </s:c>
      <s:c r="E14" s="54">
        <s:f>D14/6</s:f>
        <s:v>2409.3333333333335</s:v>
      </s:c>
      <s:c r="F14" s="54">
        <s:f>E14*12</s:f>
        <s:v>28912</s:v>
      </s:c>
    </s:row>
    <s:row r="15">
      <s:c r="A15" s="15" t="inlineStr">
        <s:is>
          <s:t>Business Wifi</s:t>
        </s:is>
      </s:c>
      <s:c r="B15" s="36" t="n">
        <s:v>0</s:v>
      </s:c>
      <s:c r="C15" s="36" t="n">
        <s:v>0</s:v>
      </s:c>
      <s:c r="D15" s="54">
        <s:f>B15+C15</s:f>
        <s:v>0</s:v>
      </s:c>
      <s:c r="E15" s="54">
        <s:f>D15/6</s:f>
        <s:v>0</s:v>
      </s:c>
      <s:c r="F15" s="54">
        <s:f>E15*12</s:f>
        <s:v>0</s:v>
      </s:c>
    </s:row>
    <s:row r="16">
      <s:c r="A16" s="15" t="inlineStr">
        <s:is>
          <s:t>Business Other</s:t>
        </s:is>
      </s:c>
      <s:c r="B16" s="36" t="n">
        <s:v>-277</s:v>
      </s:c>
      <s:c r="C16" s="36" t="n">
        <s:v>-830</s:v>
      </s:c>
      <s:c r="D16" s="54">
        <s:f>B16+C16</s:f>
        <s:v>-1107</s:v>
      </s:c>
      <s:c r="E16" s="54">
        <s:f>D16/6</s:f>
        <s:v>-184.5</s:v>
      </s:c>
      <s:c r="F16" s="54">
        <s:f>E16*12</s:f>
        <s:v>-2214</s:v>
      </s:c>
    </s:row>
    <s:row r="17">
      <s:c r="A17" s="3" t="inlineStr">
        <s:is>
          <s:t>Total Business</s:t>
        </s:is>
      </s:c>
      <s:c r="B17" s="55">
        <s:f>B13+B14+B15+B16</s:f>
        <s:v>116198</s:v>
      </s:c>
      <s:c r="C17" s="55">
        <s:f>C13+C14+C15+C16</s:f>
        <s:v>120090</s:v>
      </s:c>
      <s:c r="D17" s="55">
        <s:f>B17+C17</s:f>
        <s:v>236288</s:v>
      </s:c>
      <s:c r="E17" s="54">
        <s:f>D17/6</s:f>
        <s:v>39381.333333333336</s:v>
      </s:c>
      <s:c r="F17" s="54">
        <s:f>E17*12</s:f>
        <s:v>472576</s:v>
      </s:c>
    </s:row>
    <s:row r="18">
      <s:c r="A18" s="15" t="inlineStr">
        <s:is>
          <s:t>Dark Fiber</s:t>
        </s:is>
      </s:c>
      <s:c r="B18" s="36" t="n">
        <s:v>6960</s:v>
      </s:c>
      <s:c r="C18" s="36" t="n">
        <s:v>2610</s:v>
      </s:c>
      <s:c r="D18" s="54">
        <s:f>B18+C18</s:f>
        <s:v>9570</s:v>
      </s:c>
      <s:c r="E18" s="54">
        <s:f>D18/6</s:f>
        <s:v>1595</s:v>
      </s:c>
      <s:c r="F18" s="54">
        <s:f>E18*12</s:f>
        <s:v>19140</s:v>
      </s:c>
    </s:row>
    <s:row r="19">
      <s:c r="A19" s="3" t="inlineStr">
        <s:is>
          <s:t>Total Operating Revenue</s:t>
        </s:is>
      </s:c>
      <s:c r="B19" s="55">
        <s:f>B11+B17+B18</s:f>
        <s:v>1121606</s:v>
      </s:c>
      <s:c r="C19" s="55">
        <s:f>C11+C17+C18</s:f>
        <s:v>1049308</s:v>
      </s:c>
      <s:c r="D19" s="55">
        <s:f>B19+C19</s:f>
        <s:v>2170914</s:v>
      </s:c>
      <s:c r="E19" s="54">
        <s:f>D19/6</s:f>
        <s:v>361819</s:v>
      </s:c>
      <s:c r="F19" s="54">
        <s:f>E19*12</s:f>
        <s:v>4341828</s:v>
      </s:c>
    </s:row>
    <s:row r="21">
      <s:c r="A21" s="17" t="inlineStr">
        <s:is>
          <s:t>EXPENSES</s:t>
        </s:is>
      </s:c>
    </s:row>
    <s:row r="22">
      <s:c r="A22" s="15" t="inlineStr">
        <s:is>
          <s:t>Cost of Goods Sold</s:t>
        </s:is>
      </s:c>
      <s:c r="B22" s="36" t="n">
        <s:v>198002</s:v>
      </s:c>
      <s:c r="C22" s="36" t="n">
        <s:v>123244</s:v>
      </s:c>
      <s:c r="D22" s="54">
        <s:f>B22+C22</s:f>
        <s:v>321246</s:v>
      </s:c>
      <s:c r="E22" s="54">
        <s:f>D22/6</s:f>
        <s:v>53541</s:v>
      </s:c>
      <s:c r="F22" s="54">
        <s:f>E22*12</s:f>
        <s:v>642492</s:v>
      </s:c>
    </s:row>
    <s:row r="23">
      <s:c r="A23" s="15" t="inlineStr">
        <s:is>
          <s:t>LREMC Intercompany Expenses</s:t>
        </s:is>
      </s:c>
      <s:c r="B23" s="36" t="n">
        <s:v>10483</s:v>
      </s:c>
      <s:c r="C23" s="36" t="n">
        <s:v>179793</s:v>
      </s:c>
      <s:c r="D23" s="54">
        <s:f>B23+C23</s:f>
        <s:v>190276</s:v>
      </s:c>
      <s:c r="E23" s="54">
        <s:f>D23/6</s:f>
        <s:v>31712.666666666668</s:v>
      </s:c>
      <s:c r="F23" s="54">
        <s:f>E23*12</s:f>
        <s:v>380552</s:v>
      </s:c>
    </s:row>
    <s:row r="24">
      <s:c r="A24" s="15" t="inlineStr">
        <s:is>
          <s:t>Engineering &amp; Operations</s:t>
        </s:is>
      </s:c>
      <s:c r="B24" s="36" t="n">
        <s:v>193141</s:v>
      </s:c>
      <s:c r="C24" s="36" t="n">
        <s:v>239129</s:v>
      </s:c>
      <s:c r="D24" s="54">
        <s:f>B24+C24</s:f>
        <s:v>432270</s:v>
      </s:c>
      <s:c r="E24" s="54">
        <s:f>D24/6</s:f>
        <s:v>72045</s:v>
      </s:c>
      <s:c r="F24" s="54">
        <s:f>E24*12</s:f>
        <s:v>864540</s:v>
      </s:c>
    </s:row>
    <s:row r="25">
      <s:c r="A25" s="15" t="inlineStr">
        <s:is>
          <s:t>Marketing</s:t>
        </s:is>
      </s:c>
      <s:c r="B25" s="36" t="n">
        <s:v>75988</s:v>
      </s:c>
      <s:c r="C25" s="36" t="n">
        <s:v>83218</s:v>
      </s:c>
      <s:c r="D25" s="54">
        <s:f>B25+C25</s:f>
        <s:v>159206</s:v>
      </s:c>
      <s:c r="E25" s="54">
        <s:f>D25/6</s:f>
        <s:v>26534.333333333332</s:v>
      </s:c>
      <s:c r="F25" s="54">
        <s:f>E25*12</s:f>
        <s:v>318412</s:v>
      </s:c>
    </s:row>
    <s:row r="26">
      <s:c r="A26" s="15" t="inlineStr">
        <s:is>
          <s:t>Sales and Customer Support</s:t>
        </s:is>
      </s:c>
      <s:c r="B26" s="36" t="n">
        <s:v>59317</s:v>
      </s:c>
      <s:c r="C26" s="36" t="n">
        <s:v>57351</s:v>
      </s:c>
      <s:c r="D26" s="54">
        <s:f>B26+C26</s:f>
        <s:v>116668</s:v>
      </s:c>
      <s:c r="E26" s="54">
        <s:f>D26/6</s:f>
        <s:v>19444.666666666668</s:v>
      </s:c>
      <s:c r="F26" s="54">
        <s:f>E26*12</s:f>
        <s:v>233336</s:v>
      </s:c>
    </s:row>
    <s:row r="27">
      <s:c r="A27" s="15" t="inlineStr">
        <s:is>
          <s:t>General and Admin</s:t>
        </s:is>
      </s:c>
      <s:c r="B27" s="36" t="n">
        <s:v>311772</s:v>
      </s:c>
      <s:c r="C27" s="36" t="n">
        <s:v>436254</s:v>
      </s:c>
      <s:c r="D27" s="54">
        <s:f>B27+C27</s:f>
        <s:v>748026</s:v>
      </s:c>
      <s:c r="E27" s="54">
        <s:f>D27/6</s:f>
        <s:v>124671</s:v>
      </s:c>
      <s:c r="F27" s="54">
        <s:f>E27*12</s:f>
        <s:v>1496052</s:v>
      </s:c>
    </s:row>
    <s:row r="28">
      <s:c r="A28" s="15" t="inlineStr">
        <s:is>
          <s:t>Accounting</s:t>
        </s:is>
      </s:c>
      <s:c r="B28" s="36" t="n">
        <s:v>26972</s:v>
      </s:c>
      <s:c r="C28" s="36" t="n">
        <s:v>35185</s:v>
      </s:c>
      <s:c r="D28" s="54">
        <s:f>B28+C28</s:f>
        <s:v>62157</s:v>
      </s:c>
      <s:c r="E28" s="54">
        <s:f>D28/6</s:f>
        <s:v>10359.5</s:v>
      </s:c>
      <s:c r="F28" s="54">
        <s:f>E28*12</s:f>
        <s:v>124314</s:v>
      </s:c>
    </s:row>
    <s:row r="29">
      <s:c r="A29" s="15" t="inlineStr">
        <s:is>
          <s:t>HR Support</s:t>
        </s:is>
      </s:c>
      <s:c r="B29" s="36" t="n">
        <s:v>36322</s:v>
      </s:c>
      <s:c r="C29" s="36" t="n">
        <s:v>42959</s:v>
      </s:c>
      <s:c r="D29" s="54">
        <s:f>B29+C29</s:f>
        <s:v>79281</s:v>
      </s:c>
      <s:c r="E29" s="54">
        <s:f>D29/6</s:f>
        <s:v>13213.5</s:v>
      </s:c>
      <s:c r="F29" s="54">
        <s:f>E29*12</s:f>
        <s:v>158562</s:v>
      </s:c>
    </s:row>
    <s:row r="30">
      <s:c r="A30" s="15" t="inlineStr">
        <s:is>
          <s:t>IT Support</s:t>
        </s:is>
      </s:c>
      <s:c r="B30" s="36" t="n">
        <s:v>9495</s:v>
      </s:c>
      <s:c r="C30" s="36" t="n">
        <s:v>10026</s:v>
      </s:c>
      <s:c r="D30" s="54">
        <s:f>B30+C30</s:f>
        <s:v>19521</s:v>
      </s:c>
      <s:c r="E30" s="54">
        <s:f>D30/6</s:f>
        <s:v>3253.5</s:v>
      </s:c>
      <s:c r="F30" s="54">
        <s:f>E30*12</s:f>
        <s:v>39042</s:v>
      </s:c>
    </s:row>
    <s:row r="31">
      <s:c r="A31" s="15" t="inlineStr">
        <s:is>
          <s:t>Depreciation and Amortization</s:t>
        </s:is>
      </s:c>
      <s:c r="B31" s="36" t="n">
        <s:v>82166</s:v>
      </s:c>
      <s:c r="C31" s="36" t="n">
        <s:v>99236</s:v>
      </s:c>
      <s:c r="D31" s="54">
        <s:f>B31+C31</s:f>
        <s:v>181402</s:v>
      </s:c>
      <s:c r="E31" s="54">
        <s:f>D31/6</s:f>
        <s:v>30233.666666666668</s:v>
      </s:c>
      <s:c r="F31" s="54">
        <s:f>E31*12</s:f>
        <s:v>362804</s:v>
      </s:c>
    </s:row>
    <s:row r="32">
      <s:c r="A32" s="15" t="inlineStr">
        <s:is>
          <s:t>Taxes</s:t>
        </s:is>
      </s:c>
      <s:c r="B32" s="36" t="n">
        <s:v>4188</s:v>
      </s:c>
      <s:c r="C32" s="36" t="n">
        <s:v>2865</s:v>
      </s:c>
      <s:c r="D32" s="54">
        <s:f>B32+C32</s:f>
        <s:v>7053</s:v>
      </s:c>
      <s:c r="E32" s="54">
        <s:f>D32/6</s:f>
        <s:v>1175.5</s:v>
      </s:c>
      <s:c r="F32" s="54">
        <s:f>E32*12</s:f>
        <s:v>14106</s:v>
      </s:c>
    </s:row>
    <s:row r="33">
      <s:c r="A33" s="3" t="inlineStr">
        <s:is>
          <s:t>Total Expenses</s:t>
        </s:is>
      </s:c>
      <s:c r="B33" s="55">
        <s:f>SUM(B22:B32)</s:f>
        <s:v>1007846</s:v>
      </s:c>
      <s:c r="C33" s="55">
        <s:f>SUM(C22:C32)</s:f>
        <s:v>1309260</s:v>
      </s:c>
      <s:c r="D33" s="55">
        <s:f>B33+C33</s:f>
        <s:v>2317106</s:v>
      </s:c>
      <s:c r="E33" s="54">
        <s:f>D33/6</s:f>
        <s:v>386184.3333333333</s:v>
      </s:c>
      <s:c r="F33" s="54">
        <s:f>E33*12</s:f>
        <s:v>4634212</s:v>
      </s:c>
    </s:row>
    <s:row r="34">
      <s:c r="A34" s="3" t="inlineStr">
        <s:is>
          <s:t>Operating Income (loss)</s:t>
        </s:is>
      </s:c>
      <s:c r="B34" s="55">
        <s:f>B19-B33</s:f>
        <s:v>113760</s:v>
      </s:c>
      <s:c r="C34" s="55">
        <s:f>C19-C33</s:f>
        <s:v>-259952</s:v>
      </s:c>
      <s:c r="D34" s="55">
        <s:f>B34+C34</s:f>
        <s:v>-146192</s:v>
      </s:c>
      <s:c r="E34" s="54">
        <s:f>D34/6</s:f>
        <s:v>-24365.333333333332</s:v>
      </s:c>
      <s:c r="F34" s="54">
        <s:f>E34*12</s:f>
        <s:v>-292384</s:v>
      </s:c>
    </s:row>
    <s:row r="36">
      <s:c r="A36" s="17" t="inlineStr">
        <s:is>
          <s:t>NONOPERATING REVENUE (EXPENSE)</s:t>
        </s:is>
      </s:c>
    </s:row>
    <s:row r="37">
      <s:c r="A37" s="15" t="inlineStr">
        <s:is>
          <s:t>Grant Income</s:t>
        </s:is>
      </s:c>
      <s:c r="B37" s="36" t="n">
        <s:v>196019</s:v>
      </s:c>
      <s:c r="C37" s="36" t="n">
        <s:v>196019</s:v>
      </s:c>
      <s:c r="D37" s="54">
        <s:f>B37+C37</s:f>
        <s:v>392038</s:v>
      </s:c>
    </s:row>
    <s:row r="38">
      <s:c r="A38" s="15" t="inlineStr">
        <s:is>
          <s:t>BTAP Revenue</s:t>
        </s:is>
      </s:c>
      <s:c r="B38" s="36" t="n">
        <s:v>44566</s:v>
      </s:c>
      <s:c r="C38" s="36" t="n">
        <s:v>6120</s:v>
      </s:c>
      <s:c r="D38" s="54">
        <s:f>B38+C38</s:f>
        <s:v>50686</s:v>
      </s:c>
    </s:row>
    <s:row r="39">
      <s:c r="A39" s="15" t="inlineStr">
        <s:is>
          <s:t>CAB Revenue</s:t>
        </s:is>
      </s:c>
      <s:c r="B39" s="36" t="n">
        <s:v>0</s:v>
      </s:c>
      <s:c r="C39" s="36" t="n">
        <s:v>48171</s:v>
      </s:c>
      <s:c r="D39" s="54">
        <s:f>B39+C39</s:f>
        <s:v>48171</s:v>
      </s:c>
    </s:row>
    <s:row r="40">
      <s:c r="A40" s="15" t="inlineStr">
        <s:is>
          <s:t>Other Income</s:t>
        </s:is>
      </s:c>
      <s:c r="B40" s="36" t="n">
        <s:v>-1500</s:v>
      </s:c>
      <s:c r="C40" s="36" t="n">
        <s:v>0</s:v>
      </s:c>
      <s:c r="D40" s="54">
        <s:f>B40+C40</s:f>
        <s:v>-1500</s:v>
      </s:c>
    </s:row>
    <s:row r="41">
      <s:c r="A41" s="15" t="inlineStr">
        <s:is>
          <s:t>CAB Grant Expense</s:t>
        </s:is>
      </s:c>
      <s:c r="B41" s="36" t="n">
        <s:v>-3622</s:v>
      </s:c>
      <s:c r="C41" s="36" t="n">
        <s:v>-2304</s:v>
      </s:c>
      <s:c r="D41" s="54">
        <s:f>B41+C41</s:f>
        <s:v>-5926</s:v>
      </s:c>
    </s:row>
    <s:row r="42">
      <s:c r="A42" s="15" t="inlineStr">
        <s:is>
          <s:t>BTAP Grant Expense</s:t>
        </s:is>
      </s:c>
      <s:c r="B42" s="36" t="n">
        <s:v>0</s:v>
      </s:c>
      <s:c r="C42" s="36" t="n">
        <s:v>0</s:v>
      </s:c>
      <s:c r="D42" s="54">
        <s:f>B42+C42</s:f>
        <s:v>0</s:v>
      </s:c>
    </s:row>
    <s:row r="43">
      <s:c r="A43" s="15" t="inlineStr">
        <s:is>
          <s:t>BEAD Grant Expense</s:t>
        </s:is>
      </s:c>
      <s:c r="B43" s="36" t="n">
        <s:v>114241</s:v>
      </s:c>
      <s:c r="C43" s="36" t="n">
        <s:v>3032</s:v>
      </s:c>
      <s:c r="D43" s="54">
        <s:f>B43+C43</s:f>
        <s:v>117273</s:v>
      </s:c>
    </s:row>
    <s:row r="44">
      <s:c r="A44" s="15" t="inlineStr">
        <s:is>
          <s:t>Interest Income</s:t>
        </s:is>
      </s:c>
      <s:c r="B44" s="36" t="n">
        <s:v>0</s:v>
      </s:c>
      <s:c r="C44" s="36" t="n">
        <s:v>0</s:v>
      </s:c>
      <s:c r="D44" s="54">
        <s:f>B44+C44</s:f>
        <s:v>0</s:v>
      </s:c>
    </s:row>
    <s:row r="45">
      <s:c r="A45" s="15" t="inlineStr">
        <s:is>
          <s:t>Interest Expense</s:t>
        </s:is>
      </s:c>
      <s:c r="B45" s="36" t="n">
        <s:v>-116277</s:v>
      </s:c>
      <s:c r="C45" s="36" t="n">
        <s:v>-115833</s:v>
      </s:c>
      <s:c r="D45" s="54">
        <s:f>B45+C45</s:f>
        <s:v>-232110</s:v>
      </s:c>
    </s:row>
    <s:row r="46">
      <s:c r="A46" s="3" t="inlineStr">
        <s:is>
          <s:t>Total Nonoperating Income (Expense)</s:t>
        </s:is>
      </s:c>
      <s:c r="B46" s="55">
        <s:f>SUM(B37:B45)</s:f>
        <s:v>233427</s:v>
      </s:c>
      <s:c r="C46" s="55">
        <s:f>SUM(C37:C45)</s:f>
        <s:v>135205</s:v>
      </s:c>
      <s:c r="D46" s="55">
        <s:f>B46+C46</s:f>
        <s:v>368632</s:v>
      </s:c>
    </s:row>
    <s:row r="47">
      <s:c r="A47" s="3" t="inlineStr">
        <s:is>
          <s:t>Net Income (loss)</s:t>
        </s:is>
      </s:c>
      <s:c r="B47" s="55">
        <s:f>B34+B46</s:f>
        <s:v>347187</s:v>
      </s:c>
      <s:c r="C47" s="55">
        <s:f>C34+C46</s:f>
        <s:v>-124747</s:v>
      </s:c>
      <s:c r="D47" s="55">
        <s:f>B47+C47</s:f>
        <s:v>222440</s:v>
      </s:c>
    </s:row>
    <s:row r="49">
      <s:c r="A49" s="17" t="inlineStr">
        <s:is>
          <s:t>CALIBRATION TO 2027 MODEL</s:t>
        </s:is>
      </s:c>
    </s:row>
    <s:row r="50">
      <s:c r="A50" s="15" t="inlineStr">
        <s:is>
          <s:t>Residential ARPU (from Key Assumptions)</s:t>
        </s:is>
      </s:c>
      <s:c r="B50" s="55">
        <s:f>'Key Assumptions'!B21</s:f>
        <s:v>74</s:v>
      </s:c>
    </s:row>
    <s:row r="51">
      <s:c r="A51" s="15" t="inlineStr">
        <s:is>
          <s:t>Implied residential subscribers (H1 run-rate)</s:t>
        </s:is>
      </s:c>
      <s:c r="B51" s="56">
        <s:f>ROUND(E6/B50,0)</s:f>
        <s:v>4048</s:v>
      </s:c>
    </s:row>
    <s:row r="52">
      <s:c r="A52" s="15" t="inlineStr">
        <s:is>
          <s:t>Business ARPU (from Key Assumptions)</s:t>
        </s:is>
      </s:c>
      <s:c r="B52" s="55">
        <s:f>'Key Assumptions'!B41</s:f>
        <s:v>149</s:v>
      </s:c>
    </s:row>
    <s:row r="53">
      <s:c r="A53" s="15" t="inlineStr">
        <s:is>
          <s:t>Implied business customers (H1 run-rate)</s:t>
        </s:is>
      </s:c>
      <s:c r="B53" s="56">
        <s:f>ROUND(E13/B52,0)</s:f>
        <s:v>249</s:v>
      </s:c>
    </s:row>
    <s:row r="54">
      <s:c r="A54" s="15" t="inlineStr">
        <s:is>
          <s:t>Dark fiber monthly run-rate (actual)</s:t>
        </s:is>
      </s:c>
      <s:c r="B54" s="55">
        <s:f>E18</s:f>
        <s:v>1595</s:v>
      </s:c>
    </s:row>
    <s:row r="55">
      <s:c r="A55" s="15" t="inlineStr">
        <s:is>
          <s:t>Annualized total operating revenue</s:t>
        </s:is>
      </s:c>
      <s:c r="B55" s="55">
        <s:f>F19</s:f>
        <s:v>4341828</s:v>
      </s:c>
    </s:row>
    <s:row r="56">
      <s:c r="A56" s="15" t="inlineStr">
        <s:is>
          <s:t>Variable cost ratio (COGS / revenue)</s:t>
        </s:is>
      </s:c>
      <s:c r="B56" s="57">
        <s:f>IFERROR(F22/F19,0)</s:f>
        <s:v>0.14797730356891153</s:v>
      </s:c>
    </s:row>
    <s:row r="57">
      <s:c r="A57" s="15" t="inlineStr">
        <s:is>
          <s:t>Annualized fixed operating cost (ex-COGS)</s:t>
        </s:is>
      </s:c>
      <s:c r="B57" s="55">
        <s:f>F33-F22</s:f>
        <s:v>3991720</s:v>
      </s:c>
    </s:row>
    <s:row r="59">
      <s:c r="A59" s="58" t="inlineStr">
        <s:is>
          <s:t>Note: H1 2026 net income of $222,441 was driven largely by grant/BTAP/CAB nonoperating income; operating result was a $(146,191) loss. The 2027 model forecasts operating revenue only.</s:t>
        </s:is>
      </s:c>
      <s:c r="B59" s="59" t="n"/>
      <s:c r="C59" s="59" t="n"/>
      <s:c r="D59" s="59" t="n"/>
      <s:c r="E59" s="59" t="n"/>
      <s:c r="F59" s="60" t="n"/>
    </s:row>
    <s:row r="60">
      <s:c r="A60" s="61" t="n"/>
      <s:c r="B60" s="62" t="n"/>
      <s:c r="C60" s="62" t="n"/>
      <s:c r="D60" s="62" t="n"/>
      <s:c r="E60" s="62" t="n"/>
      <s:c r="F60" s="63" t="n"/>
    </s:row>
  </s:sheetData>
  <s:mergeCells count="8">
    <s:mergeCell ref="A59:F60"/>
    <s:mergeCell ref="A2:F2"/>
    <s:mergeCell ref="A49:F49"/>
    <s:mergeCell ref="A36:F36"/>
    <s:mergeCell ref="A1:F1"/>
    <s:mergeCell ref="A5:F5"/>
    <s:mergeCell ref="A12:F12"/>
    <s:mergeCell ref="A21:F21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tabColor rgb="002E75B6"/>
    <s:outlinePr summaryBelow="1" summaryRight="1"/>
    <s:pageSetUpPr/>
  </s:sheetPr>
  <s:dimension ref="A1:N28"/>
  <s:sheetViews>
    <s:sheetView showGridLines="0" workbookViewId="0">
      <s:pane xSplit="1" ySplit="4" topLeftCell="B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0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</s:cols>
  <s:sheetData>
    <s:row r="1" ht="30" customHeight="1">
      <s:c r="A1" s="1" t="inlineStr">
        <s:is>
          <s:t>RESIDENTIAL BROADBAND FORECAST — 2027</s:t>
        </s:is>
      </s:c>
    </s:row>
    <s:row r="2">
      <s:c r="A2" s="2" t="inlineStr">
        <s:is>
          <s:t>Monthly customer roll-forward and revenue. Grey = formulas (do not edit); edit assumptions on Key Assumptions.</s:t>
        </s:is>
      </s:c>
    </s:row>
    <s:row r="3">
      <s:c r="A3" s="64" t="inlineStr">
        <s:is>
          <s:t>Metric</s:t>
        </s:is>
      </s:c>
      <s:c r="B3" s="65" t="n">
        <s:v>46388</s:v>
      </s:c>
      <s:c r="C3" s="65" t="n">
        <s:v>46419</s:v>
      </s:c>
      <s:c r="D3" s="65" t="n">
        <s:v>46447</s:v>
      </s:c>
      <s:c r="E3" s="65" t="n">
        <s:v>46478</s:v>
      </s:c>
      <s:c r="F3" s="65" t="n">
        <s:v>46508</s:v>
      </s:c>
      <s:c r="G3" s="65" t="n">
        <s:v>46539</s:v>
      </s:c>
      <s:c r="H3" s="65" t="n">
        <s:v>46569</s:v>
      </s:c>
      <s:c r="I3" s="65" t="n">
        <s:v>46600</s:v>
      </s:c>
      <s:c r="J3" s="65" t="n">
        <s:v>46631</s:v>
      </s:c>
      <s:c r="K3" s="65" t="n">
        <s:v>46661</s:v>
      </s:c>
      <s:c r="L3" s="65" t="n">
        <s:v>46692</s:v>
      </s:c>
      <s:c r="M3" s="65" t="n">
        <s:v>46722</s:v>
      </s:c>
      <s:c r="N3" s="25" t="inlineStr">
        <s:is>
          <s:t>FY 2027</s:t>
        </s:is>
      </s:c>
    </s:row>
    <s:row r="4">
      <s:c r="A4" s="7" t="inlineStr">
        <s:is>
          <s:t>Month #</s:t>
        </s:is>
      </s:c>
      <s:c r="B4" s="66" t="n">
        <s:v>1</s:v>
      </s:c>
      <s:c r="C4" s="66" t="n">
        <s:v>2</s:v>
      </s:c>
      <s:c r="D4" s="66" t="n">
        <s:v>3</s:v>
      </s:c>
      <s:c r="E4" s="66" t="n">
        <s:v>4</s:v>
      </s:c>
      <s:c r="F4" s="66" t="n">
        <s:v>5</s:v>
      </s:c>
      <s:c r="G4" s="66" t="n">
        <s:v>6</s:v>
      </s:c>
      <s:c r="H4" s="66" t="n">
        <s:v>7</s:v>
      </s:c>
      <s:c r="I4" s="66" t="n">
        <s:v>8</s:v>
      </s:c>
      <s:c r="J4" s="66" t="n">
        <s:v>9</s:v>
      </s:c>
      <s:c r="K4" s="66" t="n">
        <s:v>10</s:v>
      </s:c>
      <s:c r="L4" s="66" t="n">
        <s:v>11</s:v>
      </s:c>
      <s:c r="M4" s="66" t="n">
        <s:v>12</s:v>
      </s:c>
    </s:row>
    <s:row r="5">
      <s:c r="A5" s="17" t="inlineStr">
        <s:is>
          <s:t>CUSTOMER MOVEMENT</s:t>
        </s:is>
      </s:c>
    </s:row>
    <s:row r="6">
      <s:c r="A6" s="15" t="inlineStr">
        <s:is>
          <s:t>Beginning subscribers</s:t>
        </s:is>
      </s:c>
      <s:c r="B6" s="67">
        <s:f>'Key Assumptions'!$B$16</s:f>
        <s:v>4048</s:v>
      </s:c>
      <s:c r="C6" s="68">
        <s:f>B12</s:f>
        <s:v>4050</s:v>
      </s:c>
      <s:c r="D6" s="68">
        <s:f>C12</s:f>
        <s:v>4052</s:v>
      </s:c>
      <s:c r="E6" s="68">
        <s:f>D12</s:f>
        <s:v>4054</s:v>
      </s:c>
      <s:c r="F6" s="68">
        <s:f>E12</s:f>
        <s:v>4056</s:v>
      </s:c>
      <s:c r="G6" s="68">
        <s:f>F12</s:f>
        <s:v>4058</s:v>
      </s:c>
      <s:c r="H6" s="68">
        <s:f>G12</s:f>
        <s:v>4060</s:v>
      </s:c>
      <s:c r="I6" s="68">
        <s:f>H12</s:f>
        <s:v>4062</s:v>
      </s:c>
      <s:c r="J6" s="68">
        <s:f>I12</s:f>
        <s:v>4064</s:v>
      </s:c>
      <s:c r="K6" s="68">
        <s:f>J12</s:f>
        <s:v>4066</s:v>
      </s:c>
      <s:c r="L6" s="68">
        <s:f>K12</s:f>
        <s:v>4068</s:v>
      </s:c>
      <s:c r="M6" s="68">
        <s:f>L12</s:f>
        <s:v>4070</s:v>
      </s:c>
      <s:c r="N6" s="69">
        <s:f>B6</s:f>
        <s:v>4048</s:v>
      </s:c>
    </s:row>
    <s:row r="7">
      <s:c r="A7" s="15" t="inlineStr">
        <s:is>
          <s:t>Gross additions</s:t>
        </s:is>
      </s:c>
      <s:c r="B7" s="68">
        <s:f>ROUND('Key Assumptions'!$B$17*'Key Assumptions'!$B$12,0)</s:f>
        <s:v>60</s:v>
      </s:c>
      <s:c r="C7" s="68">
        <s:f>ROUND('Key Assumptions'!$B$17*'Key Assumptions'!$B$12,0)</s:f>
        <s:v>60</s:v>
      </s:c>
      <s:c r="D7" s="68">
        <s:f>ROUND('Key Assumptions'!$B$17*'Key Assumptions'!$B$12,0)</s:f>
        <s:v>60</s:v>
      </s:c>
      <s:c r="E7" s="68">
        <s:f>ROUND('Key Assumptions'!$B$17*'Key Assumptions'!$B$12,0)</s:f>
        <s:v>60</s:v>
      </s:c>
      <s:c r="F7" s="68">
        <s:f>ROUND('Key Assumptions'!$B$17*'Key Assumptions'!$B$12,0)</s:f>
        <s:v>60</s:v>
      </s:c>
      <s:c r="G7" s="68">
        <s:f>ROUND('Key Assumptions'!$B$17*'Key Assumptions'!$B$12,0)</s:f>
        <s:v>60</s:v>
      </s:c>
      <s:c r="H7" s="68">
        <s:f>ROUND('Key Assumptions'!$B$17*'Key Assumptions'!$B$12,0)</s:f>
        <s:v>60</s:v>
      </s:c>
      <s:c r="I7" s="68">
        <s:f>ROUND('Key Assumptions'!$B$17*'Key Assumptions'!$B$12,0)</s:f>
        <s:v>60</s:v>
      </s:c>
      <s:c r="J7" s="68">
        <s:f>ROUND('Key Assumptions'!$B$17*'Key Assumptions'!$B$12,0)</s:f>
        <s:v>60</s:v>
      </s:c>
      <s:c r="K7" s="68">
        <s:f>ROUND('Key Assumptions'!$B$17*'Key Assumptions'!$B$12,0)</s:f>
        <s:v>60</s:v>
      </s:c>
      <s:c r="L7" s="68">
        <s:f>ROUND('Key Assumptions'!$B$17*'Key Assumptions'!$B$12,0)</s:f>
        <s:v>60</s:v>
      </s:c>
      <s:c r="M7" s="68">
        <s:f>ROUND('Key Assumptions'!$B$17*'Key Assumptions'!$B$12,0)</s:f>
        <s:v>60</s:v>
      </s:c>
      <s:c r="N7" s="69">
        <s:f>SUM(B7:M7)</s:f>
        <s:v>720</s:v>
      </s:c>
    </s:row>
    <s:row r="8">
      <s:c r="A8" s="15" t="inlineStr">
        <s:is>
          <s:t>Reconnects</s:t>
        </s:is>
      </s:c>
      <s:c r="B8" s="68">
        <s:f>'Key Assumptions'!$B$20</s:f>
        <s:v>8</s:v>
      </s:c>
      <s:c r="C8" s="68">
        <s:f>'Key Assumptions'!$B$20</s:f>
        <s:v>8</s:v>
      </s:c>
      <s:c r="D8" s="68">
        <s:f>'Key Assumptions'!$B$20</s:f>
        <s:v>8</s:v>
      </s:c>
      <s:c r="E8" s="68">
        <s:f>'Key Assumptions'!$B$20</s:f>
        <s:v>8</s:v>
      </s:c>
      <s:c r="F8" s="68">
        <s:f>'Key Assumptions'!$B$20</s:f>
        <s:v>8</s:v>
      </s:c>
      <s:c r="G8" s="68">
        <s:f>'Key Assumptions'!$B$20</s:f>
        <s:v>8</s:v>
      </s:c>
      <s:c r="H8" s="68">
        <s:f>'Key Assumptions'!$B$20</s:f>
        <s:v>8</s:v>
      </s:c>
      <s:c r="I8" s="68">
        <s:f>'Key Assumptions'!$B$20</s:f>
        <s:v>8</s:v>
      </s:c>
      <s:c r="J8" s="68">
        <s:f>'Key Assumptions'!$B$20</s:f>
        <s:v>8</s:v>
      </s:c>
      <s:c r="K8" s="68">
        <s:f>'Key Assumptions'!$B$20</s:f>
        <s:v>8</s:v>
      </s:c>
      <s:c r="L8" s="68">
        <s:f>'Key Assumptions'!$B$20</s:f>
        <s:v>8</s:v>
      </s:c>
      <s:c r="M8" s="68">
        <s:f>'Key Assumptions'!$B$20</s:f>
        <s:v>8</s:v>
      </s:c>
      <s:c r="N8" s="69">
        <s:f>SUM(B8:M8)</s:f>
        <s:v>96</s:v>
      </s:c>
    </s:row>
    <s:row r="9">
      <s:c r="A9" s="15" t="inlineStr">
        <s:is>
          <s:t>Disconnects from churn</s:t>
        </s:is>
      </s:c>
      <s:c r="B9" s="68">
        <s:f>ROUND(B6*'Key Assumptions'!$B$18*'Key Assumptions'!$C$12,0)</s:f>
        <s:v>61</s:v>
      </s:c>
      <s:c r="C9" s="68">
        <s:f>ROUND(C6*'Key Assumptions'!$B$18*'Key Assumptions'!$C$12,0)</s:f>
        <s:v>61</s:v>
      </s:c>
      <s:c r="D9" s="68">
        <s:f>ROUND(D6*'Key Assumptions'!$B$18*'Key Assumptions'!$C$12,0)</s:f>
        <s:v>61</s:v>
      </s:c>
      <s:c r="E9" s="68">
        <s:f>ROUND(E6*'Key Assumptions'!$B$18*'Key Assumptions'!$C$12,0)</s:f>
        <s:v>61</s:v>
      </s:c>
      <s:c r="F9" s="68">
        <s:f>ROUND(F6*'Key Assumptions'!$B$18*'Key Assumptions'!$C$12,0)</s:f>
        <s:v>61</s:v>
      </s:c>
      <s:c r="G9" s="68">
        <s:f>ROUND(G6*'Key Assumptions'!$B$18*'Key Assumptions'!$C$12,0)</s:f>
        <s:v>61</s:v>
      </s:c>
      <s:c r="H9" s="68">
        <s:f>ROUND(H6*'Key Assumptions'!$B$18*'Key Assumptions'!$C$12,0)</s:f>
        <s:v>61</s:v>
      </s:c>
      <s:c r="I9" s="68">
        <s:f>ROUND(I6*'Key Assumptions'!$B$18*'Key Assumptions'!$C$12,0)</s:f>
        <s:v>61</s:v>
      </s:c>
      <s:c r="J9" s="68">
        <s:f>ROUND(J6*'Key Assumptions'!$B$18*'Key Assumptions'!$C$12,0)</s:f>
        <s:v>61</s:v>
      </s:c>
      <s:c r="K9" s="68">
        <s:f>ROUND(K6*'Key Assumptions'!$B$18*'Key Assumptions'!$C$12,0)</s:f>
        <s:v>61</s:v>
      </s:c>
      <s:c r="L9" s="68">
        <s:f>ROUND(L6*'Key Assumptions'!$B$18*'Key Assumptions'!$C$12,0)</s:f>
        <s:v>61</s:v>
      </s:c>
      <s:c r="M9" s="68">
        <s:f>ROUND(M6*'Key Assumptions'!$B$18*'Key Assumptions'!$C$12,0)</s:f>
        <s:v>61</s:v>
      </s:c>
      <s:c r="N9" s="69">
        <s:f>SUM(B9:M9)</s:f>
        <s:v>732</s:v>
      </s:c>
    </s:row>
    <s:row r="10">
      <s:c r="A10" s="15" t="inlineStr">
        <s:is>
          <s:t>Other disconnects</s:t>
        </s:is>
      </s:c>
      <s:c r="B10" s="68">
        <s:f>'Key Assumptions'!$B$19</s:f>
        <s:v>5</s:v>
      </s:c>
      <s:c r="C10" s="68">
        <s:f>'Key Assumptions'!$B$19</s:f>
        <s:v>5</s:v>
      </s:c>
      <s:c r="D10" s="68">
        <s:f>'Key Assumptions'!$B$19</s:f>
        <s:v>5</s:v>
      </s:c>
      <s:c r="E10" s="68">
        <s:f>'Key Assumptions'!$B$19</s:f>
        <s:v>5</s:v>
      </s:c>
      <s:c r="F10" s="68">
        <s:f>'Key Assumptions'!$B$19</s:f>
        <s:v>5</s:v>
      </s:c>
      <s:c r="G10" s="68">
        <s:f>'Key Assumptions'!$B$19</s:f>
        <s:v>5</s:v>
      </s:c>
      <s:c r="H10" s="68">
        <s:f>'Key Assumptions'!$B$19</s:f>
        <s:v>5</s:v>
      </s:c>
      <s:c r="I10" s="68">
        <s:f>'Key Assumptions'!$B$19</s:f>
        <s:v>5</s:v>
      </s:c>
      <s:c r="J10" s="68">
        <s:f>'Key Assumptions'!$B$19</s:f>
        <s:v>5</s:v>
      </s:c>
      <s:c r="K10" s="68">
        <s:f>'Key Assumptions'!$B$19</s:f>
        <s:v>5</s:v>
      </s:c>
      <s:c r="L10" s="68">
        <s:f>'Key Assumptions'!$B$19</s:f>
        <s:v>5</s:v>
      </s:c>
      <s:c r="M10" s="68">
        <s:f>'Key Assumptions'!$B$19</s:f>
        <s:v>5</s:v>
      </s:c>
      <s:c r="N10" s="69">
        <s:f>SUM(B10:M10)</s:f>
        <s:v>60</s:v>
      </s:c>
    </s:row>
    <s:row r="11">
      <s:c r="A11" s="3" t="inlineStr">
        <s:is>
          <s:t>Net additions</s:t>
        </s:is>
      </s:c>
      <s:c r="B11" s="70">
        <s:f>B7+B8-B9-B10</s:f>
        <s:v>2</s:v>
      </s:c>
      <s:c r="C11" s="70">
        <s:f>C7+C8-C9-C10</s:f>
        <s:v>2</s:v>
      </s:c>
      <s:c r="D11" s="70">
        <s:f>D7+D8-D9-D10</s:f>
        <s:v>2</s:v>
      </s:c>
      <s:c r="E11" s="70">
        <s:f>E7+E8-E9-E10</s:f>
        <s:v>2</s:v>
      </s:c>
      <s:c r="F11" s="70">
        <s:f>F7+F8-F9-F10</s:f>
        <s:v>2</s:v>
      </s:c>
      <s:c r="G11" s="70">
        <s:f>G7+G8-G9-G10</s:f>
        <s:v>2</s:v>
      </s:c>
      <s:c r="H11" s="70">
        <s:f>H7+H8-H9-H10</s:f>
        <s:v>2</s:v>
      </s:c>
      <s:c r="I11" s="70">
        <s:f>I7+I8-I9-I10</s:f>
        <s:v>2</s:v>
      </s:c>
      <s:c r="J11" s="70">
        <s:f>J7+J8-J9-J10</s:f>
        <s:v>2</s:v>
      </s:c>
      <s:c r="K11" s="70">
        <s:f>K7+K8-K9-K10</s:f>
        <s:v>2</s:v>
      </s:c>
      <s:c r="L11" s="70">
        <s:f>L7+L8-L9-L10</s:f>
        <s:v>2</s:v>
      </s:c>
      <s:c r="M11" s="70">
        <s:f>M7+M8-M9-M10</s:f>
        <s:v>2</s:v>
      </s:c>
      <s:c r="N11" s="69">
        <s:f>SUM(B11:M11)</s:f>
        <s:v>24</s:v>
      </s:c>
    </s:row>
    <s:row r="12">
      <s:c r="A12" s="3" t="inlineStr">
        <s:is>
          <s:t>Ending subscribers</s:t>
        </s:is>
      </s:c>
      <s:c r="B12" s="70">
        <s:f>MAX(0,B6+B11)</s:f>
        <s:v>4050</s:v>
      </s:c>
      <s:c r="C12" s="70">
        <s:f>MAX(0,C6+C11)</s:f>
        <s:v>4052</s:v>
      </s:c>
      <s:c r="D12" s="70">
        <s:f>MAX(0,D6+D11)</s:f>
        <s:v>4054</s:v>
      </s:c>
      <s:c r="E12" s="70">
        <s:f>MAX(0,E6+E11)</s:f>
        <s:v>4056</s:v>
      </s:c>
      <s:c r="F12" s="70">
        <s:f>MAX(0,F6+F11)</s:f>
        <s:v>4058</s:v>
      </s:c>
      <s:c r="G12" s="70">
        <s:f>MAX(0,G6+G11)</s:f>
        <s:v>4060</s:v>
      </s:c>
      <s:c r="H12" s="70">
        <s:f>MAX(0,H6+H11)</s:f>
        <s:v>4062</s:v>
      </s:c>
      <s:c r="I12" s="70">
        <s:f>MAX(0,I6+I11)</s:f>
        <s:v>4064</s:v>
      </s:c>
      <s:c r="J12" s="70">
        <s:f>MAX(0,J6+J11)</s:f>
        <s:v>4066</s:v>
      </s:c>
      <s:c r="K12" s="70">
        <s:f>MAX(0,K6+K11)</s:f>
        <s:v>4068</s:v>
      </s:c>
      <s:c r="L12" s="70">
        <s:f>MAX(0,L6+L11)</s:f>
        <s:v>4070</s:v>
      </s:c>
      <s:c r="M12" s="70">
        <s:f>MAX(0,M6+M11)</s:f>
        <s:v>4072</s:v>
      </s:c>
      <s:c r="N12" s="69">
        <s:f>M12</s:f>
        <s:v>4072</s:v>
      </s:c>
    </s:row>
    <s:row r="13">
      <s:c r="A13" s="15" t="inlineStr">
        <s:is>
          <s:t>Average billable subscribers</s:t>
        </s:is>
      </s:c>
      <s:c r="B13" s="68">
        <s:f>IF('Key Assumptions'!$B$31="Average",(B6+B12)/2,IF('Key Assumptions'!$B$31="Beginning",B6,B12))</s:f>
        <s:v>4049</s:v>
      </s:c>
      <s:c r="C13" s="68">
        <s:f>IF('Key Assumptions'!$B$31="Average",(C6+C12)/2,IF('Key Assumptions'!$B$31="Beginning",C6,C12))</s:f>
        <s:v>4051</s:v>
      </s:c>
      <s:c r="D13" s="68">
        <s:f>IF('Key Assumptions'!$B$31="Average",(D6+D12)/2,IF('Key Assumptions'!$B$31="Beginning",D6,D12))</s:f>
        <s:v>4053</s:v>
      </s:c>
      <s:c r="E13" s="68">
        <s:f>IF('Key Assumptions'!$B$31="Average",(E6+E12)/2,IF('Key Assumptions'!$B$31="Beginning",E6,E12))</s:f>
        <s:v>4055</s:v>
      </s:c>
      <s:c r="F13" s="68">
        <s:f>IF('Key Assumptions'!$B$31="Average",(F6+F12)/2,IF('Key Assumptions'!$B$31="Beginning",F6,F12))</s:f>
        <s:v>4057</s:v>
      </s:c>
      <s:c r="G13" s="68">
        <s:f>IF('Key Assumptions'!$B$31="Average",(G6+G12)/2,IF('Key Assumptions'!$B$31="Beginning",G6,G12))</s:f>
        <s:v>4059</s:v>
      </s:c>
      <s:c r="H13" s="68">
        <s:f>IF('Key Assumptions'!$B$31="Average",(H6+H12)/2,IF('Key Assumptions'!$B$31="Beginning",H6,H12))</s:f>
        <s:v>4061</s:v>
      </s:c>
      <s:c r="I13" s="68">
        <s:f>IF('Key Assumptions'!$B$31="Average",(I6+I12)/2,IF('Key Assumptions'!$B$31="Beginning",I6,I12))</s:f>
        <s:v>4063</s:v>
      </s:c>
      <s:c r="J13" s="68">
        <s:f>IF('Key Assumptions'!$B$31="Average",(J6+J12)/2,IF('Key Assumptions'!$B$31="Beginning",J6,J12))</s:f>
        <s:v>4065</s:v>
      </s:c>
      <s:c r="K13" s="68">
        <s:f>IF('Key Assumptions'!$B$31="Average",(K6+K12)/2,IF('Key Assumptions'!$B$31="Beginning",K6,K12))</s:f>
        <s:v>4067</s:v>
      </s:c>
      <s:c r="L13" s="68">
        <s:f>IF('Key Assumptions'!$B$31="Average",(L6+L12)/2,IF('Key Assumptions'!$B$31="Beginning",L6,L12))</s:f>
        <s:v>4069</s:v>
      </s:c>
      <s:c r="M13" s="68">
        <s:f>IF('Key Assumptions'!$B$31="Average",(M6+M12)/2,IF('Key Assumptions'!$B$31="Beginning",M6,M12))</s:f>
        <s:v>4071</s:v>
      </s:c>
      <s:c r="N13" s="69">
        <s:f>AVERAGE(B13:M13)</s:f>
        <s:v>4060</s:v>
      </s:c>
    </s:row>
    <s:row r="14">
      <s:c r="A14" s="17" t="inlineStr">
        <s:is>
          <s:t>REVENUE</s:t>
        </s:is>
      </s:c>
    </s:row>
    <s:row r="15">
      <s:c r="A15" s="15" t="inlineStr">
        <s:is>
          <s:t>Standard recurring broadband revenue</s:t>
        </s:is>
      </s:c>
      <s:c r="B15" s="16">
        <s:f>B13*('Key Assumptions'!$B$21*IF(B4&gt;='Key Assumptions'!$B$22,1+'Key Assumptions'!$B$23,1)*'Key Assumptions'!$D$12)</s:f>
        <s:v>299626</s:v>
      </s:c>
      <s:c r="C15" s="16">
        <s:f>C13*('Key Assumptions'!$B$21*IF(C4&gt;='Key Assumptions'!$B$22,1+'Key Assumptions'!$B$23,1)*'Key Assumptions'!$D$12)</s:f>
        <s:v>299774</s:v>
      </s:c>
      <s:c r="D15" s="16">
        <s:f>D13*('Key Assumptions'!$B$21*IF(D4&gt;='Key Assumptions'!$B$22,1+'Key Assumptions'!$B$23,1)*'Key Assumptions'!$D$12)</s:f>
        <s:v>299922</s:v>
      </s:c>
      <s:c r="E15" s="16">
        <s:f>E13*('Key Assumptions'!$B$21*IF(E4&gt;='Key Assumptions'!$B$22,1+'Key Assumptions'!$B$23,1)*'Key Assumptions'!$D$12)</s:f>
        <s:v>300070</s:v>
      </s:c>
      <s:c r="F15" s="16">
        <s:f>F13*('Key Assumptions'!$B$21*IF(F4&gt;='Key Assumptions'!$B$22,1+'Key Assumptions'!$B$23,1)*'Key Assumptions'!$D$12)</s:f>
        <s:v>300218</s:v>
      </s:c>
      <s:c r="G15" s="16">
        <s:f>G13*('Key Assumptions'!$B$21*IF(G4&gt;='Key Assumptions'!$B$22,1+'Key Assumptions'!$B$23,1)*'Key Assumptions'!$D$12)</s:f>
        <s:v>300366</s:v>
      </s:c>
      <s:c r="H15" s="16">
        <s:f>H13*('Key Assumptions'!$B$21*IF(H4&gt;='Key Assumptions'!$B$22,1+'Key Assumptions'!$B$23,1)*'Key Assumptions'!$D$12)</s:f>
        <s:v>309529.42</s:v>
      </s:c>
      <s:c r="I15" s="16">
        <s:f>I13*('Key Assumptions'!$B$21*IF(I4&gt;='Key Assumptions'!$B$22,1+'Key Assumptions'!$B$23,1)*'Key Assumptions'!$D$12)</s:f>
        <s:v>309681.86</s:v>
      </s:c>
      <s:c r="J15" s="16">
        <s:f>J13*('Key Assumptions'!$B$21*IF(J4&gt;='Key Assumptions'!$B$22,1+'Key Assumptions'!$B$23,1)*'Key Assumptions'!$D$12)</s:f>
        <s:v>309834.3</s:v>
      </s:c>
      <s:c r="K15" s="16">
        <s:f>K13*('Key Assumptions'!$B$21*IF(K4&gt;='Key Assumptions'!$B$22,1+'Key Assumptions'!$B$23,1)*'Key Assumptions'!$D$12)</s:f>
        <s:v>309986.74</s:v>
      </s:c>
      <s:c r="L15" s="16">
        <s:f>L13*('Key Assumptions'!$B$21*IF(L4&gt;='Key Assumptions'!$B$22,1+'Key Assumptions'!$B$23,1)*'Key Assumptions'!$D$12)</s:f>
        <s:v>310139.18</s:v>
      </s:c>
      <s:c r="M15" s="16">
        <s:f>M13*('Key Assumptions'!$B$21*IF(M4&gt;='Key Assumptions'!$B$22,1+'Key Assumptions'!$B$23,1)*'Key Assumptions'!$D$12)</s:f>
        <s:v>310291.62</s:v>
      </s:c>
      <s:c r="N15" s="71">
        <s:f>SUM(B15:M15)</s:f>
        <s:v>3659439.1200000006</s:v>
      </s:c>
    </s:row>
    <s:row r="16">
      <s:c r="A16" s="15" t="inlineStr">
        <s:is>
          <s:t>Upgrade revenue</s:t>
        </s:is>
      </s:c>
      <s:c r="B16" s="16">
        <s:f>B13*'Key Assumptions'!$B$26*'Key Assumptions'!$B$25</s:f>
        <s:v>2024.5</s:v>
      </s:c>
      <s:c r="C16" s="16">
        <s:f>C13*'Key Assumptions'!$B$26*'Key Assumptions'!$B$25</s:f>
        <s:v>2025.5</s:v>
      </s:c>
      <s:c r="D16" s="16">
        <s:f>D13*'Key Assumptions'!$B$26*'Key Assumptions'!$B$25</s:f>
        <s:v>2026.5</s:v>
      </s:c>
      <s:c r="E16" s="16">
        <s:f>E13*'Key Assumptions'!$B$26*'Key Assumptions'!$B$25</s:f>
        <s:v>2027.5000000000002</s:v>
      </s:c>
      <s:c r="F16" s="16">
        <s:f>F13*'Key Assumptions'!$B$26*'Key Assumptions'!$B$25</s:f>
        <s:v>2028.5</s:v>
      </s:c>
      <s:c r="G16" s="16">
        <s:f>G13*'Key Assumptions'!$B$26*'Key Assumptions'!$B$25</s:f>
        <s:v>2029.5000000000002</s:v>
      </s:c>
      <s:c r="H16" s="16">
        <s:f>H13*'Key Assumptions'!$B$26*'Key Assumptions'!$B$25</s:f>
        <s:v>2030.5</s:v>
      </s:c>
      <s:c r="I16" s="16">
        <s:f>I13*'Key Assumptions'!$B$26*'Key Assumptions'!$B$25</s:f>
        <s:v>2031.5000000000002</s:v>
      </s:c>
      <s:c r="J16" s="16">
        <s:f>J13*'Key Assumptions'!$B$26*'Key Assumptions'!$B$25</s:f>
        <s:v>2032.5</s:v>
      </s:c>
      <s:c r="K16" s="16">
        <s:f>K13*'Key Assumptions'!$B$26*'Key Assumptions'!$B$25</s:f>
        <s:v>2033.5</s:v>
      </s:c>
      <s:c r="L16" s="16">
        <s:f>L13*'Key Assumptions'!$B$26*'Key Assumptions'!$B$25</s:f>
        <s:v>2034.5</s:v>
      </s:c>
      <s:c r="M16" s="16">
        <s:f>M13*'Key Assumptions'!$B$26*'Key Assumptions'!$B$25</s:f>
        <s:v>2035.5</s:v>
      </s:c>
      <s:c r="N16" s="71">
        <s:f>SUM(B16:M16)</s:f>
        <s:v>24360</s:v>
      </s:c>
    </s:row>
    <s:row r="17">
      <s:c r="A17" s="15" t="inlineStr">
        <s:is>
          <s:t>Installation revenue</s:t>
        </s:is>
      </s:c>
      <s:c r="B17" s="16">
        <s:f>B7*'Key Assumptions'!$B$24*'Key Assumptions'!$J$12</s:f>
        <s:v>5940</s:v>
      </s:c>
      <s:c r="C17" s="16">
        <s:f>C7*'Key Assumptions'!$B$24*'Key Assumptions'!$J$12</s:f>
        <s:v>5940</s:v>
      </s:c>
      <s:c r="D17" s="16">
        <s:f>D7*'Key Assumptions'!$B$24*'Key Assumptions'!$J$12</s:f>
        <s:v>5940</s:v>
      </s:c>
      <s:c r="E17" s="16">
        <s:f>E7*'Key Assumptions'!$B$24*'Key Assumptions'!$J$12</s:f>
        <s:v>5940</s:v>
      </s:c>
      <s:c r="F17" s="16">
        <s:f>F7*'Key Assumptions'!$B$24*'Key Assumptions'!$J$12</s:f>
        <s:v>5940</s:v>
      </s:c>
      <s:c r="G17" s="16">
        <s:f>G7*'Key Assumptions'!$B$24*'Key Assumptions'!$J$12</s:f>
        <s:v>5940</s:v>
      </s:c>
      <s:c r="H17" s="16">
        <s:f>H7*'Key Assumptions'!$B$24*'Key Assumptions'!$J$12</s:f>
        <s:v>5940</s:v>
      </s:c>
      <s:c r="I17" s="16">
        <s:f>I7*'Key Assumptions'!$B$24*'Key Assumptions'!$J$12</s:f>
        <s:v>5940</s:v>
      </s:c>
      <s:c r="J17" s="16">
        <s:f>J7*'Key Assumptions'!$B$24*'Key Assumptions'!$J$12</s:f>
        <s:v>5940</s:v>
      </s:c>
      <s:c r="K17" s="16">
        <s:f>K7*'Key Assumptions'!$B$24*'Key Assumptions'!$J$12</s:f>
        <s:v>5940</s:v>
      </s:c>
      <s:c r="L17" s="16">
        <s:f>L7*'Key Assumptions'!$B$24*'Key Assumptions'!$J$12</s:f>
        <s:v>5940</s:v>
      </s:c>
      <s:c r="M17" s="16">
        <s:f>M7*'Key Assumptions'!$B$24*'Key Assumptions'!$J$12</s:f>
        <s:v>5940</s:v>
      </s:c>
      <s:c r="N17" s="71">
        <s:f>SUM(B17:M17)</s:f>
        <s:v>71280</s:v>
      </s:c>
    </s:row>
    <s:row r="18">
      <s:c r="A18" s="15" t="inlineStr">
        <s:is>
          <s:t>Voice / additional service revenue</s:t>
        </s:is>
      </s:c>
      <s:c r="B18" s="16">
        <s:f>B13*'Key Assumptions'!$B$30</s:f>
        <s:v>7936.04</s:v>
      </s:c>
      <s:c r="C18" s="16">
        <s:f>C13*'Key Assumptions'!$B$30</s:f>
        <s:v>7939.96</s:v>
      </s:c>
      <s:c r="D18" s="16">
        <s:f>D13*'Key Assumptions'!$B$30</s:f>
        <s:v>7943.88</s:v>
      </s:c>
      <s:c r="E18" s="16">
        <s:f>E13*'Key Assumptions'!$B$30</s:f>
        <s:v>7947.8</s:v>
      </s:c>
      <s:c r="F18" s="16">
        <s:f>F13*'Key Assumptions'!$B$30</s:f>
        <s:v>7951.72</s:v>
      </s:c>
      <s:c r="G18" s="16">
        <s:f>G13*'Key Assumptions'!$B$30</s:f>
        <s:v>7955.639999999999</s:v>
      </s:c>
      <s:c r="H18" s="16">
        <s:f>H13*'Key Assumptions'!$B$30</s:f>
        <s:v>7959.5599999999995</s:v>
      </s:c>
      <s:c r="I18" s="16">
        <s:f>I13*'Key Assumptions'!$B$30</s:f>
        <s:v>7963.48</s:v>
      </s:c>
      <s:c r="J18" s="16">
        <s:f>J13*'Key Assumptions'!$B$30</s:f>
        <s:v>7967.4</s:v>
      </s:c>
      <s:c r="K18" s="16">
        <s:f>K13*'Key Assumptions'!$B$30</s:f>
        <s:v>7971.32</s:v>
      </s:c>
      <s:c r="L18" s="16">
        <s:f>L13*'Key Assumptions'!$B$30</s:f>
        <s:v>7975.24</s:v>
      </s:c>
      <s:c r="M18" s="16">
        <s:f>M13*'Key Assumptions'!$B$30</s:f>
        <s:v>7979.16</s:v>
      </s:c>
      <s:c r="N18" s="69">
        <s:f>SUM(B18:M18)</s:f>
        <s:v>95491.2</s:v>
      </s:c>
    </s:row>
    <s:row r="19">
      <s:c r="A19" s="15" t="inlineStr">
        <s:is>
          <s:t>Other residential revenue</s:t>
        </s:is>
      </s:c>
      <s:c r="B19" s="16">
        <s:f>'Key Assumptions'!$B$29</s:f>
        <s:v>13305.833333333332</s:v>
      </s:c>
      <s:c r="C19" s="16">
        <s:f>'Key Assumptions'!$B$29</s:f>
        <s:v>13305.833333333332</s:v>
      </s:c>
      <s:c r="D19" s="16">
        <s:f>'Key Assumptions'!$B$29</s:f>
        <s:v>13305.833333333332</s:v>
      </s:c>
      <s:c r="E19" s="16">
        <s:f>'Key Assumptions'!$B$29</s:f>
        <s:v>13305.833333333332</s:v>
      </s:c>
      <s:c r="F19" s="16">
        <s:f>'Key Assumptions'!$B$29</s:f>
        <s:v>13305.833333333332</s:v>
      </s:c>
      <s:c r="G19" s="16">
        <s:f>'Key Assumptions'!$B$29</s:f>
        <s:v>13305.833333333332</s:v>
      </s:c>
      <s:c r="H19" s="16">
        <s:f>'Key Assumptions'!$B$29</s:f>
        <s:v>13305.833333333332</s:v>
      </s:c>
      <s:c r="I19" s="16">
        <s:f>'Key Assumptions'!$B$29</s:f>
        <s:v>13305.833333333332</s:v>
      </s:c>
      <s:c r="J19" s="16">
        <s:f>'Key Assumptions'!$B$29</s:f>
        <s:v>13305.833333333332</s:v>
      </s:c>
      <s:c r="K19" s="16">
        <s:f>'Key Assumptions'!$B$29</s:f>
        <s:v>13305.833333333332</s:v>
      </s:c>
      <s:c r="L19" s="16">
        <s:f>'Key Assumptions'!$B$29</s:f>
        <s:v>13305.833333333332</s:v>
      </s:c>
      <s:c r="M19" s="16">
        <s:f>'Key Assumptions'!$B$29</s:f>
        <s:v>13305.833333333332</s:v>
      </s:c>
      <s:c r="N19" s="71">
        <s:f>SUM(B19:M19)</s:f>
        <s:v>159670</s:v>
      </s:c>
    </s:row>
    <s:row r="20">
      <s:c r="A20" s="15" t="inlineStr">
        <s:is>
          <s:t>Residential recurring revenue</s:t>
        </s:is>
      </s:c>
      <s:c r="B20" s="16">
        <s:f>B15+B18+B19</s:f>
        <s:v>320867.8733333333</s:v>
      </s:c>
      <s:c r="C20" s="16">
        <s:f>C15+C18+C19</s:f>
        <s:v>321019.79333333333</s:v>
      </s:c>
      <s:c r="D20" s="16">
        <s:f>D15+D18+D19</s:f>
        <s:v>321171.7133333333</s:v>
      </s:c>
      <s:c r="E20" s="16">
        <s:f>E15+E18+E19</s:f>
        <s:v>321323.6333333333</s:v>
      </s:c>
      <s:c r="F20" s="16">
        <s:f>F15+F18+F19</s:f>
        <s:v>321475.5533333333</s:v>
      </s:c>
      <s:c r="G20" s="16">
        <s:f>G15+G18+G19</s:f>
        <s:v>321627.4733333333</s:v>
      </s:c>
      <s:c r="H20" s="16">
        <s:f>H15+H18+H19</s:f>
        <s:v>330794.8133333333</s:v>
      </s:c>
      <s:c r="I20" s="16">
        <s:f>I15+I18+I19</s:f>
        <s:v>330951.1733333333</s:v>
      </s:c>
      <s:c r="J20" s="16">
        <s:f>J15+J18+J19</s:f>
        <s:v>331107.5333333333</s:v>
      </s:c>
      <s:c r="K20" s="16">
        <s:f>K15+K18+K19</s:f>
        <s:v>331263.8933333333</s:v>
      </s:c>
      <s:c r="L20" s="16">
        <s:f>L15+L18+L19</s:f>
        <s:v>331420.2533333333</s:v>
      </s:c>
      <s:c r="M20" s="16">
        <s:f>M15+M18+M19</s:f>
        <s:v>331576.6133333333</s:v>
      </s:c>
      <s:c r="N20" s="71">
        <s:f>SUM(B20:M20)</s:f>
        <s:v>3914600.32</s:v>
      </s:c>
    </s:row>
    <s:row r="21">
      <s:c r="A21" s="15" t="inlineStr">
        <s:is>
          <s:t>Residential one-time revenue</s:t>
        </s:is>
      </s:c>
      <s:c r="B21" s="16">
        <s:f>B16+B17</s:f>
        <s:v>7964.5</s:v>
      </s:c>
      <s:c r="C21" s="16">
        <s:f>C16+C17</s:f>
        <s:v>7965.5</s:v>
      </s:c>
      <s:c r="D21" s="16">
        <s:f>D16+D17</s:f>
        <s:v>7966.5</s:v>
      </s:c>
      <s:c r="E21" s="16">
        <s:f>E16+E17</s:f>
        <s:v>7967.5</s:v>
      </s:c>
      <s:c r="F21" s="16">
        <s:f>F16+F17</s:f>
        <s:v>7968.5</s:v>
      </s:c>
      <s:c r="G21" s="16">
        <s:f>G16+G17</s:f>
        <s:v>7969.5</s:v>
      </s:c>
      <s:c r="H21" s="16">
        <s:f>H16+H17</s:f>
        <s:v>7970.5</s:v>
      </s:c>
      <s:c r="I21" s="16">
        <s:f>I16+I17</s:f>
        <s:v>7971.5</s:v>
      </s:c>
      <s:c r="J21" s="16">
        <s:f>J16+J17</s:f>
        <s:v>7972.5</s:v>
      </s:c>
      <s:c r="K21" s="16">
        <s:f>K16+K17</s:f>
        <s:v>7973.5</s:v>
      </s:c>
      <s:c r="L21" s="16">
        <s:f>L16+L17</s:f>
        <s:v>7974.5</s:v>
      </s:c>
      <s:c r="M21" s="16">
        <s:f>M16+M17</s:f>
        <s:v>7975.5</s:v>
      </s:c>
      <s:c r="N21" s="71">
        <s:f>SUM(B21:M21)</s:f>
        <s:v>95640</s:v>
      </s:c>
    </s:row>
    <s:row r="22">
      <s:c r="A22" s="3" t="inlineStr">
        <s:is>
          <s:t>Gross residential revenue</s:t>
        </s:is>
      </s:c>
      <s:c r="B22" s="72">
        <s:f>B20+B21</s:f>
        <s:v>328832.3733333333</s:v>
      </s:c>
      <s:c r="C22" s="72">
        <s:f>C20+C21</s:f>
        <s:v>328985.29333333333</s:v>
      </s:c>
      <s:c r="D22" s="72">
        <s:f>D20+D21</s:f>
        <s:v>329138.2133333333</s:v>
      </s:c>
      <s:c r="E22" s="72">
        <s:f>E20+E21</s:f>
        <s:v>329291.1333333333</s:v>
      </s:c>
      <s:c r="F22" s="72">
        <s:f>F20+F21</s:f>
        <s:v>329444.0533333333</s:v>
      </s:c>
      <s:c r="G22" s="72">
        <s:f>G20+G21</s:f>
        <s:v>329596.9733333333</s:v>
      </s:c>
      <s:c r="H22" s="72">
        <s:f>H20+H21</s:f>
        <s:v>338765.3133333333</s:v>
      </s:c>
      <s:c r="I22" s="72">
        <s:f>I20+I21</s:f>
        <s:v>338922.6733333333</s:v>
      </s:c>
      <s:c r="J22" s="72">
        <s:f>J20+J21</s:f>
        <s:v>339080.0333333333</s:v>
      </s:c>
      <s:c r="K22" s="72">
        <s:f>K20+K21</s:f>
        <s:v>339237.3933333333</s:v>
      </s:c>
      <s:c r="L22" s="72">
        <s:f>L20+L21</s:f>
        <s:v>339394.7533333333</s:v>
      </s:c>
      <s:c r="M22" s="72">
        <s:f>M20+M21</s:f>
        <s:v>339552.1133333333</s:v>
      </s:c>
      <s:c r="N22" s="71">
        <s:f>SUM(B22:M22)</s:f>
        <s:v>4010240.32</s:v>
      </s:c>
    </s:row>
    <s:row r="23">
      <s:c r="A23" s="15" t="inlineStr">
        <s:is>
          <s:t>Promotional discounts</s:t>
        </s:is>
      </s:c>
      <s:c r="B23" s="16">
        <s:f>-B20*'Key Assumptions'!$B$27</s:f>
        <s:v>-6417.357466666666</s:v>
      </s:c>
      <s:c r="C23" s="16">
        <s:f>-C20*'Key Assumptions'!$B$27</s:f>
        <s:v>-6420.395866666667</s:v>
      </s:c>
      <s:c r="D23" s="16">
        <s:f>-D20*'Key Assumptions'!$B$27</s:f>
        <s:v>-6423.434266666666</s:v>
      </s:c>
      <s:c r="E23" s="16">
        <s:f>-E20*'Key Assumptions'!$B$27</s:f>
        <s:v>-6426.472666666667</s:v>
      </s:c>
      <s:c r="F23" s="16">
        <s:f>-F20*'Key Assumptions'!$B$27</s:f>
        <s:v>-6429.511066666666</s:v>
      </s:c>
      <s:c r="G23" s="16">
        <s:f>-G20*'Key Assumptions'!$B$27</s:f>
        <s:v>-6432.549466666666</s:v>
      </s:c>
      <s:c r="H23" s="16">
        <s:f>-H20*'Key Assumptions'!$B$27</s:f>
        <s:v>-6615.896266666666</s:v>
      </s:c>
      <s:c r="I23" s="16">
        <s:f>-I20*'Key Assumptions'!$B$27</s:f>
        <s:v>-6619.023466666666</s:v>
      </s:c>
      <s:c r="J23" s="16">
        <s:f>-J20*'Key Assumptions'!$B$27</s:f>
        <s:v>-6622.150666666666</s:v>
      </s:c>
      <s:c r="K23" s="16">
        <s:f>-K20*'Key Assumptions'!$B$27</s:f>
        <s:v>-6625.277866666666</s:v>
      </s:c>
      <s:c r="L23" s="16">
        <s:f>-L20*'Key Assumptions'!$B$27</s:f>
        <s:v>-6628.405066666666</s:v>
      </s:c>
      <s:c r="M23" s="16">
        <s:f>-M20*'Key Assumptions'!$B$27</s:f>
        <s:v>-6631.532266666666</s:v>
      </s:c>
      <s:c r="N23" s="71">
        <s:f>SUM(B23:M23)</s:f>
        <s:v>-78292.0064</s:v>
      </s:c>
    </s:row>
    <s:row r="24">
      <s:c r="A24" s="15" t="inlineStr">
        <s:is>
          <s:t>Bad-debt adjustment</s:t>
        </s:is>
      </s:c>
      <s:c r="B24" s="16">
        <s:f>-B22*'Key Assumptions'!$B$28</s:f>
        <s:v>-3288.323733333333</s:v>
      </s:c>
      <s:c r="C24" s="16">
        <s:f>-C22*'Key Assumptions'!$B$28</s:f>
        <s:v>-3289.8529333333336</s:v>
      </s:c>
      <s:c r="D24" s="16">
        <s:f>-D22*'Key Assumptions'!$B$28</s:f>
        <s:v>-3291.382133333333</s:v>
      </s:c>
      <s:c r="E24" s="16">
        <s:f>-E22*'Key Assumptions'!$B$28</s:f>
        <s:v>-3292.911333333333</s:v>
      </s:c>
      <s:c r="F24" s="16">
        <s:f>-F22*'Key Assumptions'!$B$28</s:f>
        <s:v>-3294.440533333333</s:v>
      </s:c>
      <s:c r="G24" s="16">
        <s:f>-G22*'Key Assumptions'!$B$28</s:f>
        <s:v>-3295.9697333333334</s:v>
      </s:c>
      <s:c r="H24" s="16">
        <s:f>-H22*'Key Assumptions'!$B$28</s:f>
        <s:v>-3387.6531333333332</s:v>
      </s:c>
      <s:c r="I24" s="16">
        <s:f>-I22*'Key Assumptions'!$B$28</s:f>
        <s:v>-3389.226733333333</s:v>
      </s:c>
      <s:c r="J24" s="16">
        <s:f>-J22*'Key Assumptions'!$B$28</s:f>
        <s:v>-3390.800333333333</s:v>
      </s:c>
      <s:c r="K24" s="16">
        <s:f>-K22*'Key Assumptions'!$B$28</s:f>
        <s:v>-3392.3739333333333</s:v>
      </s:c>
      <s:c r="L24" s="16">
        <s:f>-L22*'Key Assumptions'!$B$28</s:f>
        <s:v>-3393.947533333333</s:v>
      </s:c>
      <s:c r="M24" s="16">
        <s:f>-M22*'Key Assumptions'!$B$28</s:f>
        <s:v>-3395.5211333333327</s:v>
      </s:c>
      <s:c r="N24" s="71">
        <s:f>SUM(B24:M24)</s:f>
        <s:v>-40102.4032</s:v>
      </s:c>
    </s:row>
    <s:row r="25">
      <s:c r="A25" s="3" t="inlineStr">
        <s:is>
          <s:t>Net residential revenue</s:t>
        </s:is>
      </s:c>
      <s:c r="B25" s="72">
        <s:f>B22+B23+B24</s:f>
        <s:v>319126.6921333333</s:v>
      </s:c>
      <s:c r="C25" s="72">
        <s:f>C22+C23+C24</s:f>
        <s:v>319275.04453333333</s:v>
      </s:c>
      <s:c r="D25" s="72">
        <s:f>D22+D23+D24</s:f>
        <s:v>319423.3969333333</s:v>
      </s:c>
      <s:c r="E25" s="72">
        <s:f>E22+E23+E24</s:f>
        <s:v>319571.7493333333</s:v>
      </s:c>
      <s:c r="F25" s="72">
        <s:f>F22+F23+F24</s:f>
        <s:v>319720.10173333326</s:v>
      </s:c>
      <s:c r="G25" s="72">
        <s:f>G22+G23+G24</s:f>
        <s:v>319868.45413333335</s:v>
      </s:c>
      <s:c r="H25" s="72">
        <s:f>H22+H23+H24</s:f>
        <s:v>328761.76393333334</s:v>
      </s:c>
      <s:c r="I25" s="72">
        <s:f>I22+I23+I24</s:f>
        <s:v>328914.42313333333</s:v>
      </s:c>
      <s:c r="J25" s="72">
        <s:f>J22+J23+J24</s:f>
        <s:v>329067.0823333333</s:v>
      </s:c>
      <s:c r="K25" s="72">
        <s:f>K22+K23+K24</s:f>
        <s:v>329219.7415333333</s:v>
      </s:c>
      <s:c r="L25" s="72">
        <s:f>L22+L23+L24</s:f>
        <s:v>329372.4007333333</s:v>
      </s:c>
      <s:c r="M25" s="72">
        <s:f>M22+M23+M24</s:f>
        <s:v>329525.0599333333</s:v>
      </s:c>
      <s:c r="N25" s="71">
        <s:f>SUM(B25:M25)</s:f>
        <s:v>3891845.9104</s:v>
      </s:c>
    </s:row>
    <s:row r="26">
      <s:c r="A26" s="3" t="inlineStr">
        <s:is>
          <s:t>Residential MRR</s:t>
        </s:is>
      </s:c>
      <s:c r="B26" s="72">
        <s:f>B20+B23</s:f>
        <s:v>314450.5158666666</s:v>
      </s:c>
      <s:c r="C26" s="72">
        <s:f>C20+C23</s:f>
        <s:v>314599.39746666665</s:v>
      </s:c>
      <s:c r="D26" s="72">
        <s:f>D20+D23</s:f>
        <s:v>314748.27906666667</s:v>
      </s:c>
      <s:c r="E26" s="72">
        <s:f>E20+E23</s:f>
        <s:v>314897.16066666663</s:v>
      </s:c>
      <s:c r="F26" s="72">
        <s:f>F20+F23</s:f>
        <s:v>315046.0422666666</s:v>
      </s:c>
      <s:c r="G26" s="72">
        <s:f>G20+G23</s:f>
        <s:v>315194.9238666667</s:v>
      </s:c>
      <s:c r="H26" s="72">
        <s:f>H20+H23</s:f>
        <s:v>324178.91706666665</s:v>
      </s:c>
      <s:c r="I26" s="72">
        <s:f>I20+I23</s:f>
        <s:v>324332.14986666664</s:v>
      </s:c>
      <s:c r="J26" s="72">
        <s:f>J20+J23</s:f>
        <s:v>324485.38266666664</s:v>
      </s:c>
      <s:c r="K26" s="72">
        <s:f>K20+K23</s:f>
        <s:v>324638.61546666664</s:v>
      </s:c>
      <s:c r="L26" s="72">
        <s:f>L20+L23</s:f>
        <s:v>324791.84826666664</s:v>
      </s:c>
      <s:c r="M26" s="72">
        <s:f>M20+M23</s:f>
        <s:v>324945.08106666664</s:v>
      </s:c>
      <s:c r="N26" s="71">
        <s:f>M26</s:f>
        <s:v>324945.08106666664</s:v>
      </s:c>
    </s:row>
    <s:row r="27">
      <s:c r="A27" s="15" t="inlineStr">
        <s:is>
          <s:t>Residential ARR run rate</s:t>
        </s:is>
      </s:c>
      <s:c r="B27" s="16">
        <s:f>B26*12</s:f>
        <s:v>3773406.1903999997</s:v>
      </s:c>
      <s:c r="C27" s="16">
        <s:f>C26*12</s:f>
        <s:v>3775192.7695999998</s:v>
      </s:c>
      <s:c r="D27" s="16">
        <s:f>D26*12</s:f>
        <s:v>3776979.3488</s:v>
      </s:c>
      <s:c r="E27" s="16">
        <s:f>E26*12</s:f>
        <s:v>3778765.9279999994</s:v>
      </s:c>
      <s:c r="F27" s="16">
        <s:f>F26*12</s:f>
        <s:v>3780552.507199999</s:v>
      </s:c>
      <s:c r="G27" s="16">
        <s:f>G26*12</s:f>
        <s:v>3782339.0864000004</s:v>
      </s:c>
      <s:c r="H27" s="16">
        <s:f>H26*12</s:f>
        <s:v>3890147.0047999998</s:v>
      </s:c>
      <s:c r="I27" s="16">
        <s:f>I26*12</s:f>
        <s:v>3891985.7983999997</s:v>
      </s:c>
      <s:c r="J27" s="16">
        <s:f>J26*12</s:f>
        <s:v>3893824.5919999997</s:v>
      </s:c>
      <s:c r="K27" s="16">
        <s:f>K26*12</s:f>
        <s:v>3895663.3855999997</s:v>
      </s:c>
      <s:c r="L27" s="16">
        <s:f>L26*12</s:f>
        <s:v>3897502.1791999997</s:v>
      </s:c>
      <s:c r="M27" s="16">
        <s:f>M26*12</s:f>
        <s:v>3899340.9727999996</s:v>
      </s:c>
      <s:c r="N27" s="71">
        <s:f>M27</s:f>
        <s:v>3899340.9727999996</s:v>
      </s:c>
    </s:row>
    <s:row r="28">
      <s:c r="A28" s="15" t="inlineStr">
        <s:is>
          <s:t>Effective residential ARPU</s:t>
        </s:is>
      </s:c>
      <s:c r="B28" s="73">
        <s:f>IFERROR(B15/B13,0)</s:f>
        <s:v>74</s:v>
      </s:c>
      <s:c r="C28" s="73">
        <s:f>IFERROR(C15/C13,0)</s:f>
        <s:v>74</s:v>
      </s:c>
      <s:c r="D28" s="73">
        <s:f>IFERROR(D15/D13,0)</s:f>
        <s:v>74</s:v>
      </s:c>
      <s:c r="E28" s="73">
        <s:f>IFERROR(E15/E13,0)</s:f>
        <s:v>74</s:v>
      </s:c>
      <s:c r="F28" s="73">
        <s:f>IFERROR(F15/F13,0)</s:f>
        <s:v>74</s:v>
      </s:c>
      <s:c r="G28" s="73">
        <s:f>IFERROR(G15/G13,0)</s:f>
        <s:v>74</s:v>
      </s:c>
      <s:c r="H28" s="73">
        <s:f>IFERROR(H15/H13,0)</s:f>
        <s:v>76.22</s:v>
      </s:c>
      <s:c r="I28" s="73">
        <s:f>IFERROR(I15/I13,0)</s:f>
        <s:v>76.22</s:v>
      </s:c>
      <s:c r="J28" s="73">
        <s:f>IFERROR(J15/J13,0)</s:f>
        <s:v>76.22</s:v>
      </s:c>
      <s:c r="K28" s="73">
        <s:f>IFERROR(K15/K13,0)</s:f>
        <s:v>76.22</s:v>
      </s:c>
      <s:c r="L28" s="73">
        <s:f>IFERROR(L15/L13,0)</s:f>
        <s:v>76.22</s:v>
      </s:c>
      <s:c r="M28" s="73">
        <s:f>IFERROR(M15/M13,0)</s:f>
        <s:v>76.22</s:v>
      </s:c>
      <s:c r="N28" s="74">
        <s:f>AVERAGE(B28:M28)</s:f>
        <s:v>75.11000000000001</s:v>
      </s:c>
    </s:row>
  </s:sheetData>
  <s:mergeCells count="4">
    <s:mergeCell ref="A14:M14"/>
    <s:mergeCell ref="A2:N2"/>
    <s:mergeCell ref="A5:M5"/>
    <s:mergeCell ref="A1:N1"/>
  </s:mergeCells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tabColor rgb="002E75B6"/>
    <s:outlinePr summaryBelow="1" summaryRight="1"/>
    <s:pageSetUpPr/>
  </s:sheetPr>
  <s:dimension ref="A1:N39"/>
  <s:sheetViews>
    <s:sheetView showGridLines="0" workbookViewId="0">
      <s:pane xSplit="1" ySplit="4" topLeftCell="B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0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</s:cols>
  <s:sheetData>
    <s:row r="1" ht="30" customHeight="1">
      <s:c r="A1" s="1" t="inlineStr">
        <s:is>
          <s:t>BUSINESS BROADBAND FORECAST — 2027</s:t>
        </s:is>
      </s:c>
    </s:row>
    <s:row r="2">
      <s:c r="A2" s="2" t="inlineStr">
        <s:is>
          <s:t>Recurring separated from construction/installation one-time revenue. Grey = formulas; edit assumptions on Key Assumptions.</s:t>
        </s:is>
      </s:c>
    </s:row>
    <s:row r="3">
      <s:c r="A3" s="64" t="inlineStr">
        <s:is>
          <s:t>Metric</s:t>
        </s:is>
      </s:c>
      <s:c r="B3" s="65" t="n">
        <s:v>46388</s:v>
      </s:c>
      <s:c r="C3" s="65" t="n">
        <s:v>46419</s:v>
      </s:c>
      <s:c r="D3" s="65" t="n">
        <s:v>46447</s:v>
      </s:c>
      <s:c r="E3" s="65" t="n">
        <s:v>46478</s:v>
      </s:c>
      <s:c r="F3" s="65" t="n">
        <s:v>46508</s:v>
      </s:c>
      <s:c r="G3" s="65" t="n">
        <s:v>46539</s:v>
      </s:c>
      <s:c r="H3" s="65" t="n">
        <s:v>46569</s:v>
      </s:c>
      <s:c r="I3" s="65" t="n">
        <s:v>46600</s:v>
      </s:c>
      <s:c r="J3" s="65" t="n">
        <s:v>46631</s:v>
      </s:c>
      <s:c r="K3" s="65" t="n">
        <s:v>46661</s:v>
      </s:c>
      <s:c r="L3" s="65" t="n">
        <s:v>46692</s:v>
      </s:c>
      <s:c r="M3" s="65" t="n">
        <s:v>46722</s:v>
      </s:c>
      <s:c r="N3" s="25" t="inlineStr">
        <s:is>
          <s:t>FY 2027</s:t>
        </s:is>
      </s:c>
    </s:row>
    <s:row r="4">
      <s:c r="A4" s="7" t="inlineStr">
        <s:is>
          <s:t>Month #</s:t>
        </s:is>
      </s:c>
      <s:c r="B4" s="66" t="n">
        <s:v>1</s:v>
      </s:c>
      <s:c r="C4" s="66" t="n">
        <s:v>2</s:v>
      </s:c>
      <s:c r="D4" s="66" t="n">
        <s:v>3</s:v>
      </s:c>
      <s:c r="E4" s="66" t="n">
        <s:v>4</s:v>
      </s:c>
      <s:c r="F4" s="66" t="n">
        <s:v>5</s:v>
      </s:c>
      <s:c r="G4" s="66" t="n">
        <s:v>6</s:v>
      </s:c>
      <s:c r="H4" s="66" t="n">
        <s:v>7</s:v>
      </s:c>
      <s:c r="I4" s="66" t="n">
        <s:v>8</s:v>
      </s:c>
      <s:c r="J4" s="66" t="n">
        <s:v>9</s:v>
      </s:c>
      <s:c r="K4" s="66" t="n">
        <s:v>10</s:v>
      </s:c>
      <s:c r="L4" s="66" t="n">
        <s:v>11</s:v>
      </s:c>
      <s:c r="M4" s="66" t="n">
        <s:v>12</s:v>
      </s:c>
    </s:row>
    <s:row r="5">
      <s:c r="A5" s="17" t="inlineStr">
        <s:is>
          <s:t>CUSTOMER MOVEMENT</s:t>
        </s:is>
      </s:c>
    </s:row>
    <s:row r="6">
      <s:c r="A6" s="15" t="inlineStr">
        <s:is>
          <s:t>Beginning business customers</s:t>
        </s:is>
      </s:c>
      <s:c r="B6" s="67">
        <s:f>'Key Assumptions'!$B$35</s:f>
        <s:v>249</s:v>
      </s:c>
      <s:c r="C6" s="68">
        <s:f>B13</s:f>
        <s:v>252</s:v>
      </s:c>
      <s:c r="D6" s="68">
        <s:f>C13</s:f>
        <s:v>254</s:v>
      </s:c>
      <s:c r="E6" s="68">
        <s:f>D13</s:f>
        <s:v>256</s:v>
      </s:c>
      <s:c r="F6" s="68">
        <s:f>E13</s:f>
        <s:v>258</s:v>
      </s:c>
      <s:c r="G6" s="68">
        <s:f>F13</s:f>
        <s:v>260</s:v>
      </s:c>
      <s:c r="H6" s="68">
        <s:f>G13</s:f>
        <s:v>262</s:v>
      </s:c>
      <s:c r="I6" s="68">
        <s:f>H13</s:f>
        <s:v>264</s:v>
      </s:c>
      <s:c r="J6" s="68">
        <s:f>I13</s:f>
        <s:v>266</s:v>
      </s:c>
      <s:c r="K6" s="68">
        <s:f>J13</s:f>
        <s:v>268</s:v>
      </s:c>
      <s:c r="L6" s="68">
        <s:f>K13</s:f>
        <s:v>270</s:v>
      </s:c>
      <s:c r="M6" s="68">
        <s:f>L13</s:f>
        <s:v>272</s:v>
      </s:c>
      <s:c r="N6" s="69">
        <s:f>B6</s:f>
        <s:v>249</s:v>
      </s:c>
    </s:row>
    <s:row r="7">
      <s:c r="A7" s="15" t="inlineStr">
        <s:is>
          <s:t>New small-business customers</s:t>
        </s:is>
      </s:c>
      <s:c r="B7" s="68">
        <s:f>ROUND('Key Assumptions'!$B$36*'Key Assumptions'!$E$12,0)</s:f>
        <s:v>4</s:v>
      </s:c>
      <s:c r="C7" s="68">
        <s:f>ROUND('Key Assumptions'!$B$36*'Key Assumptions'!$E$12,0)</s:f>
        <s:v>4</s:v>
      </s:c>
      <s:c r="D7" s="68">
        <s:f>ROUND('Key Assumptions'!$B$36*'Key Assumptions'!$E$12,0)</s:f>
        <s:v>4</s:v>
      </s:c>
      <s:c r="E7" s="68">
        <s:f>ROUND('Key Assumptions'!$B$36*'Key Assumptions'!$E$12,0)</s:f>
        <s:v>4</s:v>
      </s:c>
      <s:c r="F7" s="68">
        <s:f>ROUND('Key Assumptions'!$B$36*'Key Assumptions'!$E$12,0)</s:f>
        <s:v>4</s:v>
      </s:c>
      <s:c r="G7" s="68">
        <s:f>ROUND('Key Assumptions'!$B$36*'Key Assumptions'!$E$12,0)</s:f>
        <s:v>4</s:v>
      </s:c>
      <s:c r="H7" s="68">
        <s:f>ROUND('Key Assumptions'!$B$36*'Key Assumptions'!$E$12,0)</s:f>
        <s:v>4</s:v>
      </s:c>
      <s:c r="I7" s="68">
        <s:f>ROUND('Key Assumptions'!$B$36*'Key Assumptions'!$E$12,0)</s:f>
        <s:v>4</s:v>
      </s:c>
      <s:c r="J7" s="68">
        <s:f>ROUND('Key Assumptions'!$B$36*'Key Assumptions'!$E$12,0)</s:f>
        <s:v>4</s:v>
      </s:c>
      <s:c r="K7" s="68">
        <s:f>ROUND('Key Assumptions'!$B$36*'Key Assumptions'!$E$12,0)</s:f>
        <s:v>4</s:v>
      </s:c>
      <s:c r="L7" s="68">
        <s:f>ROUND('Key Assumptions'!$B$36*'Key Assumptions'!$E$12,0)</s:f>
        <s:v>4</s:v>
      </s:c>
      <s:c r="M7" s="68">
        <s:f>ROUND('Key Assumptions'!$B$36*'Key Assumptions'!$E$12,0)</s:f>
        <s:v>4</s:v>
      </s:c>
      <s:c r="N7" s="69">
        <s:f>SUM(B7:M7)</s:f>
        <s:v>48</s:v>
      </s:c>
    </s:row>
    <s:row r="8">
      <s:c r="A8" s="15" t="inlineStr">
        <s:is>
          <s:t>New enterprise customers</s:t>
        </s:is>
      </s:c>
      <s:c r="B8" s="68">
        <s:f>ROUND('Key Assumptions'!$B$37*'Key Assumptions'!$E$12,0)</s:f>
        <s:v>1</s:v>
      </s:c>
      <s:c r="C8" s="68">
        <s:f>ROUND('Key Assumptions'!$B$37*'Key Assumptions'!$E$12,0)</s:f>
        <s:v>1</s:v>
      </s:c>
      <s:c r="D8" s="68">
        <s:f>ROUND('Key Assumptions'!$B$37*'Key Assumptions'!$E$12,0)</s:f>
        <s:v>1</s:v>
      </s:c>
      <s:c r="E8" s="68">
        <s:f>ROUND('Key Assumptions'!$B$37*'Key Assumptions'!$E$12,0)</s:f>
        <s:v>1</s:v>
      </s:c>
      <s:c r="F8" s="68">
        <s:f>ROUND('Key Assumptions'!$B$37*'Key Assumptions'!$E$12,0)</s:f>
        <s:v>1</s:v>
      </s:c>
      <s:c r="G8" s="68">
        <s:f>ROUND('Key Assumptions'!$B$37*'Key Assumptions'!$E$12,0)</s:f>
        <s:v>1</s:v>
      </s:c>
      <s:c r="H8" s="68">
        <s:f>ROUND('Key Assumptions'!$B$37*'Key Assumptions'!$E$12,0)</s:f>
        <s:v>1</s:v>
      </s:c>
      <s:c r="I8" s="68">
        <s:f>ROUND('Key Assumptions'!$B$37*'Key Assumptions'!$E$12,0)</s:f>
        <s:v>1</s:v>
      </s:c>
      <s:c r="J8" s="68">
        <s:f>ROUND('Key Assumptions'!$B$37*'Key Assumptions'!$E$12,0)</s:f>
        <s:v>1</s:v>
      </s:c>
      <s:c r="K8" s="68">
        <s:f>ROUND('Key Assumptions'!$B$37*'Key Assumptions'!$E$12,0)</s:f>
        <s:v>1</s:v>
      </s:c>
      <s:c r="L8" s="68">
        <s:f>ROUND('Key Assumptions'!$B$37*'Key Assumptions'!$E$12,0)</s:f>
        <s:v>1</s:v>
      </s:c>
      <s:c r="M8" s="68">
        <s:f>ROUND('Key Assumptions'!$B$37*'Key Assumptions'!$E$12,0)</s:f>
        <s:v>1</s:v>
      </s:c>
      <s:c r="N8" s="69">
        <s:f>SUM(B8:M8)</s:f>
        <s:v>12</s:v>
      </s:c>
    </s:row>
    <s:row r="9">
      <s:c r="A9" s="15" t="inlineStr">
        <s:is>
          <s:t>Reconnects</s:t>
        </s:is>
      </s:c>
      <s:c r="B9" s="68">
        <s:f>'Key Assumptions'!$B$40</s:f>
        <s:v>2</s:v>
      </s:c>
      <s:c r="C9" s="68">
        <s:f>'Key Assumptions'!$B$40</s:f>
        <s:v>2</s:v>
      </s:c>
      <s:c r="D9" s="68">
        <s:f>'Key Assumptions'!$B$40</s:f>
        <s:v>2</s:v>
      </s:c>
      <s:c r="E9" s="68">
        <s:f>'Key Assumptions'!$B$40</s:f>
        <s:v>2</s:v>
      </s:c>
      <s:c r="F9" s="68">
        <s:f>'Key Assumptions'!$B$40</s:f>
        <s:v>2</s:v>
      </s:c>
      <s:c r="G9" s="68">
        <s:f>'Key Assumptions'!$B$40</s:f>
        <s:v>2</s:v>
      </s:c>
      <s:c r="H9" s="68">
        <s:f>'Key Assumptions'!$B$40</s:f>
        <s:v>2</s:v>
      </s:c>
      <s:c r="I9" s="68">
        <s:f>'Key Assumptions'!$B$40</s:f>
        <s:v>2</s:v>
      </s:c>
      <s:c r="J9" s="68">
        <s:f>'Key Assumptions'!$B$40</s:f>
        <s:v>2</s:v>
      </s:c>
      <s:c r="K9" s="68">
        <s:f>'Key Assumptions'!$B$40</s:f>
        <s:v>2</s:v>
      </s:c>
      <s:c r="L9" s="68">
        <s:f>'Key Assumptions'!$B$40</s:f>
        <s:v>2</s:v>
      </s:c>
      <s:c r="M9" s="68">
        <s:f>'Key Assumptions'!$B$40</s:f>
        <s:v>2</s:v>
      </s:c>
      <s:c r="N9" s="69">
        <s:f>SUM(B9:M9)</s:f>
        <s:v>24</s:v>
      </s:c>
    </s:row>
    <s:row r="10">
      <s:c r="A10" s="15" t="inlineStr">
        <s:is>
          <s:t>Churn disconnects</s:t>
        </s:is>
      </s:c>
      <s:c r="B10" s="68">
        <s:f>ROUND(B6*'Key Assumptions'!$B$38*'Key Assumptions'!$F$12,0)</s:f>
        <s:v>2</s:v>
      </s:c>
      <s:c r="C10" s="68">
        <s:f>ROUND(C6*'Key Assumptions'!$B$38*'Key Assumptions'!$F$12,0)</s:f>
        <s:v>3</s:v>
      </s:c>
      <s:c r="D10" s="68">
        <s:f>ROUND(D6*'Key Assumptions'!$B$38*'Key Assumptions'!$F$12,0)</s:f>
        <s:v>3</s:v>
      </s:c>
      <s:c r="E10" s="68">
        <s:f>ROUND(E6*'Key Assumptions'!$B$38*'Key Assumptions'!$F$12,0)</s:f>
        <s:v>3</s:v>
      </s:c>
      <s:c r="F10" s="68">
        <s:f>ROUND(F6*'Key Assumptions'!$B$38*'Key Assumptions'!$F$12,0)</s:f>
        <s:v>3</s:v>
      </s:c>
      <s:c r="G10" s="68">
        <s:f>ROUND(G6*'Key Assumptions'!$B$38*'Key Assumptions'!$F$12,0)</s:f>
        <s:v>3</s:v>
      </s:c>
      <s:c r="H10" s="68">
        <s:f>ROUND(H6*'Key Assumptions'!$B$38*'Key Assumptions'!$F$12,0)</s:f>
        <s:v>3</s:v>
      </s:c>
      <s:c r="I10" s="68">
        <s:f>ROUND(I6*'Key Assumptions'!$B$38*'Key Assumptions'!$F$12,0)</s:f>
        <s:v>3</s:v>
      </s:c>
      <s:c r="J10" s="68">
        <s:f>ROUND(J6*'Key Assumptions'!$B$38*'Key Assumptions'!$F$12,0)</s:f>
        <s:v>3</s:v>
      </s:c>
      <s:c r="K10" s="68">
        <s:f>ROUND(K6*'Key Assumptions'!$B$38*'Key Assumptions'!$F$12,0)</s:f>
        <s:v>3</s:v>
      </s:c>
      <s:c r="L10" s="68">
        <s:f>ROUND(L6*'Key Assumptions'!$B$38*'Key Assumptions'!$F$12,0)</s:f>
        <s:v>3</s:v>
      </s:c>
      <s:c r="M10" s="68">
        <s:f>ROUND(M6*'Key Assumptions'!$B$38*'Key Assumptions'!$F$12,0)</s:f>
        <s:v>3</s:v>
      </s:c>
      <s:c r="N10" s="69">
        <s:f>SUM(B10:M10)</s:f>
        <s:v>35</s:v>
      </s:c>
    </s:row>
    <s:row r="11">
      <s:c r="A11" s="15" t="inlineStr">
        <s:is>
          <s:t>Other disconnects</s:t>
        </s:is>
      </s:c>
      <s:c r="B11" s="68">
        <s:f>'Key Assumptions'!$B$39</s:f>
        <s:v>2</s:v>
      </s:c>
      <s:c r="C11" s="68">
        <s:f>'Key Assumptions'!$B$39</s:f>
        <s:v>2</s:v>
      </s:c>
      <s:c r="D11" s="68">
        <s:f>'Key Assumptions'!$B$39</s:f>
        <s:v>2</s:v>
      </s:c>
      <s:c r="E11" s="68">
        <s:f>'Key Assumptions'!$B$39</s:f>
        <s:v>2</s:v>
      </s:c>
      <s:c r="F11" s="68">
        <s:f>'Key Assumptions'!$B$39</s:f>
        <s:v>2</s:v>
      </s:c>
      <s:c r="G11" s="68">
        <s:f>'Key Assumptions'!$B$39</s:f>
        <s:v>2</s:v>
      </s:c>
      <s:c r="H11" s="68">
        <s:f>'Key Assumptions'!$B$39</s:f>
        <s:v>2</s:v>
      </s:c>
      <s:c r="I11" s="68">
        <s:f>'Key Assumptions'!$B$39</s:f>
        <s:v>2</s:v>
      </s:c>
      <s:c r="J11" s="68">
        <s:f>'Key Assumptions'!$B$39</s:f>
        <s:v>2</s:v>
      </s:c>
      <s:c r="K11" s="68">
        <s:f>'Key Assumptions'!$B$39</s:f>
        <s:v>2</s:v>
      </s:c>
      <s:c r="L11" s="68">
        <s:f>'Key Assumptions'!$B$39</s:f>
        <s:v>2</s:v>
      </s:c>
      <s:c r="M11" s="68">
        <s:f>'Key Assumptions'!$B$39</s:f>
        <s:v>2</s:v>
      </s:c>
      <s:c r="N11" s="69">
        <s:f>SUM(B11:M11)</s:f>
        <s:v>24</s:v>
      </s:c>
    </s:row>
    <s:row r="12">
      <s:c r="A12" s="3" t="inlineStr">
        <s:is>
          <s:t>Net additions</s:t>
        </s:is>
      </s:c>
      <s:c r="B12" s="70">
        <s:f>B7+B8+B9-B10-B11</s:f>
        <s:v>3</s:v>
      </s:c>
      <s:c r="C12" s="70">
        <s:f>C7+C8+C9-C10-C11</s:f>
        <s:v>2</s:v>
      </s:c>
      <s:c r="D12" s="70">
        <s:f>D7+D8+D9-D10-D11</s:f>
        <s:v>2</s:v>
      </s:c>
      <s:c r="E12" s="70">
        <s:f>E7+E8+E9-E10-E11</s:f>
        <s:v>2</s:v>
      </s:c>
      <s:c r="F12" s="70">
        <s:f>F7+F8+F9-F10-F11</s:f>
        <s:v>2</s:v>
      </s:c>
      <s:c r="G12" s="70">
        <s:f>G7+G8+G9-G10-G11</s:f>
        <s:v>2</s:v>
      </s:c>
      <s:c r="H12" s="70">
        <s:f>H7+H8+H9-H10-H11</s:f>
        <s:v>2</s:v>
      </s:c>
      <s:c r="I12" s="70">
        <s:f>I7+I8+I9-I10-I11</s:f>
        <s:v>2</s:v>
      </s:c>
      <s:c r="J12" s="70">
        <s:f>J7+J8+J9-J10-J11</s:f>
        <s:v>2</s:v>
      </s:c>
      <s:c r="K12" s="70">
        <s:f>K7+K8+K9-K10-K11</s:f>
        <s:v>2</s:v>
      </s:c>
      <s:c r="L12" s="70">
        <s:f>L7+L8+L9-L10-L11</s:f>
        <s:v>2</s:v>
      </s:c>
      <s:c r="M12" s="70">
        <s:f>M7+M8+M9-M10-M11</s:f>
        <s:v>2</s:v>
      </s:c>
      <s:c r="N12" s="69">
        <s:f>SUM(B12:M12)</s:f>
        <s:v>25</s:v>
      </s:c>
    </s:row>
    <s:row r="13">
      <s:c r="A13" s="3" t="inlineStr">
        <s:is>
          <s:t>Ending business customers</s:t>
        </s:is>
      </s:c>
      <s:c r="B13" s="70">
        <s:f>MAX(0,B6+B12)</s:f>
        <s:v>252</s:v>
      </s:c>
      <s:c r="C13" s="70">
        <s:f>MAX(0,C6+C12)</s:f>
        <s:v>254</s:v>
      </s:c>
      <s:c r="D13" s="70">
        <s:f>MAX(0,D6+D12)</s:f>
        <s:v>256</s:v>
      </s:c>
      <s:c r="E13" s="70">
        <s:f>MAX(0,E6+E12)</s:f>
        <s:v>258</s:v>
      </s:c>
      <s:c r="F13" s="70">
        <s:f>MAX(0,F6+F12)</s:f>
        <s:v>260</s:v>
      </s:c>
      <s:c r="G13" s="70">
        <s:f>MAX(0,G6+G12)</s:f>
        <s:v>262</s:v>
      </s:c>
      <s:c r="H13" s="70">
        <s:f>MAX(0,H6+H12)</s:f>
        <s:v>264</s:v>
      </s:c>
      <s:c r="I13" s="70">
        <s:f>MAX(0,I6+I12)</s:f>
        <s:v>266</s:v>
      </s:c>
      <s:c r="J13" s="70">
        <s:f>MAX(0,J6+J12)</s:f>
        <s:v>268</s:v>
      </s:c>
      <s:c r="K13" s="70">
        <s:f>MAX(0,K6+K12)</s:f>
        <s:v>270</s:v>
      </s:c>
      <s:c r="L13" s="70">
        <s:f>MAX(0,L6+L12)</s:f>
        <s:v>272</s:v>
      </s:c>
      <s:c r="M13" s="70">
        <s:f>MAX(0,M6+M12)</s:f>
        <s:v>274</s:v>
      </s:c>
      <s:c r="N13" s="69">
        <s:f>M13</s:f>
        <s:v>274</s:v>
      </s:c>
    </s:row>
    <s:row r="14">
      <s:c r="A14" s="15" t="inlineStr">
        <s:is>
          <s:t>Average billable business customers</s:t>
        </s:is>
      </s:c>
      <s:c r="B14" s="68">
        <s:f>IF('Key Assumptions'!$B$56="Average",(B6+B13)/2,IF('Key Assumptions'!$B$56="Beginning",B6,B13))</s:f>
        <s:v>250.5</s:v>
      </s:c>
      <s:c r="C14" s="68">
        <s:f>IF('Key Assumptions'!$B$56="Average",(C6+C13)/2,IF('Key Assumptions'!$B$56="Beginning",C6,C13))</s:f>
        <s:v>253</s:v>
      </s:c>
      <s:c r="D14" s="68">
        <s:f>IF('Key Assumptions'!$B$56="Average",(D6+D13)/2,IF('Key Assumptions'!$B$56="Beginning",D6,D13))</s:f>
        <s:v>255</s:v>
      </s:c>
      <s:c r="E14" s="68">
        <s:f>IF('Key Assumptions'!$B$56="Average",(E6+E13)/2,IF('Key Assumptions'!$B$56="Beginning",E6,E13))</s:f>
        <s:v>257</s:v>
      </s:c>
      <s:c r="F14" s="68">
        <s:f>IF('Key Assumptions'!$B$56="Average",(F6+F13)/2,IF('Key Assumptions'!$B$56="Beginning",F6,F13))</s:f>
        <s:v>259</s:v>
      </s:c>
      <s:c r="G14" s="68">
        <s:f>IF('Key Assumptions'!$B$56="Average",(G6+G13)/2,IF('Key Assumptions'!$B$56="Beginning",G6,G13))</s:f>
        <s:v>261</s:v>
      </s:c>
      <s:c r="H14" s="68">
        <s:f>IF('Key Assumptions'!$B$56="Average",(H6+H13)/2,IF('Key Assumptions'!$B$56="Beginning",H6,H13))</s:f>
        <s:v>263</s:v>
      </s:c>
      <s:c r="I14" s="68">
        <s:f>IF('Key Assumptions'!$B$56="Average",(I6+I13)/2,IF('Key Assumptions'!$B$56="Beginning",I6,I13))</s:f>
        <s:v>265</s:v>
      </s:c>
      <s:c r="J14" s="68">
        <s:f>IF('Key Assumptions'!$B$56="Average",(J6+J13)/2,IF('Key Assumptions'!$B$56="Beginning",J6,J13))</s:f>
        <s:v>267</s:v>
      </s:c>
      <s:c r="K14" s="68">
        <s:f>IF('Key Assumptions'!$B$56="Average",(K6+K13)/2,IF('Key Assumptions'!$B$56="Beginning",K6,K13))</s:f>
        <s:v>269</s:v>
      </s:c>
      <s:c r="L14" s="68">
        <s:f>IF('Key Assumptions'!$B$56="Average",(L6+L13)/2,IF('Key Assumptions'!$B$56="Beginning",L6,L13))</s:f>
        <s:v>271</s:v>
      </s:c>
      <s:c r="M14" s="68">
        <s:f>IF('Key Assumptions'!$B$56="Average",(M6+M13)/2,IF('Key Assumptions'!$B$56="Beginning",M6,M13))</s:f>
        <s:v>273</s:v>
      </s:c>
      <s:c r="N14" s="69">
        <s:f>AVERAGE(B14:M14)</s:f>
        <s:v>261.9583333333333</s:v>
      </s:c>
    </s:row>
    <s:row r="15">
      <s:c r="A15" s="15" t="inlineStr">
        <s:is>
          <s:t>Beginning enterprise customers</s:t>
        </s:is>
      </s:c>
      <s:c r="B15" s="67">
        <s:f>'Key Assumptions'!$B$57</s:f>
        <s:v>0</s:v>
      </s:c>
      <s:c r="C15" s="68">
        <s:f>B16</s:f>
        <s:v>1</s:v>
      </s:c>
      <s:c r="D15" s="68">
        <s:f>C16</s:f>
        <s:v>2</s:v>
      </s:c>
      <s:c r="E15" s="68">
        <s:f>D16</s:f>
        <s:v>3</s:v>
      </s:c>
      <s:c r="F15" s="68">
        <s:f>E16</s:f>
        <s:v>4</s:v>
      </s:c>
      <s:c r="G15" s="68">
        <s:f>F16</s:f>
        <s:v>5</s:v>
      </s:c>
      <s:c r="H15" s="68">
        <s:f>G16</s:f>
        <s:v>6</s:v>
      </s:c>
      <s:c r="I15" s="68">
        <s:f>H16</s:f>
        <s:v>7</s:v>
      </s:c>
      <s:c r="J15" s="68">
        <s:f>I16</s:f>
        <s:v>8</s:v>
      </s:c>
      <s:c r="K15" s="68">
        <s:f>J16</s:f>
        <s:v>9</s:v>
      </s:c>
      <s:c r="L15" s="68">
        <s:f>K16</s:f>
        <s:v>10</s:v>
      </s:c>
      <s:c r="M15" s="68">
        <s:f>L16</s:f>
        <s:v>11</s:v>
      </s:c>
      <s:c r="N15" s="69">
        <s:f>B15</s:f>
        <s:v>0</s:v>
      </s:c>
    </s:row>
    <s:row r="16">
      <s:c r="A16" s="15" t="inlineStr">
        <s:is>
          <s:t>Ending enterprise customers</s:t>
        </s:is>
      </s:c>
      <s:c r="B16" s="68">
        <s:f>MAX(0,B15+B8-ROUND(B15*'Key Assumptions'!$B$38*'Key Assumptions'!$F$12,0))</s:f>
        <s:v>1</s:v>
      </s:c>
      <s:c r="C16" s="68">
        <s:f>MAX(0,C15+C8-ROUND(C15*'Key Assumptions'!$B$38*'Key Assumptions'!$F$12,0))</s:f>
        <s:v>2</s:v>
      </s:c>
      <s:c r="D16" s="68">
        <s:f>MAX(0,D15+D8-ROUND(D15*'Key Assumptions'!$B$38*'Key Assumptions'!$F$12,0))</s:f>
        <s:v>3</s:v>
      </s:c>
      <s:c r="E16" s="68">
        <s:f>MAX(0,E15+E8-ROUND(E15*'Key Assumptions'!$B$38*'Key Assumptions'!$F$12,0))</s:f>
        <s:v>4</s:v>
      </s:c>
      <s:c r="F16" s="68">
        <s:f>MAX(0,F15+F8-ROUND(F15*'Key Assumptions'!$B$38*'Key Assumptions'!$F$12,0))</s:f>
        <s:v>5</s:v>
      </s:c>
      <s:c r="G16" s="68">
        <s:f>MAX(0,G15+G8-ROUND(G15*'Key Assumptions'!$B$38*'Key Assumptions'!$F$12,0))</s:f>
        <s:v>6</s:v>
      </s:c>
      <s:c r="H16" s="68">
        <s:f>MAX(0,H15+H8-ROUND(H15*'Key Assumptions'!$B$38*'Key Assumptions'!$F$12,0))</s:f>
        <s:v>7</s:v>
      </s:c>
      <s:c r="I16" s="68">
        <s:f>MAX(0,I15+I8-ROUND(I15*'Key Assumptions'!$B$38*'Key Assumptions'!$F$12,0))</s:f>
        <s:v>8</s:v>
      </s:c>
      <s:c r="J16" s="68">
        <s:f>MAX(0,J15+J8-ROUND(J15*'Key Assumptions'!$B$38*'Key Assumptions'!$F$12,0))</s:f>
        <s:v>9</s:v>
      </s:c>
      <s:c r="K16" s="68">
        <s:f>MAX(0,K15+K8-ROUND(K15*'Key Assumptions'!$B$38*'Key Assumptions'!$F$12,0))</s:f>
        <s:v>10</s:v>
      </s:c>
      <s:c r="L16" s="68">
        <s:f>MAX(0,L15+L8-ROUND(L15*'Key Assumptions'!$B$38*'Key Assumptions'!$F$12,0))</s:f>
        <s:v>11</s:v>
      </s:c>
      <s:c r="M16" s="68">
        <s:f>MAX(0,M15+M8-ROUND(M15*'Key Assumptions'!$B$38*'Key Assumptions'!$F$12,0))</s:f>
        <s:v>12</s:v>
      </s:c>
      <s:c r="N16" s="69">
        <s:f>M16</s:f>
        <s:v>12</s:v>
      </s:c>
    </s:row>
    <s:row r="17">
      <s:c r="A17" s="15" t="inlineStr">
        <s:is>
          <s:t>Average enterprise customers</s:t>
        </s:is>
      </s:c>
      <s:c r="B17" s="68">
        <s:f>(B15+B16)/2</s:f>
        <s:v>0.5</s:v>
      </s:c>
      <s:c r="C17" s="68">
        <s:f>(C15+C16)/2</s:f>
        <s:v>1.5</s:v>
      </s:c>
      <s:c r="D17" s="68">
        <s:f>(D15+D16)/2</s:f>
        <s:v>2.5</s:v>
      </s:c>
      <s:c r="E17" s="68">
        <s:f>(E15+E16)/2</s:f>
        <s:v>3.5</s:v>
      </s:c>
      <s:c r="F17" s="68">
        <s:f>(F15+F16)/2</s:f>
        <s:v>4.5</s:v>
      </s:c>
      <s:c r="G17" s="68">
        <s:f>(G15+G16)/2</s:f>
        <s:v>5.5</s:v>
      </s:c>
      <s:c r="H17" s="68">
        <s:f>(H15+H16)/2</s:f>
        <s:v>6.5</s:v>
      </s:c>
      <s:c r="I17" s="68">
        <s:f>(I15+I16)/2</s:f>
        <s:v>7.5</s:v>
      </s:c>
      <s:c r="J17" s="68">
        <s:f>(J15+J16)/2</s:f>
        <s:v>8.5</s:v>
      </s:c>
      <s:c r="K17" s="68">
        <s:f>(K15+K16)/2</s:f>
        <s:v>9.5</s:v>
      </s:c>
      <s:c r="L17" s="68">
        <s:f>(L15+L16)/2</s:f>
        <s:v>10.5</s:v>
      </s:c>
      <s:c r="M17" s="68">
        <s:f>(M15+M16)/2</s:f>
        <s:v>11.5</s:v>
      </s:c>
      <s:c r="N17" s="69">
        <s:f>AVERAGE(B17:M17)</s:f>
        <s:v>6</s:v>
      </s:c>
    </s:row>
    <s:row r="18">
      <s:c r="A18" s="17" t="inlineStr">
        <s:is>
          <s:t>RECURRING REVENUE</s:t>
        </s:is>
      </s:c>
    </s:row>
    <s:row r="19">
      <s:c r="A19" s="15" t="inlineStr">
        <s:is>
          <s:t>Standard business broadband</s:t>
        </s:is>
      </s:c>
      <s:c r="B19" s="16">
        <s:f>B14*('Key Assumptions'!$B$41*IF(B4&gt;='Key Assumptions'!$B$42,1+'Key Assumptions'!$B$43,1)*'Key Assumptions'!$G$12)</s:f>
        <s:v>37324.5</s:v>
      </s:c>
      <s:c r="C19" s="16">
        <s:f>C14*('Key Assumptions'!$B$41*IF(C4&gt;='Key Assumptions'!$B$42,1+'Key Assumptions'!$B$43,1)*'Key Assumptions'!$G$12)</s:f>
        <s:v>37697</s:v>
      </s:c>
      <s:c r="D19" s="16">
        <s:f>D14*('Key Assumptions'!$B$41*IF(D4&gt;='Key Assumptions'!$B$42,1+'Key Assumptions'!$B$43,1)*'Key Assumptions'!$G$12)</s:f>
        <s:v>37995</s:v>
      </s:c>
      <s:c r="E19" s="16">
        <s:f>E14*('Key Assumptions'!$B$41*IF(E4&gt;='Key Assumptions'!$B$42,1+'Key Assumptions'!$B$43,1)*'Key Assumptions'!$G$12)</s:f>
        <s:v>38293</s:v>
      </s:c>
      <s:c r="F19" s="16">
        <s:f>F14*('Key Assumptions'!$B$41*IF(F4&gt;='Key Assumptions'!$B$42,1+'Key Assumptions'!$B$43,1)*'Key Assumptions'!$G$12)</s:f>
        <s:v>38591</s:v>
      </s:c>
      <s:c r="G19" s="16">
        <s:f>G14*('Key Assumptions'!$B$41*IF(G4&gt;='Key Assumptions'!$B$42,1+'Key Assumptions'!$B$43,1)*'Key Assumptions'!$G$12)</s:f>
        <s:v>38889</s:v>
      </s:c>
      <s:c r="H19" s="16">
        <s:f>H14*('Key Assumptions'!$B$41*IF(H4&gt;='Key Assumptions'!$B$42,1+'Key Assumptions'!$B$43,1)*'Key Assumptions'!$G$12)</s:f>
        <s:v>40362.61</s:v>
      </s:c>
      <s:c r="I19" s="16">
        <s:f>I14*('Key Assumptions'!$B$41*IF(I4&gt;='Key Assumptions'!$B$42,1+'Key Assumptions'!$B$43,1)*'Key Assumptions'!$G$12)</s:f>
        <s:v>40669.55</s:v>
      </s:c>
      <s:c r="J19" s="16">
        <s:f>J14*('Key Assumptions'!$B$41*IF(J4&gt;='Key Assumptions'!$B$42,1+'Key Assumptions'!$B$43,1)*'Key Assumptions'!$G$12)</s:f>
        <s:v>40976.49</s:v>
      </s:c>
      <s:c r="K19" s="16">
        <s:f>K14*('Key Assumptions'!$B$41*IF(K4&gt;='Key Assumptions'!$B$42,1+'Key Assumptions'!$B$43,1)*'Key Assumptions'!$G$12)</s:f>
        <s:v>41283.43</s:v>
      </s:c>
      <s:c r="L19" s="16">
        <s:f>L14*('Key Assumptions'!$B$41*IF(L4&gt;='Key Assumptions'!$B$42,1+'Key Assumptions'!$B$43,1)*'Key Assumptions'!$G$12)</s:f>
        <s:v>41590.37</s:v>
      </s:c>
      <s:c r="M19" s="16">
        <s:f>M14*('Key Assumptions'!$B$41*IF(M4&gt;='Key Assumptions'!$B$42,1+'Key Assumptions'!$B$43,1)*'Key Assumptions'!$G$12)</s:f>
        <s:v>41897.31</s:v>
      </s:c>
      <s:c r="N19" s="71">
        <s:f>SUM(B19:M19)</s:f>
        <s:v>475569.26</s:v>
      </s:c>
    </s:row>
    <s:row r="20">
      <s:c r="A20" s="15" t="inlineStr">
        <s:is>
          <s:t>Enterprise &amp; DIA circuits</s:t>
        </s:is>
      </s:c>
      <s:c r="B20" s="16">
        <s:f>B17*'Key Assumptions'!$B$48</s:f>
        <s:v>0</s:v>
      </s:c>
      <s:c r="C20" s="16">
        <s:f>C17*'Key Assumptions'!$B$48</s:f>
        <s:v>0</s:v>
      </s:c>
      <s:c r="D20" s="16">
        <s:f>D17*'Key Assumptions'!$B$48</s:f>
        <s:v>0</s:v>
      </s:c>
      <s:c r="E20" s="16">
        <s:f>E17*'Key Assumptions'!$B$48</s:f>
        <s:v>0</s:v>
      </s:c>
      <s:c r="F20" s="16">
        <s:f>F17*'Key Assumptions'!$B$48</s:f>
        <s:v>0</s:v>
      </s:c>
      <s:c r="G20" s="16">
        <s:f>G17*'Key Assumptions'!$B$48</s:f>
        <s:v>0</s:v>
      </s:c>
      <s:c r="H20" s="16">
        <s:f>H17*'Key Assumptions'!$B$48</s:f>
        <s:v>0</s:v>
      </s:c>
      <s:c r="I20" s="16">
        <s:f>I17*'Key Assumptions'!$B$48</s:f>
        <s:v>0</s:v>
      </s:c>
      <s:c r="J20" s="16">
        <s:f>J17*'Key Assumptions'!$B$48</s:f>
        <s:v>0</s:v>
      </s:c>
      <s:c r="K20" s="16">
        <s:f>K17*'Key Assumptions'!$B$48</s:f>
        <s:v>0</s:v>
      </s:c>
      <s:c r="L20" s="16">
        <s:f>L17*'Key Assumptions'!$B$48</s:f>
        <s:v>0</s:v>
      </s:c>
      <s:c r="M20" s="16">
        <s:f>M17*'Key Assumptions'!$B$48</s:f>
        <s:v>0</s:v>
      </s:c>
      <s:c r="N20" s="71">
        <s:f>SUM(B20:M20)</s:f>
        <s:v>0</s:v>
      </s:c>
    </s:row>
    <s:row r="21">
      <s:c r="A21" s="15" t="inlineStr">
        <s:is>
          <s:t>Static IP revenue</s:t>
        </s:is>
      </s:c>
      <s:c r="B21" s="16">
        <s:f>B14*'Key Assumptions'!$B$45</s:f>
        <s:v>0</s:v>
      </s:c>
      <s:c r="C21" s="16">
        <s:f>C14*'Key Assumptions'!$B$45</s:f>
        <s:v>0</s:v>
      </s:c>
      <s:c r="D21" s="16">
        <s:f>D14*'Key Assumptions'!$B$45</s:f>
        <s:v>0</s:v>
      </s:c>
      <s:c r="E21" s="16">
        <s:f>E14*'Key Assumptions'!$B$45</s:f>
        <s:v>0</s:v>
      </s:c>
      <s:c r="F21" s="16">
        <s:f>F14*'Key Assumptions'!$B$45</s:f>
        <s:v>0</s:v>
      </s:c>
      <s:c r="G21" s="16">
        <s:f>G14*'Key Assumptions'!$B$45</s:f>
        <s:v>0</s:v>
      </s:c>
      <s:c r="H21" s="16">
        <s:f>H14*'Key Assumptions'!$B$45</s:f>
        <s:v>0</s:v>
      </s:c>
      <s:c r="I21" s="16">
        <s:f>I14*'Key Assumptions'!$B$45</s:f>
        <s:v>0</s:v>
      </s:c>
      <s:c r="J21" s="16">
        <s:f>J14*'Key Assumptions'!$B$45</s:f>
        <s:v>0</s:v>
      </s:c>
      <s:c r="K21" s="16">
        <s:f>K14*'Key Assumptions'!$B$45</s:f>
        <s:v>0</s:v>
      </s:c>
      <s:c r="L21" s="16">
        <s:f>L14*'Key Assumptions'!$B$45</s:f>
        <s:v>0</s:v>
      </s:c>
      <s:c r="M21" s="16">
        <s:f>M14*'Key Assumptions'!$B$45</s:f>
        <s:v>0</s:v>
      </s:c>
      <s:c r="N21" s="71">
        <s:f>SUM(B21:M21)</s:f>
        <s:v>0</s:v>
      </s:c>
    </s:row>
    <s:row r="22">
      <s:c r="A22" s="15" t="inlineStr">
        <s:is>
          <s:t>Managed Wi-Fi / router revenue</s:t>
        </s:is>
      </s:c>
      <s:c r="B22" s="16">
        <s:f>B14*'Key Assumptions'!$B$46</s:f>
        <s:v>0</s:v>
      </s:c>
      <s:c r="C22" s="16">
        <s:f>C14*'Key Assumptions'!$B$46</s:f>
        <s:v>0</s:v>
      </s:c>
      <s:c r="D22" s="16">
        <s:f>D14*'Key Assumptions'!$B$46</s:f>
        <s:v>0</s:v>
      </s:c>
      <s:c r="E22" s="16">
        <s:f>E14*'Key Assumptions'!$B$46</s:f>
        <s:v>0</s:v>
      </s:c>
      <s:c r="F22" s="16">
        <s:f>F14*'Key Assumptions'!$B$46</s:f>
        <s:v>0</s:v>
      </s:c>
      <s:c r="G22" s="16">
        <s:f>G14*'Key Assumptions'!$B$46</s:f>
        <s:v>0</s:v>
      </s:c>
      <s:c r="H22" s="16">
        <s:f>H14*'Key Assumptions'!$B$46</s:f>
        <s:v>0</s:v>
      </s:c>
      <s:c r="I22" s="16">
        <s:f>I14*'Key Assumptions'!$B$46</s:f>
        <s:v>0</s:v>
      </s:c>
      <s:c r="J22" s="16">
        <s:f>J14*'Key Assumptions'!$B$46</s:f>
        <s:v>0</s:v>
      </s:c>
      <s:c r="K22" s="16">
        <s:f>K14*'Key Assumptions'!$B$46</s:f>
        <s:v>0</s:v>
      </s:c>
      <s:c r="L22" s="16">
        <s:f>L14*'Key Assumptions'!$B$46</s:f>
        <s:v>0</s:v>
      </s:c>
      <s:c r="M22" s="16">
        <s:f>M14*'Key Assumptions'!$B$46</s:f>
        <s:v>0</s:v>
      </s:c>
      <s:c r="N22" s="71">
        <s:f>SUM(B22:M22)</s:f>
        <s:v>0</s:v>
      </s:c>
    </s:row>
    <s:row r="23">
      <s:c r="A23" s="15" t="inlineStr">
        <s:is>
          <s:t>Voice revenue</s:t>
        </s:is>
      </s:c>
      <s:c r="B23" s="16">
        <s:f>B14*'Key Assumptions'!$B$47</s:f>
        <s:v>2424.84</s:v>
      </s:c>
      <s:c r="C23" s="16">
        <s:f>C14*'Key Assumptions'!$B$47</s:f>
        <s:v>2449.04</s:v>
      </s:c>
      <s:c r="D23" s="16">
        <s:f>D14*'Key Assumptions'!$B$47</s:f>
        <s:v>2468.4</s:v>
      </s:c>
      <s:c r="E23" s="16">
        <s:f>E14*'Key Assumptions'!$B$47</s:f>
        <s:v>2487.7599999999998</s:v>
      </s:c>
      <s:c r="F23" s="16">
        <s:f>F14*'Key Assumptions'!$B$47</s:f>
        <s:v>2507.12</s:v>
      </s:c>
      <s:c r="G23" s="16">
        <s:f>G14*'Key Assumptions'!$B$47</s:f>
        <s:v>2526.48</s:v>
      </s:c>
      <s:c r="H23" s="16">
        <s:f>H14*'Key Assumptions'!$B$47</s:f>
        <s:v>2545.84</s:v>
      </s:c>
      <s:c r="I23" s="16">
        <s:f>I14*'Key Assumptions'!$B$47</s:f>
        <s:v>2565.2</s:v>
      </s:c>
      <s:c r="J23" s="16">
        <s:f>J14*'Key Assumptions'!$B$47</s:f>
        <s:v>2584.56</s:v>
      </s:c>
      <s:c r="K23" s="16">
        <s:f>K14*'Key Assumptions'!$B$47</s:f>
        <s:v>2603.92</s:v>
      </s:c>
      <s:c r="L23" s="16">
        <s:f>L14*'Key Assumptions'!$B$47</s:f>
        <s:v>2623.2799999999997</s:v>
      </s:c>
      <s:c r="M23" s="16">
        <s:f>M14*'Key Assumptions'!$B$47</s:f>
        <s:v>2642.64</s:v>
      </s:c>
      <s:c r="N23" s="71">
        <s:f>SUM(B23:M23)</s:f>
        <s:v>30429.08</s:v>
      </s:c>
    </s:row>
    <s:row r="24">
      <s:c r="A24" s="15" t="inlineStr">
        <s:is>
          <s:t>Other recurring business revenue</s:t>
        </s:is>
      </s:c>
      <s:c r="B24" s="16">
        <s:f>B14*'Key Assumptions'!$B$49</s:f>
        <s:v>0</s:v>
      </s:c>
      <s:c r="C24" s="16">
        <s:f>C14*'Key Assumptions'!$B$49</s:f>
        <s:v>0</s:v>
      </s:c>
      <s:c r="D24" s="16">
        <s:f>D14*'Key Assumptions'!$B$49</s:f>
        <s:v>0</s:v>
      </s:c>
      <s:c r="E24" s="16">
        <s:f>E14*'Key Assumptions'!$B$49</s:f>
        <s:v>0</s:v>
      </s:c>
      <s:c r="F24" s="16">
        <s:f>F14*'Key Assumptions'!$B$49</s:f>
        <s:v>0</s:v>
      </s:c>
      <s:c r="G24" s="16">
        <s:f>G14*'Key Assumptions'!$B$49</s:f>
        <s:v>0</s:v>
      </s:c>
      <s:c r="H24" s="16">
        <s:f>H14*'Key Assumptions'!$B$49</s:f>
        <s:v>0</s:v>
      </s:c>
      <s:c r="I24" s="16">
        <s:f>I14*'Key Assumptions'!$B$49</s:f>
        <s:v>0</s:v>
      </s:c>
      <s:c r="J24" s="16">
        <s:f>J14*'Key Assumptions'!$B$49</s:f>
        <s:v>0</s:v>
      </s:c>
      <s:c r="K24" s="16">
        <s:f>K14*'Key Assumptions'!$B$49</s:f>
        <s:v>0</s:v>
      </s:c>
      <s:c r="L24" s="16">
        <s:f>L14*'Key Assumptions'!$B$49</s:f>
        <s:v>0</s:v>
      </s:c>
      <s:c r="M24" s="16">
        <s:f>M14*'Key Assumptions'!$B$49</s:f>
        <s:v>0</s:v>
      </s:c>
      <s:c r="N24" s="71">
        <s:f>SUM(B24:M24)</s:f>
        <s:v>0</s:v>
      </s:c>
    </s:row>
    <s:row r="25">
      <s:c r="A25" s="3" t="inlineStr">
        <s:is>
          <s:t>Total business recurring revenue</s:t>
        </s:is>
      </s:c>
      <s:c r="B25" s="72">
        <s:f>SUM(B19:B24)</s:f>
        <s:v>39749.34</s:v>
      </s:c>
      <s:c r="C25" s="72">
        <s:f>SUM(C19:C24)</s:f>
        <s:v>40146.04</s:v>
      </s:c>
      <s:c r="D25" s="72">
        <s:f>SUM(D19:D24)</s:f>
        <s:v>40463.4</s:v>
      </s:c>
      <s:c r="E25" s="72">
        <s:f>SUM(E19:E24)</s:f>
        <s:v>40780.76</s:v>
      </s:c>
      <s:c r="F25" s="72">
        <s:f>SUM(F19:F24)</s:f>
        <s:v>41098.12</s:v>
      </s:c>
      <s:c r="G25" s="72">
        <s:f>SUM(G19:G24)</s:f>
        <s:v>41415.48</s:v>
      </s:c>
      <s:c r="H25" s="72">
        <s:f>SUM(H19:H24)</s:f>
        <s:v>42908.45</s:v>
      </s:c>
      <s:c r="I25" s="72">
        <s:f>SUM(I19:I24)</s:f>
        <s:v>43234.75</s:v>
      </s:c>
      <s:c r="J25" s="72">
        <s:f>SUM(J19:J24)</s:f>
        <s:v>43561.049999999996</s:v>
      </s:c>
      <s:c r="K25" s="72">
        <s:f>SUM(K19:K24)</s:f>
        <s:v>43887.35</s:v>
      </s:c>
      <s:c r="L25" s="72">
        <s:f>SUM(L19:L24)</s:f>
        <s:v>44213.65</s:v>
      </s:c>
      <s:c r="M25" s="72">
        <s:f>SUM(M19:M24)</s:f>
        <s:v>44539.95</s:v>
      </s:c>
      <s:c r="N25" s="71">
        <s:f>SUM(B25:M25)</s:f>
        <s:v>505998.33999999997</s:v>
      </s:c>
    </s:row>
    <s:row r="26">
      <s:c r="A26" s="17" t="inlineStr">
        <s:is>
          <s:t>ONE-TIME REVENUE</s:t>
        </s:is>
      </s:c>
    </s:row>
    <s:row r="27">
      <s:c r="A27" s="15" t="inlineStr">
        <s:is>
          <s:t>Installation charges</s:t>
        </s:is>
      </s:c>
      <s:c r="B27" s="16">
        <s:f>(B7+B8)*'Key Assumptions'!$B$44*'Key Assumptions'!$J$12</s:f>
        <s:v>2500</s:v>
      </s:c>
      <s:c r="C27" s="16">
        <s:f>(C7+C8)*'Key Assumptions'!$B$44*'Key Assumptions'!$J$12</s:f>
        <s:v>2500</s:v>
      </s:c>
      <s:c r="D27" s="16">
        <s:f>(D7+D8)*'Key Assumptions'!$B$44*'Key Assumptions'!$J$12</s:f>
        <s:v>2500</s:v>
      </s:c>
      <s:c r="E27" s="16">
        <s:f>(E7+E8)*'Key Assumptions'!$B$44*'Key Assumptions'!$J$12</s:f>
        <s:v>2500</s:v>
      </s:c>
      <s:c r="F27" s="16">
        <s:f>(F7+F8)*'Key Assumptions'!$B$44*'Key Assumptions'!$J$12</s:f>
        <s:v>2500</s:v>
      </s:c>
      <s:c r="G27" s="16">
        <s:f>(G7+G8)*'Key Assumptions'!$B$44*'Key Assumptions'!$J$12</s:f>
        <s:v>2500</s:v>
      </s:c>
      <s:c r="H27" s="16">
        <s:f>(H7+H8)*'Key Assumptions'!$B$44*'Key Assumptions'!$J$12</s:f>
        <s:v>2500</s:v>
      </s:c>
      <s:c r="I27" s="16">
        <s:f>(I7+I8)*'Key Assumptions'!$B$44*'Key Assumptions'!$J$12</s:f>
        <s:v>2500</s:v>
      </s:c>
      <s:c r="J27" s="16">
        <s:f>(J7+J8)*'Key Assumptions'!$B$44*'Key Assumptions'!$J$12</s:f>
        <s:v>2500</s:v>
      </s:c>
      <s:c r="K27" s="16">
        <s:f>(K7+K8)*'Key Assumptions'!$B$44*'Key Assumptions'!$J$12</s:f>
        <s:v>2500</s:v>
      </s:c>
      <s:c r="L27" s="16">
        <s:f>(L7+L8)*'Key Assumptions'!$B$44*'Key Assumptions'!$J$12</s:f>
        <s:v>2500</s:v>
      </s:c>
      <s:c r="M27" s="16">
        <s:f>(M7+M8)*'Key Assumptions'!$B$44*'Key Assumptions'!$J$12</s:f>
        <s:v>2500</s:v>
      </s:c>
      <s:c r="N27" s="71">
        <s:f>SUM(B27:M27)</s:f>
        <s:v>30000</s:v>
      </s:c>
    </s:row>
    <s:row r="28">
      <s:c r="A28" s="15" t="inlineStr">
        <s:is>
          <s:t>Aid-to-construction revenue</s:t>
        </s:is>
      </s:c>
      <s:c r="B28" s="16">
        <s:f>(B7+B8)*'Key Assumptions'!$B$50*'Key Assumptions'!$J$12</s:f>
        <s:v>1250</s:v>
      </s:c>
      <s:c r="C28" s="16">
        <s:f>(C7+C8)*'Key Assumptions'!$B$50*'Key Assumptions'!$J$12</s:f>
        <s:v>1250</s:v>
      </s:c>
      <s:c r="D28" s="16">
        <s:f>(D7+D8)*'Key Assumptions'!$B$50*'Key Assumptions'!$J$12</s:f>
        <s:v>1250</s:v>
      </s:c>
      <s:c r="E28" s="16">
        <s:f>(E7+E8)*'Key Assumptions'!$B$50*'Key Assumptions'!$J$12</s:f>
        <s:v>1250</s:v>
      </s:c>
      <s:c r="F28" s="16">
        <s:f>(F7+F8)*'Key Assumptions'!$B$50*'Key Assumptions'!$J$12</s:f>
        <s:v>1250</s:v>
      </s:c>
      <s:c r="G28" s="16">
        <s:f>(G7+G8)*'Key Assumptions'!$B$50*'Key Assumptions'!$J$12</s:f>
        <s:v>1250</s:v>
      </s:c>
      <s:c r="H28" s="16">
        <s:f>(H7+H8)*'Key Assumptions'!$B$50*'Key Assumptions'!$J$12</s:f>
        <s:v>1250</s:v>
      </s:c>
      <s:c r="I28" s="16">
        <s:f>(I7+I8)*'Key Assumptions'!$B$50*'Key Assumptions'!$J$12</s:f>
        <s:v>1250</s:v>
      </s:c>
      <s:c r="J28" s="16">
        <s:f>(J7+J8)*'Key Assumptions'!$B$50*'Key Assumptions'!$J$12</s:f>
        <s:v>1250</s:v>
      </s:c>
      <s:c r="K28" s="16">
        <s:f>(K7+K8)*'Key Assumptions'!$B$50*'Key Assumptions'!$J$12</s:f>
        <s:v>1250</s:v>
      </s:c>
      <s:c r="L28" s="16">
        <s:f>(L7+L8)*'Key Assumptions'!$B$50*'Key Assumptions'!$J$12</s:f>
        <s:v>1250</s:v>
      </s:c>
      <s:c r="M28" s="16">
        <s:f>(M7+M8)*'Key Assumptions'!$B$50*'Key Assumptions'!$J$12</s:f>
        <s:v>1250</s:v>
      </s:c>
      <s:c r="N28" s="71">
        <s:f>SUM(B28:M28)</s:f>
        <s:v>15000</s:v>
      </s:c>
    </s:row>
    <s:row r="29">
      <s:c r="A29" s="15" t="inlineStr">
        <s:is>
          <s:t>Activation charges</s:t>
        </s:is>
      </s:c>
      <s:c r="B29" s="16">
        <s:f>(B7+B8)*'Key Assumptions'!$B$51</s:f>
        <s:v>500</s:v>
      </s:c>
      <s:c r="C29" s="16">
        <s:f>(C7+C8)*'Key Assumptions'!$B$51</s:f>
        <s:v>500</s:v>
      </s:c>
      <s:c r="D29" s="16">
        <s:f>(D7+D8)*'Key Assumptions'!$B$51</s:f>
        <s:v>500</s:v>
      </s:c>
      <s:c r="E29" s="16">
        <s:f>(E7+E8)*'Key Assumptions'!$B$51</s:f>
        <s:v>500</s:v>
      </s:c>
      <s:c r="F29" s="16">
        <s:f>(F7+F8)*'Key Assumptions'!$B$51</s:f>
        <s:v>500</s:v>
      </s:c>
      <s:c r="G29" s="16">
        <s:f>(G7+G8)*'Key Assumptions'!$B$51</s:f>
        <s:v>500</s:v>
      </s:c>
      <s:c r="H29" s="16">
        <s:f>(H7+H8)*'Key Assumptions'!$B$51</s:f>
        <s:v>500</s:v>
      </s:c>
      <s:c r="I29" s="16">
        <s:f>(I7+I8)*'Key Assumptions'!$B$51</s:f>
        <s:v>500</s:v>
      </s:c>
      <s:c r="J29" s="16">
        <s:f>(J7+J8)*'Key Assumptions'!$B$51</s:f>
        <s:v>500</s:v>
      </s:c>
      <s:c r="K29" s="16">
        <s:f>(K7+K8)*'Key Assumptions'!$B$51</s:f>
        <s:v>500</s:v>
      </s:c>
      <s:c r="L29" s="16">
        <s:f>(L7+L8)*'Key Assumptions'!$B$51</s:f>
        <s:v>500</s:v>
      </s:c>
      <s:c r="M29" s="16">
        <s:f>(M7+M8)*'Key Assumptions'!$B$51</s:f>
        <s:v>500</s:v>
      </s:c>
      <s:c r="N29" s="71">
        <s:f>SUM(B29:M29)</s:f>
        <s:v>6000</s:v>
      </s:c>
    </s:row>
    <s:row r="30">
      <s:c r="A30" s="15" t="inlineStr">
        <s:is>
          <s:t>Professional services</s:t>
        </s:is>
      </s:c>
      <s:c r="B30" s="16">
        <s:f>'Key Assumptions'!$B$52</s:f>
        <s:v>1500</s:v>
      </s:c>
      <s:c r="C30" s="16">
        <s:f>'Key Assumptions'!$B$52</s:f>
        <s:v>1500</s:v>
      </s:c>
      <s:c r="D30" s="16">
        <s:f>'Key Assumptions'!$B$52</s:f>
        <s:v>1500</s:v>
      </s:c>
      <s:c r="E30" s="16">
        <s:f>'Key Assumptions'!$B$52</s:f>
        <s:v>1500</s:v>
      </s:c>
      <s:c r="F30" s="16">
        <s:f>'Key Assumptions'!$B$52</s:f>
        <s:v>1500</s:v>
      </s:c>
      <s:c r="G30" s="16">
        <s:f>'Key Assumptions'!$B$52</s:f>
        <s:v>1500</s:v>
      </s:c>
      <s:c r="H30" s="16">
        <s:f>'Key Assumptions'!$B$52</s:f>
        <s:v>1500</s:v>
      </s:c>
      <s:c r="I30" s="16">
        <s:f>'Key Assumptions'!$B$52</s:f>
        <s:v>1500</s:v>
      </s:c>
      <s:c r="J30" s="16">
        <s:f>'Key Assumptions'!$B$52</s:f>
        <s:v>1500</s:v>
      </s:c>
      <s:c r="K30" s="16">
        <s:f>'Key Assumptions'!$B$52</s:f>
        <s:v>1500</s:v>
      </s:c>
      <s:c r="L30" s="16">
        <s:f>'Key Assumptions'!$B$52</s:f>
        <s:v>1500</s:v>
      </s:c>
      <s:c r="M30" s="16">
        <s:f>'Key Assumptions'!$B$52</s:f>
        <s:v>1500</s:v>
      </s:c>
      <s:c r="N30" s="71">
        <s:f>SUM(B30:M30)</s:f>
        <s:v>18000</s:v>
      </s:c>
    </s:row>
    <s:row r="31">
      <s:c r="A31" s="15" t="inlineStr">
        <s:is>
          <s:t>Other nonrecurring revenue</s:t>
        </s:is>
      </s:c>
      <s:c r="B31" s="16">
        <s:f>'Key Assumptions'!$B$53</s:f>
        <s:v>500</s:v>
      </s:c>
      <s:c r="C31" s="16">
        <s:f>'Key Assumptions'!$B$53</s:f>
        <s:v>500</s:v>
      </s:c>
      <s:c r="D31" s="16">
        <s:f>'Key Assumptions'!$B$53</s:f>
        <s:v>500</s:v>
      </s:c>
      <s:c r="E31" s="16">
        <s:f>'Key Assumptions'!$B$53</s:f>
        <s:v>500</s:v>
      </s:c>
      <s:c r="F31" s="16">
        <s:f>'Key Assumptions'!$B$53</s:f>
        <s:v>500</s:v>
      </s:c>
      <s:c r="G31" s="16">
        <s:f>'Key Assumptions'!$B$53</s:f>
        <s:v>500</s:v>
      </s:c>
      <s:c r="H31" s="16">
        <s:f>'Key Assumptions'!$B$53</s:f>
        <s:v>500</s:v>
      </s:c>
      <s:c r="I31" s="16">
        <s:f>'Key Assumptions'!$B$53</s:f>
        <s:v>500</s:v>
      </s:c>
      <s:c r="J31" s="16">
        <s:f>'Key Assumptions'!$B$53</s:f>
        <s:v>500</s:v>
      </s:c>
      <s:c r="K31" s="16">
        <s:f>'Key Assumptions'!$B$53</s:f>
        <s:v>500</s:v>
      </s:c>
      <s:c r="L31" s="16">
        <s:f>'Key Assumptions'!$B$53</s:f>
        <s:v>500</s:v>
      </s:c>
      <s:c r="M31" s="16">
        <s:f>'Key Assumptions'!$B$53</s:f>
        <s:v>500</s:v>
      </s:c>
      <s:c r="N31" s="71">
        <s:f>SUM(B31:M31)</s:f>
        <s:v>6000</s:v>
      </s:c>
    </s:row>
    <s:row r="32">
      <s:c r="A32" s="3" t="inlineStr">
        <s:is>
          <s:t>Total business one-time revenue</s:t>
        </s:is>
      </s:c>
      <s:c r="B32" s="72">
        <s:f>SUM(B27:B31)</s:f>
        <s:v>6250</s:v>
      </s:c>
      <s:c r="C32" s="72">
        <s:f>SUM(C27:C31)</s:f>
        <s:v>6250</s:v>
      </s:c>
      <s:c r="D32" s="72">
        <s:f>SUM(D27:D31)</s:f>
        <s:v>6250</s:v>
      </s:c>
      <s:c r="E32" s="72">
        <s:f>SUM(E27:E31)</s:f>
        <s:v>6250</s:v>
      </s:c>
      <s:c r="F32" s="72">
        <s:f>SUM(F27:F31)</s:f>
        <s:v>6250</s:v>
      </s:c>
      <s:c r="G32" s="72">
        <s:f>SUM(G27:G31)</s:f>
        <s:v>6250</s:v>
      </s:c>
      <s:c r="H32" s="72">
        <s:f>SUM(H27:H31)</s:f>
        <s:v>6250</s:v>
      </s:c>
      <s:c r="I32" s="72">
        <s:f>SUM(I27:I31)</s:f>
        <s:v>6250</s:v>
      </s:c>
      <s:c r="J32" s="72">
        <s:f>SUM(J27:J31)</s:f>
        <s:v>6250</s:v>
      </s:c>
      <s:c r="K32" s="72">
        <s:f>SUM(K27:K31)</s:f>
        <s:v>6250</s:v>
      </s:c>
      <s:c r="L32" s="72">
        <s:f>SUM(L27:L31)</s:f>
        <s:v>6250</s:v>
      </s:c>
      <s:c r="M32" s="72">
        <s:f>SUM(M27:M31)</s:f>
        <s:v>6250</s:v>
      </s:c>
      <s:c r="N32" s="71">
        <s:f>SUM(B32:M32)</s:f>
        <s:v>75000</s:v>
      </s:c>
    </s:row>
    <s:row r="33">
      <s:c r="A33" s="17" t="inlineStr">
        <s:is>
          <s:t>ADJUSTMENTS &amp; TOTALS</s:t>
        </s:is>
      </s:c>
    </s:row>
    <s:row r="34">
      <s:c r="A34" s="15" t="inlineStr">
        <s:is>
          <s:t>Promotional discounts</s:t>
        </s:is>
      </s:c>
      <s:c r="B34" s="16">
        <s:f>-B25*'Key Assumptions'!$B$54</s:f>
        <s:v>-596.2400999999999</s:v>
      </s:c>
      <s:c r="C34" s="16">
        <s:f>-C25*'Key Assumptions'!$B$54</s:f>
        <s:v>-602.1906</s:v>
      </s:c>
      <s:c r="D34" s="16">
        <s:f>-D25*'Key Assumptions'!$B$54</s:f>
        <s:v>-606.951</s:v>
      </s:c>
      <s:c r="E34" s="16">
        <s:f>-E25*'Key Assumptions'!$B$54</s:f>
        <s:v>-611.7114</s:v>
      </s:c>
      <s:c r="F34" s="16">
        <s:f>-F25*'Key Assumptions'!$B$54</s:f>
        <s:v>-616.4718</s:v>
      </s:c>
      <s:c r="G34" s="16">
        <s:f>-G25*'Key Assumptions'!$B$54</s:f>
        <s:v>-621.2322</s:v>
      </s:c>
      <s:c r="H34" s="16">
        <s:f>-H25*'Key Assumptions'!$B$54</s:f>
        <s:v>-643.6267499999999</s:v>
      </s:c>
      <s:c r="I34" s="16">
        <s:f>-I25*'Key Assumptions'!$B$54</s:f>
        <s:v>-648.52125</s:v>
      </s:c>
      <s:c r="J34" s="16">
        <s:f>-J25*'Key Assumptions'!$B$54</s:f>
        <s:v>-653.4157499999999</s:v>
      </s:c>
      <s:c r="K34" s="16">
        <s:f>-K25*'Key Assumptions'!$B$54</s:f>
        <s:v>-658.31025</s:v>
      </s:c>
      <s:c r="L34" s="16">
        <s:f>-L25*'Key Assumptions'!$B$54</s:f>
        <s:v>-663.20475</s:v>
      </s:c>
      <s:c r="M34" s="16">
        <s:f>-M25*'Key Assumptions'!$B$54</s:f>
        <s:v>-668.09925</s:v>
      </s:c>
      <s:c r="N34" s="71">
        <s:f>SUM(B34:M34)</s:f>
        <s:v>-7589.9751</s:v>
      </s:c>
    </s:row>
    <s:row r="35">
      <s:c r="A35" s="15" t="inlineStr">
        <s:is>
          <s:t>Bad-debt adjustment</s:t>
        </s:is>
      </s:c>
      <s:c r="B35" s="16">
        <s:f>-(B25+B32)*'Key Assumptions'!$B$55</s:f>
        <s:v>-459.99339999999995</s:v>
      </s:c>
      <s:c r="C35" s="16">
        <s:f>-(C25+C32)*'Key Assumptions'!$B$55</s:f>
        <s:v>-463.9604</s:v>
      </s:c>
      <s:c r="D35" s="16">
        <s:f>-(D25+D32)*'Key Assumptions'!$B$55</s:f>
        <s:v>-467.134</s:v>
      </s:c>
      <s:c r="E35" s="16">
        <s:f>-(E25+E32)*'Key Assumptions'!$B$55</s:f>
        <s:v>-470.30760000000004</s:v>
      </s:c>
      <s:c r="F35" s="16">
        <s:f>-(F25+F32)*'Key Assumptions'!$B$55</s:f>
        <s:v>-473.48120000000006</s:v>
      </s:c>
      <s:c r="G35" s="16">
        <s:f>-(G25+G32)*'Key Assumptions'!$B$55</s:f>
        <s:v>-476.6548</s:v>
      </s:c>
      <s:c r="H35" s="16">
        <s:f>-(H25+H32)*'Key Assumptions'!$B$55</s:f>
        <s:v>-491.5845</s:v>
      </s:c>
      <s:c r="I35" s="16">
        <s:f>-(I25+I32)*'Key Assumptions'!$B$55</s:f>
        <s:v>-494.8475</s:v>
      </s:c>
      <s:c r="J35" s="16">
        <s:f>-(J25+J32)*'Key Assumptions'!$B$55</s:f>
        <s:v>-498.11049999999994</s:v>
      </s:c>
      <s:c r="K35" s="16">
        <s:f>-(K25+K32)*'Key Assumptions'!$B$55</s:f>
        <s:v>-501.3735</s:v>
      </s:c>
      <s:c r="L35" s="16">
        <s:f>-(L25+L32)*'Key Assumptions'!$B$55</s:f>
        <s:v>-504.6365</s:v>
      </s:c>
      <s:c r="M35" s="16">
        <s:f>-(M25+M32)*'Key Assumptions'!$B$55</s:f>
        <s:v>-507.8995</s:v>
      </s:c>
      <s:c r="N35" s="71">
        <s:f>SUM(B35:M35)</s:f>
        <s:v>-5809.983399999999</s:v>
      </s:c>
    </s:row>
    <s:row r="36">
      <s:c r="A36" s="3" t="inlineStr">
        <s:is>
          <s:t>Net business revenue</s:t>
        </s:is>
      </s:c>
      <s:c r="B36" s="72">
        <s:f>B25+B32+B34+B35</s:f>
        <s:v>44943.106499999994</s:v>
      </s:c>
      <s:c r="C36" s="72">
        <s:f>C25+C32+C34+C35</s:f>
        <s:v>45329.888999999996</s:v>
      </s:c>
      <s:c r="D36" s="72">
        <s:f>D25+D32+D34+D35</s:f>
        <s:v>45639.315</s:v>
      </s:c>
      <s:c r="E36" s="72">
        <s:f>E25+E32+E34+E35</s:f>
        <s:v>45948.741</s:v>
      </s:c>
      <s:c r="F36" s="72">
        <s:f>F25+F32+F34+F35</s:f>
        <s:v>46258.167</s:v>
      </s:c>
      <s:c r="G36" s="72">
        <s:f>G25+G32+G34+G35</s:f>
        <s:v>46567.59300000001</s:v>
      </s:c>
      <s:c r="H36" s="72">
        <s:f>H25+H32+H34+H35</s:f>
        <s:v>48023.23875</s:v>
      </s:c>
      <s:c r="I36" s="72">
        <s:f>I25+I32+I34+I35</s:f>
        <s:v>48341.38125</s:v>
      </s:c>
      <s:c r="J36" s="72">
        <s:f>J25+J32+J34+J35</s:f>
        <s:v>48659.52374999999</s:v>
      </s:c>
      <s:c r="K36" s="72">
        <s:f>K25+K32+K34+K35</s:f>
        <s:v>48977.666249999995</s:v>
      </s:c>
      <s:c r="L36" s="72">
        <s:f>L25+L32+L34+L35</s:f>
        <s:v>49295.808750000004</s:v>
      </s:c>
      <s:c r="M36" s="72">
        <s:f>M25+M32+M34+M35</s:f>
        <s:v>49613.95125</s:v>
      </s:c>
      <s:c r="N36" s="71">
        <s:f>SUM(B36:M36)</s:f>
        <s:v>567598.3815</s:v>
      </s:c>
    </s:row>
    <s:row r="37">
      <s:c r="A37" s="3" t="inlineStr">
        <s:is>
          <s:t>Business MRR</s:t>
        </s:is>
      </s:c>
      <s:c r="B37" s="72">
        <s:f>B25+B34</s:f>
        <s:v>39153.099899999994</s:v>
      </s:c>
      <s:c r="C37" s="72">
        <s:f>C25+C34</s:f>
        <s:v>39543.8494</s:v>
      </s:c>
      <s:c r="D37" s="72">
        <s:f>D25+D34</s:f>
        <s:v>39856.449</s:v>
      </s:c>
      <s:c r="E37" s="72">
        <s:f>E25+E34</s:f>
        <s:v>40169.0486</s:v>
      </s:c>
      <s:c r="F37" s="72">
        <s:f>F25+F34</s:f>
        <s:v>40481.6482</s:v>
      </s:c>
      <s:c r="G37" s="72">
        <s:f>G25+G34</s:f>
        <s:v>40794.247800000005</s:v>
      </s:c>
      <s:c r="H37" s="72">
        <s:f>H25+H34</s:f>
        <s:v>42264.823249999994</s:v>
      </s:c>
      <s:c r="I37" s="72">
        <s:f>I25+I34</s:f>
        <s:v>42586.22875</s:v>
      </s:c>
      <s:c r="J37" s="72">
        <s:f>J25+J34</s:f>
        <s:v>42907.634249999996</s:v>
      </s:c>
      <s:c r="K37" s="72">
        <s:f>K25+K34</s:f>
        <s:v>43229.039749999996</s:v>
      </s:c>
      <s:c r="L37" s="72">
        <s:f>L25+L34</s:f>
        <s:v>43550.445250000004</s:v>
      </s:c>
      <s:c r="M37" s="72">
        <s:f>M25+M34</s:f>
        <s:v>43871.85075</s:v>
      </s:c>
      <s:c r="N37" s="71">
        <s:f>M37</s:f>
        <s:v>43871.85075</s:v>
      </s:c>
    </s:row>
    <s:row r="38">
      <s:c r="A38" s="15" t="inlineStr">
        <s:is>
          <s:t>Business ARR run rate</s:t>
        </s:is>
      </s:c>
      <s:c r="B38" s="16">
        <s:f>B37*12</s:f>
        <s:v>469837.1987999999</s:v>
      </s:c>
      <s:c r="C38" s="16">
        <s:f>C37*12</s:f>
        <s:v>474526.19279999996</s:v>
      </s:c>
      <s:c r="D38" s="16">
        <s:f>D37*12</s:f>
        <s:v>478277.38800000004</s:v>
      </s:c>
      <s:c r="E38" s="16">
        <s:f>E37*12</s:f>
        <s:v>482028.5832</s:v>
      </s:c>
      <s:c r="F38" s="16">
        <s:f>F37*12</s:f>
        <s:v>485779.77840000007</s:v>
      </s:c>
      <s:c r="G38" s="16">
        <s:f>G37*12</s:f>
        <s:v>489530.9736</s:v>
      </s:c>
      <s:c r="H38" s="16">
        <s:f>H37*12</s:f>
        <s:v>507177.87899999996</s:v>
      </s:c>
      <s:c r="I38" s="16">
        <s:f>I37*12</s:f>
        <s:v>511034.745</s:v>
      </s:c>
      <s:c r="J38" s="16">
        <s:f>J37*12</s:f>
        <s:v>514891.6109999999</s:v>
      </s:c>
      <s:c r="K38" s="16">
        <s:f>K37*12</s:f>
        <s:v>518748.47699999996</s:v>
      </s:c>
      <s:c r="L38" s="16">
        <s:f>L37*12</s:f>
        <s:v>522605.34300000005</s:v>
      </s:c>
      <s:c r="M38" s="16">
        <s:f>M37*12</s:f>
        <s:v>526462.209</s:v>
      </s:c>
      <s:c r="N38" s="71">
        <s:f>M38</s:f>
        <s:v>526462.209</s:v>
      </s:c>
    </s:row>
    <s:row r="39">
      <s:c r="A39" s="15" t="inlineStr">
        <s:is>
          <s:t>Effective business ARPU</s:t>
        </s:is>
      </s:c>
      <s:c r="B39" s="73">
        <s:f>IFERROR(B25/B14,0)</s:f>
        <s:v>158.67999999999998</s:v>
      </s:c>
      <s:c r="C39" s="73">
        <s:f>IFERROR(C25/C14,0)</s:f>
        <s:v>158.68</s:v>
      </s:c>
      <s:c r="D39" s="73">
        <s:f>IFERROR(D25/D14,0)</s:f>
        <s:v>158.68</s:v>
      </s:c>
      <s:c r="E39" s="73">
        <s:f>IFERROR(E25/E14,0)</s:f>
        <s:v>158.68</s:v>
      </s:c>
      <s:c r="F39" s="73">
        <s:f>IFERROR(F25/F14,0)</s:f>
        <s:v>158.68</s:v>
      </s:c>
      <s:c r="G39" s="73">
        <s:f>IFERROR(G25/G14,0)</s:f>
        <s:v>158.68</s:v>
      </s:c>
      <s:c r="H39" s="73">
        <s:f>IFERROR(H25/H14,0)</s:f>
        <s:v>163.14999999999998</s:v>
      </s:c>
      <s:c r="I39" s="73">
        <s:f>IFERROR(I25/I14,0)</s:f>
        <s:v>163.15</s:v>
      </s:c>
      <s:c r="J39" s="73">
        <s:f>IFERROR(J25/J14,0)</s:f>
        <s:v>163.14999999999998</s:v>
      </s:c>
      <s:c r="K39" s="73">
        <s:f>IFERROR(K25/K14,0)</s:f>
        <s:v>163.15</s:v>
      </s:c>
      <s:c r="L39" s="73">
        <s:f>IFERROR(L25/L14,0)</s:f>
        <s:v>163.15</s:v>
      </s:c>
      <s:c r="M39" s="73">
        <s:f>IFERROR(M25/M14,0)</s:f>
        <s:v>163.14999999999998</s:v>
      </s:c>
      <s:c r="N39" s="74">
        <s:f>AVERAGE(B39:M39)</s:f>
        <s:v>160.91500000000005</s:v>
      </s:c>
    </s:row>
  </s:sheetData>
  <s:mergeCells count="6">
    <s:mergeCell ref="A5:M5"/>
    <s:mergeCell ref="A2:N2"/>
    <s:mergeCell ref="A18:M18"/>
    <s:mergeCell ref="A26:M26"/>
    <s:mergeCell ref="A33:M33"/>
    <s:mergeCell ref="A1:N1"/>
  </s:mergeCells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tabColor rgb="002E75B6"/>
    <s:outlinePr summaryBelow="1" summaryRight="1"/>
    <s:pageSetUpPr/>
  </s:sheetPr>
  <s:dimension ref="A1:AE47"/>
  <s:sheetViews>
    <s:sheetView showGridLines="0" workbookViewId="0">
      <s:pane xSplit="2" ySplit="7" topLeftCell="C8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" customWidth="1" min="1" max="1"/>
    <s:col width="26" customWidth="1" min="2" max="2"/>
    <s:col width="11" customWidth="1" min="3" max="3"/>
    <s:col width="11" customWidth="1" min="4" max="4"/>
    <s:col width="11" customWidth="1" min="5" max="5"/>
    <s:col width="11" customWidth="1" min="6" max="6"/>
    <s:col width="11" customWidth="1" min="7" max="7"/>
    <s:col width="11" customWidth="1" min="8" max="8"/>
    <s:col width="11" customWidth="1" min="9" max="9"/>
    <s:col width="11" customWidth="1" min="10" max="10"/>
    <s:col width="11" customWidth="1" min="11" max="11"/>
    <s:col width="11" customWidth="1" min="12" max="12"/>
    <s:col width="11" customWidth="1" min="13" max="13"/>
    <s:col width="11" customWidth="1" min="14" max="14"/>
    <s:col width="11" customWidth="1" min="17" max="17"/>
    <s:col width="11" customWidth="1" min="18" max="18"/>
    <s:col width="11" customWidth="1" min="19" max="19"/>
    <s:col width="11" customWidth="1" min="20" max="20"/>
    <s:col width="11" customWidth="1" min="21" max="21"/>
    <s:col width="11" customWidth="1" min="22" max="22"/>
    <s:col width="11" customWidth="1" min="23" max="23"/>
    <s:col width="11" customWidth="1" min="24" max="24"/>
    <s:col width="11" customWidth="1" min="25" max="25"/>
    <s:col width="11" customWidth="1" min="26" max="26"/>
    <s:col width="11" customWidth="1" min="27" max="27"/>
    <s:col width="11" customWidth="1" min="28" max="28"/>
    <s:col width="13" customWidth="1" min="29" max="29"/>
    <s:col width="14" customWidth="1" min="30" max="30"/>
    <s:col width="13" customWidth="1" min="31" max="31"/>
  </s:cols>
  <s:sheetData>
    <s:row r="1" ht="30" customHeight="1">
      <s:c r="A1" s="1" t="inlineStr">
        <s:is>
          <s:t>DARK FIBER &amp; FIBER INFRASTRUCTURE FORECAST — 2027</s:t>
        </s:is>
      </s:c>
    </s:row>
    <s:row r="2">
      <s:c r="A2" s="2" t="inlineStr">
        <s:is>
          <s:t>Each contract from Key Assumptions is recognized only during its active period (start/end dates). IRU treatment per contract method — CFO/accountant review required.</s:t>
        </s:is>
      </s:c>
    </s:row>
    <s:row r="4">
      <s:c r="A4" s="7" t="inlineStr">
        <s:is>
          <s:t>Month first-day →</s:t>
        </s:is>
      </s:c>
      <s:c r="Q4" s="75" t="n">
        <s:v>46388</s:v>
      </s:c>
      <s:c r="R4" s="75" t="n">
        <s:v>46419</s:v>
      </s:c>
      <s:c r="S4" s="75" t="n">
        <s:v>46447</s:v>
      </s:c>
      <s:c r="T4" s="75" t="n">
        <s:v>46478</s:v>
      </s:c>
      <s:c r="U4" s="75" t="n">
        <s:v>46508</s:v>
      </s:c>
      <s:c r="V4" s="75" t="n">
        <s:v>46539</s:v>
      </s:c>
      <s:c r="W4" s="75" t="n">
        <s:v>46569</s:v>
      </s:c>
      <s:c r="X4" s="75" t="n">
        <s:v>46600</s:v>
      </s:c>
      <s:c r="Y4" s="75" t="n">
        <s:v>46631</s:v>
      </s:c>
      <s:c r="Z4" s="75" t="n">
        <s:v>46661</s:v>
      </s:c>
      <s:c r="AA4" s="75" t="n">
        <s:v>46692</s:v>
      </s:c>
      <s:c r="AB4" s="75" t="n">
        <s:v>46722</s:v>
      </s:c>
    </s:row>
    <s:row r="5">
      <s:c r="A5" s="7" t="inlineStr">
        <s:is>
          <s:t>Month end (EOM) →</s:t>
        </s:is>
      </s:c>
      <s:c r="Q5" s="76">
        <s:f>EOMONTH(Q4,0)</s:f>
        <s:v>46418</s:v>
      </s:c>
      <s:c r="R5" s="76">
        <s:f>EOMONTH(R4,0)</s:f>
        <s:v>46446</s:v>
      </s:c>
      <s:c r="S5" s="76">
        <s:f>EOMONTH(S4,0)</s:f>
        <s:v>46477</s:v>
      </s:c>
      <s:c r="T5" s="76">
        <s:f>EOMONTH(T4,0)</s:f>
        <s:v>46507</s:v>
      </s:c>
      <s:c r="U5" s="76">
        <s:f>EOMONTH(U4,0)</s:f>
        <s:v>46538</s:v>
      </s:c>
      <s:c r="V5" s="76">
        <s:f>EOMONTH(V4,0)</s:f>
        <s:v>46568</s:v>
      </s:c>
      <s:c r="W5" s="76">
        <s:f>EOMONTH(W4,0)</s:f>
        <s:v>46599</s:v>
      </s:c>
      <s:c r="X5" s="76">
        <s:f>EOMONTH(X4,0)</s:f>
        <s:v>46630</s:v>
      </s:c>
      <s:c r="Y5" s="76">
        <s:f>EOMONTH(Y4,0)</s:f>
        <s:v>46660</s:v>
      </s:c>
      <s:c r="Z5" s="76">
        <s:f>EOMONTH(Z4,0)</s:f>
        <s:v>46691</s:v>
      </s:c>
      <s:c r="AA5" s="76">
        <s:f>EOMONTH(AA4,0)</s:f>
        <s:v>46721</s:v>
      </s:c>
      <s:c r="AB5" s="76">
        <s:f>EOMONTH(AB4,0)</s:f>
        <s:v>46752</s:v>
      </s:c>
    </s:row>
    <s:row r="7" ht="26" customHeight="1">
      <s:c r="A7" s="25" t="inlineStr">
        <s:is>
          <s:t>#</s:t>
        </s:is>
      </s:c>
      <s:c r="B7" s="25" t="inlineStr">
        <s:is>
          <s:t>Contract</s:t>
        </s:is>
      </s:c>
      <s:c r="C7" s="25" t="inlineStr">
        <s:is>
          <s:t>Eff Start</s:t>
        </s:is>
      </s:c>
      <s:c r="D7" s="25" t="inlineStr">
        <s:is>
          <s:t>End</s:t>
        </s:is>
      </s:c>
      <s:c r="E7" s="25" t="inlineStr">
        <s:is>
          <s:t>MRC</s:t>
        </s:is>
      </s:c>
      <s:c r="F7" s="25" t="inlineStr">
        <s:is>
          <s:t>Esc%</s:t>
        </s:is>
      </s:c>
      <s:c r="G7" s="25" t="inlineStr">
        <s:is>
          <s:t>EscDate</s:t>
        </s:is>
      </s:c>
      <s:c r="H7" s="25" t="inlineStr">
        <s:is>
          <s:t>O&amp;M/mo</s:t>
        </s:is>
      </s:c>
      <s:c r="I7" s="25" t="inlineStr">
        <s:is>
          <s:t>Constr</s:t>
        </s:is>
      </s:c>
      <s:c r="J7" s="25" t="inlineStr">
        <s:is>
          <s:t>Activ</s:t>
        </s:is>
      </s:c>
      <s:c r="K7" s="25" t="inlineStr">
        <s:is>
          <s:t>IRU Pay</s:t>
        </s:is>
      </s:c>
      <s:c r="L7" s="25" t="inlineStr">
        <s:is>
          <s:t>IRU Term</s:t>
        </s:is>
      </s:c>
      <s:c r="M7" s="25" t="inlineStr">
        <s:is>
          <s:t>IRU Method</s:t>
        </s:is>
      </s:c>
      <s:c r="N7" s="25" t="inlineStr">
        <s:is>
          <s:t>IRU SL/mo</s:t>
        </s:is>
      </s:c>
      <s:c r="Q7" s="77" t="inlineStr">
        <s:is>
          <s:t>Jan-27</s:t>
        </s:is>
      </s:c>
      <s:c r="R7" s="77" t="inlineStr">
        <s:is>
          <s:t>Feb-27</s:t>
        </s:is>
      </s:c>
      <s:c r="S7" s="77" t="inlineStr">
        <s:is>
          <s:t>Mar-27</s:t>
        </s:is>
      </s:c>
      <s:c r="T7" s="77" t="inlineStr">
        <s:is>
          <s:t>Apr-27</s:t>
        </s:is>
      </s:c>
      <s:c r="U7" s="77" t="inlineStr">
        <s:is>
          <s:t>May-27</s:t>
        </s:is>
      </s:c>
      <s:c r="V7" s="77" t="inlineStr">
        <s:is>
          <s:t>Jun-27</s:t>
        </s:is>
      </s:c>
      <s:c r="W7" s="77" t="inlineStr">
        <s:is>
          <s:t>Jul-27</s:t>
        </s:is>
      </s:c>
      <s:c r="X7" s="77" t="inlineStr">
        <s:is>
          <s:t>Aug-27</s:t>
        </s:is>
      </s:c>
      <s:c r="Y7" s="77" t="inlineStr">
        <s:is>
          <s:t>Sep-27</s:t>
        </s:is>
      </s:c>
      <s:c r="Z7" s="77" t="inlineStr">
        <s:is>
          <s:t>Oct-27</s:t>
        </s:is>
      </s:c>
      <s:c r="AA7" s="77" t="inlineStr">
        <s:is>
          <s:t>Nov-27</s:t>
        </s:is>
      </s:c>
      <s:c r="AB7" s="77" t="inlineStr">
        <s:is>
          <s:t>Dec-27</s:t>
        </s:is>
      </s:c>
      <s:c r="AC7" s="25" t="inlineStr">
        <s:is>
          <s:t>Annual</s:t>
        </s:is>
      </s:c>
      <s:c r="AD7" s="25" t="inlineStr">
        <s:is>
          <s:t>Remaining Value</s:t>
        </s:is>
      </s:c>
      <s:c r="AE7" s="25" t="inlineStr">
        <s:is>
          <s:t>Expiration</s:t>
        </s:is>
      </s:c>
    </s:row>
    <s:row r="8">
      <s:c r="A8" s="78">
        <s:f>'Key Assumptions'!A66</s:f>
        <s:v>1</s:v>
      </s:c>
      <s:c r="B8" s="26" t="str">
        <s:f>'Key Assumptions'!B66</s:f>
        <s:v>PLACEHOLDER — Current dark fiber book (H1 2026 run-rate)</s:v>
      </s:c>
      <s:c r="C8" s="79">
        <s:f>IF('Key Assumptions'!H66="",0,EDATE('Key Assumptions'!H66,'Key Assumptions'!$I$12))</s:f>
        <s:v>45292</s:v>
      </s:c>
      <s:c r="D8" s="79">
        <s:f>IF('Key Assumptions'!I66="",0,'Key Assumptions'!I66)</s:f>
        <s:v>47848</s:v>
      </s:c>
      <s:c r="E8" s="16">
        <s:f>N('Key Assumptions'!J66)</s:f>
        <s:v>1595</s:v>
      </s:c>
      <s:c r="F8" s="80">
        <s:f>N('Key Assumptions'!K66)</s:f>
        <s:v>0</s:v>
      </s:c>
      <s:c r="G8" s="79">
        <s:f>IF('Key Assumptions'!L66="",0,'Key Assumptions'!L66)</s:f>
        <s:v>46388</s:v>
      </s:c>
      <s:c r="H8" s="16">
        <s:f>IF('Key Assumptions'!R66="",IF(E8&gt;0,E8*'Key Assumptions'!$B$61,0),'Key Assumptions'!R66)</s:f>
        <s:v>0</s:v>
      </s:c>
      <s:c r="I8" s="16">
        <s:f>N('Key Assumptions'!M66)</s:f>
        <s:v>0</s:v>
      </s:c>
      <s:c r="J8" s="16">
        <s:f>N('Key Assumptions'!N66)</s:f>
        <s:v>0</s:v>
      </s:c>
      <s:c r="K8" s="16">
        <s:f>N('Key Assumptions'!O66)</s:f>
        <s:v>0</s:v>
      </s:c>
      <s:c r="L8" s="81">
        <s:f>N('Key Assumptions'!P66)</s:f>
        <s:v>0</s:v>
      </s:c>
      <s:c r="M8" s="82">
        <s:f>IF('Key Assumptions'!Q66="",'Key Assumptions'!$B$60,'Key Assumptions'!Q66)</s:f>
      </s:c>
      <s:c r="N8" s="16">
        <s:f>IF($M8="Straight-line",IFERROR($K8/($L8*12),0),0)</s:f>
        <s:v>0</s:v>
      </s:c>
      <s:c r="Q8" s="16">
        <s:f>IF(AND($C8&gt;0,$C8&lt;=Q$5,$D8&gt;=Q$4),$E8*(1+$F8*(Q$4&gt;=$G8))*'Key Assumptions'!$H$12+$H8+IF($M8="Straight-line",$N8,0),0)+IF(AND($M8="Upfront",$C8&gt;=Q$4,$C8&lt;=Q$5),$K8,0)+IF(AND($C8&gt;0,$C8&gt;=Q$4,$C8&lt;=Q$5),$I8+$J8,0)</s:f>
        <s:v>1595</s:v>
      </s:c>
      <s:c r="R8" s="16">
        <s:f>IF(AND($C8&gt;0,$C8&lt;=R$5,$D8&gt;=R$4),$E8*(1+$F8*(R$4&gt;=$G8))*'Key Assumptions'!$H$12+$H8+IF($M8="Straight-line",$N8,0),0)+IF(AND($M8="Upfront",$C8&gt;=R$4,$C8&lt;=R$5),$K8,0)+IF(AND($C8&gt;0,$C8&gt;=R$4,$C8&lt;=R$5),$I8+$J8,0)</s:f>
        <s:v>1595</s:v>
      </s:c>
      <s:c r="S8" s="16">
        <s:f>IF(AND($C8&gt;0,$C8&lt;=S$5,$D8&gt;=S$4),$E8*(1+$F8*(S$4&gt;=$G8))*'Key Assumptions'!$H$12+$H8+IF($M8="Straight-line",$N8,0),0)+IF(AND($M8="Upfront",$C8&gt;=S$4,$C8&lt;=S$5),$K8,0)+IF(AND($C8&gt;0,$C8&gt;=S$4,$C8&lt;=S$5),$I8+$J8,0)</s:f>
        <s:v>1595</s:v>
      </s:c>
      <s:c r="T8" s="16">
        <s:f>IF(AND($C8&gt;0,$C8&lt;=T$5,$D8&gt;=T$4),$E8*(1+$F8*(T$4&gt;=$G8))*'Key Assumptions'!$H$12+$H8+IF($M8="Straight-line",$N8,0),0)+IF(AND($M8="Upfront",$C8&gt;=T$4,$C8&lt;=T$5),$K8,0)+IF(AND($C8&gt;0,$C8&gt;=T$4,$C8&lt;=T$5),$I8+$J8,0)</s:f>
        <s:v>1595</s:v>
      </s:c>
      <s:c r="U8" s="16">
        <s:f>IF(AND($C8&gt;0,$C8&lt;=U$5,$D8&gt;=U$4),$E8*(1+$F8*(U$4&gt;=$G8))*'Key Assumptions'!$H$12+$H8+IF($M8="Straight-line",$N8,0),0)+IF(AND($M8="Upfront",$C8&gt;=U$4,$C8&lt;=U$5),$K8,0)+IF(AND($C8&gt;0,$C8&gt;=U$4,$C8&lt;=U$5),$I8+$J8,0)</s:f>
        <s:v>1595</s:v>
      </s:c>
      <s:c r="V8" s="16">
        <s:f>IF(AND($C8&gt;0,$C8&lt;=V$5,$D8&gt;=V$4),$E8*(1+$F8*(V$4&gt;=$G8))*'Key Assumptions'!$H$12+$H8+IF($M8="Straight-line",$N8,0),0)+IF(AND($M8="Upfront",$C8&gt;=V$4,$C8&lt;=V$5),$K8,0)+IF(AND($C8&gt;0,$C8&gt;=V$4,$C8&lt;=V$5),$I8+$J8,0)</s:f>
        <s:v>1595</s:v>
      </s:c>
      <s:c r="W8" s="16">
        <s:f>IF(AND($C8&gt;0,$C8&lt;=W$5,$D8&gt;=W$4),$E8*(1+$F8*(W$4&gt;=$G8))*'Key Assumptions'!$H$12+$H8+IF($M8="Straight-line",$N8,0),0)+IF(AND($M8="Upfront",$C8&gt;=W$4,$C8&lt;=W$5),$K8,0)+IF(AND($C8&gt;0,$C8&gt;=W$4,$C8&lt;=W$5),$I8+$J8,0)</s:f>
        <s:v>1595</s:v>
      </s:c>
      <s:c r="X8" s="16">
        <s:f>IF(AND($C8&gt;0,$C8&lt;=X$5,$D8&gt;=X$4),$E8*(1+$F8*(X$4&gt;=$G8))*'Key Assumptions'!$H$12+$H8+IF($M8="Straight-line",$N8,0),0)+IF(AND($M8="Upfront",$C8&gt;=X$4,$C8&lt;=X$5),$K8,0)+IF(AND($C8&gt;0,$C8&gt;=X$4,$C8&lt;=X$5),$I8+$J8,0)</s:f>
        <s:v>1595</s:v>
      </s:c>
      <s:c r="Y8" s="16">
        <s:f>IF(AND($C8&gt;0,$C8&lt;=Y$5,$D8&gt;=Y$4),$E8*(1+$F8*(Y$4&gt;=$G8))*'Key Assumptions'!$H$12+$H8+IF($M8="Straight-line",$N8,0),0)+IF(AND($M8="Upfront",$C8&gt;=Y$4,$C8&lt;=Y$5),$K8,0)+IF(AND($C8&gt;0,$C8&gt;=Y$4,$C8&lt;=Y$5),$I8+$J8,0)</s:f>
        <s:v>1595</s:v>
      </s:c>
      <s:c r="Z8" s="16">
        <s:f>IF(AND($C8&gt;0,$C8&lt;=Z$5,$D8&gt;=Z$4),$E8*(1+$F8*(Z$4&gt;=$G8))*'Key Assumptions'!$H$12+$H8+IF($M8="Straight-line",$N8,0),0)+IF(AND($M8="Upfront",$C8&gt;=Z$4,$C8&lt;=Z$5),$K8,0)+IF(AND($C8&gt;0,$C8&gt;=Z$4,$C8&lt;=Z$5),$I8+$J8,0)</s:f>
        <s:v>1595</s:v>
      </s:c>
      <s:c r="AA8" s="16">
        <s:f>IF(AND($C8&gt;0,$C8&lt;=AA$5,$D8&gt;=AA$4),$E8*(1+$F8*(AA$4&gt;=$G8))*'Key Assumptions'!$H$12+$H8+IF($M8="Straight-line",$N8,0),0)+IF(AND($M8="Upfront",$C8&gt;=AA$4,$C8&lt;=AA$5),$K8,0)+IF(AND($C8&gt;0,$C8&gt;=AA$4,$C8&lt;=AA$5),$I8+$J8,0)</s:f>
        <s:v>1595</s:v>
      </s:c>
      <s:c r="AB8" s="16">
        <s:f>IF(AND($C8&gt;0,$C8&lt;=AB$5,$D8&gt;=AB$4),$E8*(1+$F8*(AB$4&gt;=$G8))*'Key Assumptions'!$H$12+$H8+IF($M8="Straight-line",$N8,0),0)+IF(AND($M8="Upfront",$C8&gt;=AB$4,$C8&lt;=AB$5),$K8,0)+IF(AND($C8&gt;0,$C8&gt;=AB$4,$C8&lt;=AB$5),$I8+$J8,0)</s:f>
        <s:v>1595</s:v>
      </s:c>
      <s:c r="AC8" s="71">
        <s:f>SUM(Q8:AB8)</s:f>
        <s:v>19140</s:v>
      </s:c>
      <s:c r="AD8" s="83">
        <s:f>IF($D8&gt;0,$E8*MAX(0,(YEAR($D8)-2027)*12+(MONTH($D8)-12)),0)</s:f>
        <s:v>57420</s:v>
      </s:c>
      <s:c r="AE8" s="84" t="str">
        <s:f>IF('Key Assumptions'!B66="","",IF($D8&lt;DATE(2027,12,31),"EXPIRED",IF($D8-DATE(2027,12,31)&lt;=90,"RED &lt;90d",IF($D8-DATE(2027,12,31)&lt;=180,"YELLOW &lt;180d","GREEN"))))</s:f>
        <s:v>GREEN</s:v>
      </s:c>
    </s:row>
    <s:row r="9">
      <s:c r="A9" s="78">
        <s:f>'Key Assumptions'!A67</s:f>
        <s:v>2</s:v>
      </s:c>
      <s:c r="B9" s="26">
        <s:f>'Key Assumptions'!B67</s:f>
        <s:v>0</s:v>
      </s:c>
      <s:c r="C9" s="79">
        <s:f>IF('Key Assumptions'!H67="",0,EDATE('Key Assumptions'!H67,'Key Assumptions'!$I$12))</s:f>
        <s:v>0</s:v>
      </s:c>
      <s:c r="D9" s="79">
        <s:f>IF('Key Assumptions'!I67="",0,'Key Assumptions'!I67)</s:f>
        <s:v>0</s:v>
      </s:c>
      <s:c r="E9" s="16">
        <s:f>N('Key Assumptions'!J67)</s:f>
        <s:v>0</s:v>
      </s:c>
      <s:c r="F9" s="80">
        <s:f>N('Key Assumptions'!K67)</s:f>
        <s:v>0</s:v>
      </s:c>
      <s:c r="G9" s="79">
        <s:f>IF('Key Assumptions'!L67="",0,'Key Assumptions'!L67)</s:f>
        <s:v>0</s:v>
      </s:c>
      <s:c r="H9" s="16">
        <s:f>IF('Key Assumptions'!R67="",IF(E9&gt;0,E9*'Key Assumptions'!$B$61,0),'Key Assumptions'!R67)</s:f>
        <s:v>0</s:v>
      </s:c>
      <s:c r="I9" s="16">
        <s:f>N('Key Assumptions'!M67)</s:f>
        <s:v>0</s:v>
      </s:c>
      <s:c r="J9" s="16">
        <s:f>N('Key Assumptions'!N67)</s:f>
        <s:v>0</s:v>
      </s:c>
      <s:c r="K9" s="16">
        <s:f>N('Key Assumptions'!O67)</s:f>
        <s:v>0</s:v>
      </s:c>
      <s:c r="L9" s="81">
        <s:f>N('Key Assumptions'!P67)</s:f>
        <s:v>0</s:v>
      </s:c>
      <s:c r="M9" s="82" t="str">
        <s:f>IF('Key Assumptions'!Q67="",'Key Assumptions'!$B$60,'Key Assumptions'!Q67)</s:f>
        <s:v>Straight-line</s:v>
      </s:c>
      <s:c r="N9" s="16">
        <s:f>IF($M9="Straight-line",IFERROR($K9/($L9*12),0),0)</s:f>
        <s:v>0</s:v>
      </s:c>
      <s:c r="Q9" s="16">
        <s:f>IF(AND($C9&gt;0,$C9&lt;=Q$5,$D9&gt;=Q$4),$E9*(1+$F9*(Q$4&gt;=$G9))*'Key Assumptions'!$H$12+$H9+IF($M9="Straight-line",$N9,0),0)+IF(AND($M9="Upfront",$C9&gt;=Q$4,$C9&lt;=Q$5),$K9,0)+IF(AND($C9&gt;0,$C9&gt;=Q$4,$C9&lt;=Q$5),$I9+$J9,0)</s:f>
        <s:v>0</s:v>
      </s:c>
      <s:c r="R9" s="16">
        <s:f>IF(AND($C9&gt;0,$C9&lt;=R$5,$D9&gt;=R$4),$E9*(1+$F9*(R$4&gt;=$G9))*'Key Assumptions'!$H$12+$H9+IF($M9="Straight-line",$N9,0),0)+IF(AND($M9="Upfront",$C9&gt;=R$4,$C9&lt;=R$5),$K9,0)+IF(AND($C9&gt;0,$C9&gt;=R$4,$C9&lt;=R$5),$I9+$J9,0)</s:f>
        <s:v>0</s:v>
      </s:c>
      <s:c r="S9" s="16">
        <s:f>IF(AND($C9&gt;0,$C9&lt;=S$5,$D9&gt;=S$4),$E9*(1+$F9*(S$4&gt;=$G9))*'Key Assumptions'!$H$12+$H9+IF($M9="Straight-line",$N9,0),0)+IF(AND($M9="Upfront",$C9&gt;=S$4,$C9&lt;=S$5),$K9,0)+IF(AND($C9&gt;0,$C9&gt;=S$4,$C9&lt;=S$5),$I9+$J9,0)</s:f>
        <s:v>0</s:v>
      </s:c>
      <s:c r="T9" s="16">
        <s:f>IF(AND($C9&gt;0,$C9&lt;=T$5,$D9&gt;=T$4),$E9*(1+$F9*(T$4&gt;=$G9))*'Key Assumptions'!$H$12+$H9+IF($M9="Straight-line",$N9,0),0)+IF(AND($M9="Upfront",$C9&gt;=T$4,$C9&lt;=T$5),$K9,0)+IF(AND($C9&gt;0,$C9&gt;=T$4,$C9&lt;=T$5),$I9+$J9,0)</s:f>
        <s:v>0</s:v>
      </s:c>
      <s:c r="U9" s="16">
        <s:f>IF(AND($C9&gt;0,$C9&lt;=U$5,$D9&gt;=U$4),$E9*(1+$F9*(U$4&gt;=$G9))*'Key Assumptions'!$H$12+$H9+IF($M9="Straight-line",$N9,0),0)+IF(AND($M9="Upfront",$C9&gt;=U$4,$C9&lt;=U$5),$K9,0)+IF(AND($C9&gt;0,$C9&gt;=U$4,$C9&lt;=U$5),$I9+$J9,0)</s:f>
        <s:v>0</s:v>
      </s:c>
      <s:c r="V9" s="16">
        <s:f>IF(AND($C9&gt;0,$C9&lt;=V$5,$D9&gt;=V$4),$E9*(1+$F9*(V$4&gt;=$G9))*'Key Assumptions'!$H$12+$H9+IF($M9="Straight-line",$N9,0),0)+IF(AND($M9="Upfront",$C9&gt;=V$4,$C9&lt;=V$5),$K9,0)+IF(AND($C9&gt;0,$C9&gt;=V$4,$C9&lt;=V$5),$I9+$J9,0)</s:f>
        <s:v>0</s:v>
      </s:c>
      <s:c r="W9" s="16">
        <s:f>IF(AND($C9&gt;0,$C9&lt;=W$5,$D9&gt;=W$4),$E9*(1+$F9*(W$4&gt;=$G9))*'Key Assumptions'!$H$12+$H9+IF($M9="Straight-line",$N9,0),0)+IF(AND($M9="Upfront",$C9&gt;=W$4,$C9&lt;=W$5),$K9,0)+IF(AND($C9&gt;0,$C9&gt;=W$4,$C9&lt;=W$5),$I9+$J9,0)</s:f>
        <s:v>0</s:v>
      </s:c>
      <s:c r="X9" s="16">
        <s:f>IF(AND($C9&gt;0,$C9&lt;=X$5,$D9&gt;=X$4),$E9*(1+$F9*(X$4&gt;=$G9))*'Key Assumptions'!$H$12+$H9+IF($M9="Straight-line",$N9,0),0)+IF(AND($M9="Upfront",$C9&gt;=X$4,$C9&lt;=X$5),$K9,0)+IF(AND($C9&gt;0,$C9&gt;=X$4,$C9&lt;=X$5),$I9+$J9,0)</s:f>
        <s:v>0</s:v>
      </s:c>
      <s:c r="Y9" s="16">
        <s:f>IF(AND($C9&gt;0,$C9&lt;=Y$5,$D9&gt;=Y$4),$E9*(1+$F9*(Y$4&gt;=$G9))*'Key Assumptions'!$H$12+$H9+IF($M9="Straight-line",$N9,0),0)+IF(AND($M9="Upfront",$C9&gt;=Y$4,$C9&lt;=Y$5),$K9,0)+IF(AND($C9&gt;0,$C9&gt;=Y$4,$C9&lt;=Y$5),$I9+$J9,0)</s:f>
        <s:v>0</s:v>
      </s:c>
      <s:c r="Z9" s="16">
        <s:f>IF(AND($C9&gt;0,$C9&lt;=Z$5,$D9&gt;=Z$4),$E9*(1+$F9*(Z$4&gt;=$G9))*'Key Assumptions'!$H$12+$H9+IF($M9="Straight-line",$N9,0),0)+IF(AND($M9="Upfront",$C9&gt;=Z$4,$C9&lt;=Z$5),$K9,0)+IF(AND($C9&gt;0,$C9&gt;=Z$4,$C9&lt;=Z$5),$I9+$J9,0)</s:f>
        <s:v>0</s:v>
      </s:c>
      <s:c r="AA9" s="16">
        <s:f>IF(AND($C9&gt;0,$C9&lt;=AA$5,$D9&gt;=AA$4),$E9*(1+$F9*(AA$4&gt;=$G9))*'Key Assumptions'!$H$12+$H9+IF($M9="Straight-line",$N9,0),0)+IF(AND($M9="Upfront",$C9&gt;=AA$4,$C9&lt;=AA$5),$K9,0)+IF(AND($C9&gt;0,$C9&gt;=AA$4,$C9&lt;=AA$5),$I9+$J9,0)</s:f>
        <s:v>0</s:v>
      </s:c>
      <s:c r="AB9" s="16">
        <s:f>IF(AND($C9&gt;0,$C9&lt;=AB$5,$D9&gt;=AB$4),$E9*(1+$F9*(AB$4&gt;=$G9))*'Key Assumptions'!$H$12+$H9+IF($M9="Straight-line",$N9,0),0)+IF(AND($M9="Upfront",$C9&gt;=AB$4,$C9&lt;=AB$5),$K9,0)+IF(AND($C9&gt;0,$C9&gt;=AB$4,$C9&lt;=AB$5),$I9+$J9,0)</s:f>
        <s:v>0</s:v>
      </s:c>
      <s:c r="AC9" s="71">
        <s:f>SUM(Q9:AB9)</s:f>
        <s:v>0</s:v>
      </s:c>
      <s:c r="AD9" s="83">
        <s:f>IF($D9&gt;0,$E9*MAX(0,(YEAR($D9)-2027)*12+(MONTH($D9)-12)),0)</s:f>
        <s:v>0</s:v>
      </s:c>
      <s:c r="AE9" s="84">
        <s:f>IF('Key Assumptions'!B67="","",IF($D9&lt;DATE(2027,12,31),"EXPIRED",IF($D9-DATE(2027,12,31)&lt;=90,"RED &lt;90d",IF($D9-DATE(2027,12,31)&lt;=180,"YELLOW &lt;180d","GREEN"))))</s:f>
      </s:c>
    </s:row>
    <s:row r="10">
      <s:c r="A10" s="78">
        <s:f>'Key Assumptions'!A68</s:f>
        <s:v>3</s:v>
      </s:c>
      <s:c r="B10" s="26">
        <s:f>'Key Assumptions'!B68</s:f>
        <s:v>0</s:v>
      </s:c>
      <s:c r="C10" s="79">
        <s:f>IF('Key Assumptions'!H68="",0,EDATE('Key Assumptions'!H68,'Key Assumptions'!$I$12))</s:f>
        <s:v>0</s:v>
      </s:c>
      <s:c r="D10" s="79">
        <s:f>IF('Key Assumptions'!I68="",0,'Key Assumptions'!I68)</s:f>
        <s:v>0</s:v>
      </s:c>
      <s:c r="E10" s="16">
        <s:f>N('Key Assumptions'!J68)</s:f>
        <s:v>0</s:v>
      </s:c>
      <s:c r="F10" s="80">
        <s:f>N('Key Assumptions'!K68)</s:f>
        <s:v>0</s:v>
      </s:c>
      <s:c r="G10" s="79">
        <s:f>IF('Key Assumptions'!L68="",0,'Key Assumptions'!L68)</s:f>
        <s:v>0</s:v>
      </s:c>
      <s:c r="H10" s="16">
        <s:f>IF('Key Assumptions'!R68="",IF(E10&gt;0,E10*'Key Assumptions'!$B$61,0),'Key Assumptions'!R68)</s:f>
        <s:v>0</s:v>
      </s:c>
      <s:c r="I10" s="16">
        <s:f>N('Key Assumptions'!M68)</s:f>
        <s:v>0</s:v>
      </s:c>
      <s:c r="J10" s="16">
        <s:f>N('Key Assumptions'!N68)</s:f>
        <s:v>0</s:v>
      </s:c>
      <s:c r="K10" s="16">
        <s:f>N('Key Assumptions'!O68)</s:f>
        <s:v>0</s:v>
      </s:c>
      <s:c r="L10" s="81">
        <s:f>N('Key Assumptions'!P68)</s:f>
        <s:v>0</s:v>
      </s:c>
      <s:c r="M10" s="82" t="str">
        <s:f>IF('Key Assumptions'!Q68="",'Key Assumptions'!$B$60,'Key Assumptions'!Q68)</s:f>
        <s:v>Straight-line</s:v>
      </s:c>
      <s:c r="N10" s="16">
        <s:f>IF($M10="Straight-line",IFERROR($K10/($L10*12),0),0)</s:f>
        <s:v>0</s:v>
      </s:c>
      <s:c r="Q10" s="16">
        <s:f>IF(AND($C10&gt;0,$C10&lt;=Q$5,$D10&gt;=Q$4),$E10*(1+$F10*(Q$4&gt;=$G10))*'Key Assumptions'!$H$12+$H10+IF($M10="Straight-line",$N10,0),0)+IF(AND($M10="Upfront",$C10&gt;=Q$4,$C10&lt;=Q$5),$K10,0)+IF(AND($C10&gt;0,$C10&gt;=Q$4,$C10&lt;=Q$5),$I10+$J10,0)</s:f>
        <s:v>0</s:v>
      </s:c>
      <s:c r="R10" s="16">
        <s:f>IF(AND($C10&gt;0,$C10&lt;=R$5,$D10&gt;=R$4),$E10*(1+$F10*(R$4&gt;=$G10))*'Key Assumptions'!$H$12+$H10+IF($M10="Straight-line",$N10,0),0)+IF(AND($M10="Upfront",$C10&gt;=R$4,$C10&lt;=R$5),$K10,0)+IF(AND($C10&gt;0,$C10&gt;=R$4,$C10&lt;=R$5),$I10+$J10,0)</s:f>
        <s:v>0</s:v>
      </s:c>
      <s:c r="S10" s="16">
        <s:f>IF(AND($C10&gt;0,$C10&lt;=S$5,$D10&gt;=S$4),$E10*(1+$F10*(S$4&gt;=$G10))*'Key Assumptions'!$H$12+$H10+IF($M10="Straight-line",$N10,0),0)+IF(AND($M10="Upfront",$C10&gt;=S$4,$C10&lt;=S$5),$K10,0)+IF(AND($C10&gt;0,$C10&gt;=S$4,$C10&lt;=S$5),$I10+$J10,0)</s:f>
        <s:v>0</s:v>
      </s:c>
      <s:c r="T10" s="16">
        <s:f>IF(AND($C10&gt;0,$C10&lt;=T$5,$D10&gt;=T$4),$E10*(1+$F10*(T$4&gt;=$G10))*'Key Assumptions'!$H$12+$H10+IF($M10="Straight-line",$N10,0),0)+IF(AND($M10="Upfront",$C10&gt;=T$4,$C10&lt;=T$5),$K10,0)+IF(AND($C10&gt;0,$C10&gt;=T$4,$C10&lt;=T$5),$I10+$J10,0)</s:f>
        <s:v>0</s:v>
      </s:c>
      <s:c r="U10" s="16">
        <s:f>IF(AND($C10&gt;0,$C10&lt;=U$5,$D10&gt;=U$4),$E10*(1+$F10*(U$4&gt;=$G10))*'Key Assumptions'!$H$12+$H10+IF($M10="Straight-line",$N10,0),0)+IF(AND($M10="Upfront",$C10&gt;=U$4,$C10&lt;=U$5),$K10,0)+IF(AND($C10&gt;0,$C10&gt;=U$4,$C10&lt;=U$5),$I10+$J10,0)</s:f>
        <s:v>0</s:v>
      </s:c>
      <s:c r="V10" s="16">
        <s:f>IF(AND($C10&gt;0,$C10&lt;=V$5,$D10&gt;=V$4),$E10*(1+$F10*(V$4&gt;=$G10))*'Key Assumptions'!$H$12+$H10+IF($M10="Straight-line",$N10,0),0)+IF(AND($M10="Upfront",$C10&gt;=V$4,$C10&lt;=V$5),$K10,0)+IF(AND($C10&gt;0,$C10&gt;=V$4,$C10&lt;=V$5),$I10+$J10,0)</s:f>
        <s:v>0</s:v>
      </s:c>
      <s:c r="W10" s="16">
        <s:f>IF(AND($C10&gt;0,$C10&lt;=W$5,$D10&gt;=W$4),$E10*(1+$F10*(W$4&gt;=$G10))*'Key Assumptions'!$H$12+$H10+IF($M10="Straight-line",$N10,0),0)+IF(AND($M10="Upfront",$C10&gt;=W$4,$C10&lt;=W$5),$K10,0)+IF(AND($C10&gt;0,$C10&gt;=W$4,$C10&lt;=W$5),$I10+$J10,0)</s:f>
        <s:v>0</s:v>
      </s:c>
      <s:c r="X10" s="16">
        <s:f>IF(AND($C10&gt;0,$C10&lt;=X$5,$D10&gt;=X$4),$E10*(1+$F10*(X$4&gt;=$G10))*'Key Assumptions'!$H$12+$H10+IF($M10="Straight-line",$N10,0),0)+IF(AND($M10="Upfront",$C10&gt;=X$4,$C10&lt;=X$5),$K10,0)+IF(AND($C10&gt;0,$C10&gt;=X$4,$C10&lt;=X$5),$I10+$J10,0)</s:f>
        <s:v>0</s:v>
      </s:c>
      <s:c r="Y10" s="16">
        <s:f>IF(AND($C10&gt;0,$C10&lt;=Y$5,$D10&gt;=Y$4),$E10*(1+$F10*(Y$4&gt;=$G10))*'Key Assumptions'!$H$12+$H10+IF($M10="Straight-line",$N10,0),0)+IF(AND($M10="Upfront",$C10&gt;=Y$4,$C10&lt;=Y$5),$K10,0)+IF(AND($C10&gt;0,$C10&gt;=Y$4,$C10&lt;=Y$5),$I10+$J10,0)</s:f>
        <s:v>0</s:v>
      </s:c>
      <s:c r="Z10" s="16">
        <s:f>IF(AND($C10&gt;0,$C10&lt;=Z$5,$D10&gt;=Z$4),$E10*(1+$F10*(Z$4&gt;=$G10))*'Key Assumptions'!$H$12+$H10+IF($M10="Straight-line",$N10,0),0)+IF(AND($M10="Upfront",$C10&gt;=Z$4,$C10&lt;=Z$5),$K10,0)+IF(AND($C10&gt;0,$C10&gt;=Z$4,$C10&lt;=Z$5),$I10+$J10,0)</s:f>
        <s:v>0</s:v>
      </s:c>
      <s:c r="AA10" s="16">
        <s:f>IF(AND($C10&gt;0,$C10&lt;=AA$5,$D10&gt;=AA$4),$E10*(1+$F10*(AA$4&gt;=$G10))*'Key Assumptions'!$H$12+$H10+IF($M10="Straight-line",$N10,0),0)+IF(AND($M10="Upfront",$C10&gt;=AA$4,$C10&lt;=AA$5),$K10,0)+IF(AND($C10&gt;0,$C10&gt;=AA$4,$C10&lt;=AA$5),$I10+$J10,0)</s:f>
        <s:v>0</s:v>
      </s:c>
      <s:c r="AB10" s="16">
        <s:f>IF(AND($C10&gt;0,$C10&lt;=AB$5,$D10&gt;=AB$4),$E10*(1+$F10*(AB$4&gt;=$G10))*'Key Assumptions'!$H$12+$H10+IF($M10="Straight-line",$N10,0),0)+IF(AND($M10="Upfront",$C10&gt;=AB$4,$C10&lt;=AB$5),$K10,0)+IF(AND($C10&gt;0,$C10&gt;=AB$4,$C10&lt;=AB$5),$I10+$J10,0)</s:f>
        <s:v>0</s:v>
      </s:c>
      <s:c r="AC10" s="71">
        <s:f>SUM(Q10:AB10)</s:f>
        <s:v>0</s:v>
      </s:c>
      <s:c r="AD10" s="83">
        <s:f>IF($D10&gt;0,$E10*MAX(0,(YEAR($D10)-2027)*12+(MONTH($D10)-12)),0)</s:f>
        <s:v>0</s:v>
      </s:c>
      <s:c r="AE10" s="84">
        <s:f>IF('Key Assumptions'!B68="","",IF($D10&lt;DATE(2027,12,31),"EXPIRED",IF($D10-DATE(2027,12,31)&lt;=90,"RED &lt;90d",IF($D10-DATE(2027,12,31)&lt;=180,"YELLOW &lt;180d","GREEN"))))</s:f>
      </s:c>
    </s:row>
    <s:row r="11">
      <s:c r="A11" s="78">
        <s:f>'Key Assumptions'!A69</s:f>
        <s:v>4</s:v>
      </s:c>
      <s:c r="B11" s="26">
        <s:f>'Key Assumptions'!B69</s:f>
        <s:v>0</s:v>
      </s:c>
      <s:c r="C11" s="79">
        <s:f>IF('Key Assumptions'!H69="",0,EDATE('Key Assumptions'!H69,'Key Assumptions'!$I$12))</s:f>
        <s:v>0</s:v>
      </s:c>
      <s:c r="D11" s="79">
        <s:f>IF('Key Assumptions'!I69="",0,'Key Assumptions'!I69)</s:f>
        <s:v>0</s:v>
      </s:c>
      <s:c r="E11" s="16">
        <s:f>N('Key Assumptions'!J69)</s:f>
        <s:v>0</s:v>
      </s:c>
      <s:c r="F11" s="80">
        <s:f>N('Key Assumptions'!K69)</s:f>
        <s:v>0</s:v>
      </s:c>
      <s:c r="G11" s="79">
        <s:f>IF('Key Assumptions'!L69="",0,'Key Assumptions'!L69)</s:f>
        <s:v>0</s:v>
      </s:c>
      <s:c r="H11" s="16">
        <s:f>IF('Key Assumptions'!R69="",IF(E11&gt;0,E11*'Key Assumptions'!$B$61,0),'Key Assumptions'!R69)</s:f>
        <s:v>0</s:v>
      </s:c>
      <s:c r="I11" s="16">
        <s:f>N('Key Assumptions'!M69)</s:f>
        <s:v>0</s:v>
      </s:c>
      <s:c r="J11" s="16">
        <s:f>N('Key Assumptions'!N69)</s:f>
        <s:v>0</s:v>
      </s:c>
      <s:c r="K11" s="16">
        <s:f>N('Key Assumptions'!O69)</s:f>
        <s:v>0</s:v>
      </s:c>
      <s:c r="L11" s="81">
        <s:f>N('Key Assumptions'!P69)</s:f>
        <s:v>0</s:v>
      </s:c>
      <s:c r="M11" s="82" t="str">
        <s:f>IF('Key Assumptions'!Q69="",'Key Assumptions'!$B$60,'Key Assumptions'!Q69)</s:f>
        <s:v>Straight-line</s:v>
      </s:c>
      <s:c r="N11" s="16">
        <s:f>IF($M11="Straight-line",IFERROR($K11/($L11*12),0),0)</s:f>
        <s:v>0</s:v>
      </s:c>
      <s:c r="Q11" s="16">
        <s:f>IF(AND($C11&gt;0,$C11&lt;=Q$5,$D11&gt;=Q$4),$E11*(1+$F11*(Q$4&gt;=$G11))*'Key Assumptions'!$H$12+$H11+IF($M11="Straight-line",$N11,0),0)+IF(AND($M11="Upfront",$C11&gt;=Q$4,$C11&lt;=Q$5),$K11,0)+IF(AND($C11&gt;0,$C11&gt;=Q$4,$C11&lt;=Q$5),$I11+$J11,0)</s:f>
        <s:v>0</s:v>
      </s:c>
      <s:c r="R11" s="16">
        <s:f>IF(AND($C11&gt;0,$C11&lt;=R$5,$D11&gt;=R$4),$E11*(1+$F11*(R$4&gt;=$G11))*'Key Assumptions'!$H$12+$H11+IF($M11="Straight-line",$N11,0),0)+IF(AND($M11="Upfront",$C11&gt;=R$4,$C11&lt;=R$5),$K11,0)+IF(AND($C11&gt;0,$C11&gt;=R$4,$C11&lt;=R$5),$I11+$J11,0)</s:f>
        <s:v>0</s:v>
      </s:c>
      <s:c r="S11" s="16">
        <s:f>IF(AND($C11&gt;0,$C11&lt;=S$5,$D11&gt;=S$4),$E11*(1+$F11*(S$4&gt;=$G11))*'Key Assumptions'!$H$12+$H11+IF($M11="Straight-line",$N11,0),0)+IF(AND($M11="Upfront",$C11&gt;=S$4,$C11&lt;=S$5),$K11,0)+IF(AND($C11&gt;0,$C11&gt;=S$4,$C11&lt;=S$5),$I11+$J11,0)</s:f>
        <s:v>0</s:v>
      </s:c>
      <s:c r="T11" s="16">
        <s:f>IF(AND($C11&gt;0,$C11&lt;=T$5,$D11&gt;=T$4),$E11*(1+$F11*(T$4&gt;=$G11))*'Key Assumptions'!$H$12+$H11+IF($M11="Straight-line",$N11,0),0)+IF(AND($M11="Upfront",$C11&gt;=T$4,$C11&lt;=T$5),$K11,0)+IF(AND($C11&gt;0,$C11&gt;=T$4,$C11&lt;=T$5),$I11+$J11,0)</s:f>
        <s:v>0</s:v>
      </s:c>
      <s:c r="U11" s="16">
        <s:f>IF(AND($C11&gt;0,$C11&lt;=U$5,$D11&gt;=U$4),$E11*(1+$F11*(U$4&gt;=$G11))*'Key Assumptions'!$H$12+$H11+IF($M11="Straight-line",$N11,0),0)+IF(AND($M11="Upfront",$C11&gt;=U$4,$C11&lt;=U$5),$K11,0)+IF(AND($C11&gt;0,$C11&gt;=U$4,$C11&lt;=U$5),$I11+$J11,0)</s:f>
        <s:v>0</s:v>
      </s:c>
      <s:c r="V11" s="16">
        <s:f>IF(AND($C11&gt;0,$C11&lt;=V$5,$D11&gt;=V$4),$E11*(1+$F11*(V$4&gt;=$G11))*'Key Assumptions'!$H$12+$H11+IF($M11="Straight-line",$N11,0),0)+IF(AND($M11="Upfront",$C11&gt;=V$4,$C11&lt;=V$5),$K11,0)+IF(AND($C11&gt;0,$C11&gt;=V$4,$C11&lt;=V$5),$I11+$J11,0)</s:f>
        <s:v>0</s:v>
      </s:c>
      <s:c r="W11" s="16">
        <s:f>IF(AND($C11&gt;0,$C11&lt;=W$5,$D11&gt;=W$4),$E11*(1+$F11*(W$4&gt;=$G11))*'Key Assumptions'!$H$12+$H11+IF($M11="Straight-line",$N11,0),0)+IF(AND($M11="Upfront",$C11&gt;=W$4,$C11&lt;=W$5),$K11,0)+IF(AND($C11&gt;0,$C11&gt;=W$4,$C11&lt;=W$5),$I11+$J11,0)</s:f>
        <s:v>0</s:v>
      </s:c>
      <s:c r="X11" s="16">
        <s:f>IF(AND($C11&gt;0,$C11&lt;=X$5,$D11&gt;=X$4),$E11*(1+$F11*(X$4&gt;=$G11))*'Key Assumptions'!$H$12+$H11+IF($M11="Straight-line",$N11,0),0)+IF(AND($M11="Upfront",$C11&gt;=X$4,$C11&lt;=X$5),$K11,0)+IF(AND($C11&gt;0,$C11&gt;=X$4,$C11&lt;=X$5),$I11+$J11,0)</s:f>
        <s:v>0</s:v>
      </s:c>
      <s:c r="Y11" s="16">
        <s:f>IF(AND($C11&gt;0,$C11&lt;=Y$5,$D11&gt;=Y$4),$E11*(1+$F11*(Y$4&gt;=$G11))*'Key Assumptions'!$H$12+$H11+IF($M11="Straight-line",$N11,0),0)+IF(AND($M11="Upfront",$C11&gt;=Y$4,$C11&lt;=Y$5),$K11,0)+IF(AND($C11&gt;0,$C11&gt;=Y$4,$C11&lt;=Y$5),$I11+$J11,0)</s:f>
        <s:v>0</s:v>
      </s:c>
      <s:c r="Z11" s="16">
        <s:f>IF(AND($C11&gt;0,$C11&lt;=Z$5,$D11&gt;=Z$4),$E11*(1+$F11*(Z$4&gt;=$G11))*'Key Assumptions'!$H$12+$H11+IF($M11="Straight-line",$N11,0),0)+IF(AND($M11="Upfront",$C11&gt;=Z$4,$C11&lt;=Z$5),$K11,0)+IF(AND($C11&gt;0,$C11&gt;=Z$4,$C11&lt;=Z$5),$I11+$J11,0)</s:f>
        <s:v>0</s:v>
      </s:c>
      <s:c r="AA11" s="16">
        <s:f>IF(AND($C11&gt;0,$C11&lt;=AA$5,$D11&gt;=AA$4),$E11*(1+$F11*(AA$4&gt;=$G11))*'Key Assumptions'!$H$12+$H11+IF($M11="Straight-line",$N11,0),0)+IF(AND($M11="Upfront",$C11&gt;=AA$4,$C11&lt;=AA$5),$K11,0)+IF(AND($C11&gt;0,$C11&gt;=AA$4,$C11&lt;=AA$5),$I11+$J11,0)</s:f>
        <s:v>0</s:v>
      </s:c>
      <s:c r="AB11" s="16">
        <s:f>IF(AND($C11&gt;0,$C11&lt;=AB$5,$D11&gt;=AB$4),$E11*(1+$F11*(AB$4&gt;=$G11))*'Key Assumptions'!$H$12+$H11+IF($M11="Straight-line",$N11,0),0)+IF(AND($M11="Upfront",$C11&gt;=AB$4,$C11&lt;=AB$5),$K11,0)+IF(AND($C11&gt;0,$C11&gt;=AB$4,$C11&lt;=AB$5),$I11+$J11,0)</s:f>
        <s:v>0</s:v>
      </s:c>
      <s:c r="AC11" s="71">
        <s:f>SUM(Q11:AB11)</s:f>
        <s:v>0</s:v>
      </s:c>
      <s:c r="AD11" s="83">
        <s:f>IF($D11&gt;0,$E11*MAX(0,(YEAR($D11)-2027)*12+(MONTH($D11)-12)),0)</s:f>
        <s:v>0</s:v>
      </s:c>
      <s:c r="AE11" s="84">
        <s:f>IF('Key Assumptions'!B69="","",IF($D11&lt;DATE(2027,12,31),"EXPIRED",IF($D11-DATE(2027,12,31)&lt;=90,"RED &lt;90d",IF($D11-DATE(2027,12,31)&lt;=180,"YELLOW &lt;180d","GREEN"))))</s:f>
      </s:c>
    </s:row>
    <s:row r="12">
      <s:c r="A12" s="78">
        <s:f>'Key Assumptions'!A70</s:f>
        <s:v>5</s:v>
      </s:c>
      <s:c r="B12" s="26">
        <s:f>'Key Assumptions'!B70</s:f>
        <s:v>0</s:v>
      </s:c>
      <s:c r="C12" s="79">
        <s:f>IF('Key Assumptions'!H70="",0,EDATE('Key Assumptions'!H70,'Key Assumptions'!$I$12))</s:f>
        <s:v>0</s:v>
      </s:c>
      <s:c r="D12" s="79">
        <s:f>IF('Key Assumptions'!I70="",0,'Key Assumptions'!I70)</s:f>
        <s:v>0</s:v>
      </s:c>
      <s:c r="E12" s="16">
        <s:f>N('Key Assumptions'!J70)</s:f>
        <s:v>0</s:v>
      </s:c>
      <s:c r="F12" s="80">
        <s:f>N('Key Assumptions'!K70)</s:f>
        <s:v>0</s:v>
      </s:c>
      <s:c r="G12" s="79">
        <s:f>IF('Key Assumptions'!L70="",0,'Key Assumptions'!L70)</s:f>
        <s:v>0</s:v>
      </s:c>
      <s:c r="H12" s="16">
        <s:f>IF('Key Assumptions'!R70="",IF(E12&gt;0,E12*'Key Assumptions'!$B$61,0),'Key Assumptions'!R70)</s:f>
        <s:v>0</s:v>
      </s:c>
      <s:c r="I12" s="16">
        <s:f>N('Key Assumptions'!M70)</s:f>
        <s:v>0</s:v>
      </s:c>
      <s:c r="J12" s="16">
        <s:f>N('Key Assumptions'!N70)</s:f>
        <s:v>0</s:v>
      </s:c>
      <s:c r="K12" s="16">
        <s:f>N('Key Assumptions'!O70)</s:f>
        <s:v>0</s:v>
      </s:c>
      <s:c r="L12" s="81">
        <s:f>N('Key Assumptions'!P70)</s:f>
        <s:v>0</s:v>
      </s:c>
      <s:c r="M12" s="82" t="str">
        <s:f>IF('Key Assumptions'!Q70="",'Key Assumptions'!$B$60,'Key Assumptions'!Q70)</s:f>
        <s:v>Straight-line</s:v>
      </s:c>
      <s:c r="N12" s="16">
        <s:f>IF($M12="Straight-line",IFERROR($K12/($L12*12),0),0)</s:f>
        <s:v>0</s:v>
      </s:c>
      <s:c r="Q12" s="16">
        <s:f>IF(AND($C12&gt;0,$C12&lt;=Q$5,$D12&gt;=Q$4),$E12*(1+$F12*(Q$4&gt;=$G12))*'Key Assumptions'!$H$12+$H12+IF($M12="Straight-line",$N12,0),0)+IF(AND($M12="Upfront",$C12&gt;=Q$4,$C12&lt;=Q$5),$K12,0)+IF(AND($C12&gt;0,$C12&gt;=Q$4,$C12&lt;=Q$5),$I12+$J12,0)</s:f>
        <s:v>0</s:v>
      </s:c>
      <s:c r="R12" s="16">
        <s:f>IF(AND($C12&gt;0,$C12&lt;=R$5,$D12&gt;=R$4),$E12*(1+$F12*(R$4&gt;=$G12))*'Key Assumptions'!$H$12+$H12+IF($M12="Straight-line",$N12,0),0)+IF(AND($M12="Upfront",$C12&gt;=R$4,$C12&lt;=R$5),$K12,0)+IF(AND($C12&gt;0,$C12&gt;=R$4,$C12&lt;=R$5),$I12+$J12,0)</s:f>
        <s:v>0</s:v>
      </s:c>
      <s:c r="S12" s="16">
        <s:f>IF(AND($C12&gt;0,$C12&lt;=S$5,$D12&gt;=S$4),$E12*(1+$F12*(S$4&gt;=$G12))*'Key Assumptions'!$H$12+$H12+IF($M12="Straight-line",$N12,0),0)+IF(AND($M12="Upfront",$C12&gt;=S$4,$C12&lt;=S$5),$K12,0)+IF(AND($C12&gt;0,$C12&gt;=S$4,$C12&lt;=S$5),$I12+$J12,0)</s:f>
        <s:v>0</s:v>
      </s:c>
      <s:c r="T12" s="16">
        <s:f>IF(AND($C12&gt;0,$C12&lt;=T$5,$D12&gt;=T$4),$E12*(1+$F12*(T$4&gt;=$G12))*'Key Assumptions'!$H$12+$H12+IF($M12="Straight-line",$N12,0),0)+IF(AND($M12="Upfront",$C12&gt;=T$4,$C12&lt;=T$5),$K12,0)+IF(AND($C12&gt;0,$C12&gt;=T$4,$C12&lt;=T$5),$I12+$J12,0)</s:f>
        <s:v>0</s:v>
      </s:c>
      <s:c r="U12" s="16">
        <s:f>IF(AND($C12&gt;0,$C12&lt;=U$5,$D12&gt;=U$4),$E12*(1+$F12*(U$4&gt;=$G12))*'Key Assumptions'!$H$12+$H12+IF($M12="Straight-line",$N12,0),0)+IF(AND($M12="Upfront",$C12&gt;=U$4,$C12&lt;=U$5),$K12,0)+IF(AND($C12&gt;0,$C12&gt;=U$4,$C12&lt;=U$5),$I12+$J12,0)</s:f>
        <s:v>0</s:v>
      </s:c>
      <s:c r="V12" s="16">
        <s:f>IF(AND($C12&gt;0,$C12&lt;=V$5,$D12&gt;=V$4),$E12*(1+$F12*(V$4&gt;=$G12))*'Key Assumptions'!$H$12+$H12+IF($M12="Straight-line",$N12,0),0)+IF(AND($M12="Upfront",$C12&gt;=V$4,$C12&lt;=V$5),$K12,0)+IF(AND($C12&gt;0,$C12&gt;=V$4,$C12&lt;=V$5),$I12+$J12,0)</s:f>
        <s:v>0</s:v>
      </s:c>
      <s:c r="W12" s="16">
        <s:f>IF(AND($C12&gt;0,$C12&lt;=W$5,$D12&gt;=W$4),$E12*(1+$F12*(W$4&gt;=$G12))*'Key Assumptions'!$H$12+$H12+IF($M12="Straight-line",$N12,0),0)+IF(AND($M12="Upfront",$C12&gt;=W$4,$C12&lt;=W$5),$K12,0)+IF(AND($C12&gt;0,$C12&gt;=W$4,$C12&lt;=W$5),$I12+$J12,0)</s:f>
        <s:v>0</s:v>
      </s:c>
      <s:c r="X12" s="16">
        <s:f>IF(AND($C12&gt;0,$C12&lt;=X$5,$D12&gt;=X$4),$E12*(1+$F12*(X$4&gt;=$G12))*'Key Assumptions'!$H$12+$H12+IF($M12="Straight-line",$N12,0),0)+IF(AND($M12="Upfront",$C12&gt;=X$4,$C12&lt;=X$5),$K12,0)+IF(AND($C12&gt;0,$C12&gt;=X$4,$C12&lt;=X$5),$I12+$J12,0)</s:f>
        <s:v>0</s:v>
      </s:c>
      <s:c r="Y12" s="16">
        <s:f>IF(AND($C12&gt;0,$C12&lt;=Y$5,$D12&gt;=Y$4),$E12*(1+$F12*(Y$4&gt;=$G12))*'Key Assumptions'!$H$12+$H12+IF($M12="Straight-line",$N12,0),0)+IF(AND($M12="Upfront",$C12&gt;=Y$4,$C12&lt;=Y$5),$K12,0)+IF(AND($C12&gt;0,$C12&gt;=Y$4,$C12&lt;=Y$5),$I12+$J12,0)</s:f>
        <s:v>0</s:v>
      </s:c>
      <s:c r="Z12" s="16">
        <s:f>IF(AND($C12&gt;0,$C12&lt;=Z$5,$D12&gt;=Z$4),$E12*(1+$F12*(Z$4&gt;=$G12))*'Key Assumptions'!$H$12+$H12+IF($M12="Straight-line",$N12,0),0)+IF(AND($M12="Upfront",$C12&gt;=Z$4,$C12&lt;=Z$5),$K12,0)+IF(AND($C12&gt;0,$C12&gt;=Z$4,$C12&lt;=Z$5),$I12+$J12,0)</s:f>
        <s:v>0</s:v>
      </s:c>
      <s:c r="AA12" s="16">
        <s:f>IF(AND($C12&gt;0,$C12&lt;=AA$5,$D12&gt;=AA$4),$E12*(1+$F12*(AA$4&gt;=$G12))*'Key Assumptions'!$H$12+$H12+IF($M12="Straight-line",$N12,0),0)+IF(AND($M12="Upfront",$C12&gt;=AA$4,$C12&lt;=AA$5),$K12,0)+IF(AND($C12&gt;0,$C12&gt;=AA$4,$C12&lt;=AA$5),$I12+$J12,0)</s:f>
        <s:v>0</s:v>
      </s:c>
      <s:c r="AB12" s="16">
        <s:f>IF(AND($C12&gt;0,$C12&lt;=AB$5,$D12&gt;=AB$4),$E12*(1+$F12*(AB$4&gt;=$G12))*'Key Assumptions'!$H$12+$H12+IF($M12="Straight-line",$N12,0),0)+IF(AND($M12="Upfront",$C12&gt;=AB$4,$C12&lt;=AB$5),$K12,0)+IF(AND($C12&gt;0,$C12&gt;=AB$4,$C12&lt;=AB$5),$I12+$J12,0)</s:f>
        <s:v>0</s:v>
      </s:c>
      <s:c r="AC12" s="71">
        <s:f>SUM(Q12:AB12)</s:f>
        <s:v>0</s:v>
      </s:c>
      <s:c r="AD12" s="83">
        <s:f>IF($D12&gt;0,$E12*MAX(0,(YEAR($D12)-2027)*12+(MONTH($D12)-12)),0)</s:f>
        <s:v>0</s:v>
      </s:c>
      <s:c r="AE12" s="84">
        <s:f>IF('Key Assumptions'!B70="","",IF($D12&lt;DATE(2027,12,31),"EXPIRED",IF($D12-DATE(2027,12,31)&lt;=90,"RED &lt;90d",IF($D12-DATE(2027,12,31)&lt;=180,"YELLOW &lt;180d","GREEN"))))</s:f>
      </s:c>
    </s:row>
    <s:row r="13">
      <s:c r="A13" s="78">
        <s:f>'Key Assumptions'!A71</s:f>
        <s:v>6</s:v>
      </s:c>
      <s:c r="B13" s="26">
        <s:f>'Key Assumptions'!B71</s:f>
        <s:v>0</s:v>
      </s:c>
      <s:c r="C13" s="79">
        <s:f>IF('Key Assumptions'!H71="",0,EDATE('Key Assumptions'!H71,'Key Assumptions'!$I$12))</s:f>
        <s:v>0</s:v>
      </s:c>
      <s:c r="D13" s="79">
        <s:f>IF('Key Assumptions'!I71="",0,'Key Assumptions'!I71)</s:f>
        <s:v>0</s:v>
      </s:c>
      <s:c r="E13" s="16">
        <s:f>N('Key Assumptions'!J71)</s:f>
        <s:v>0</s:v>
      </s:c>
      <s:c r="F13" s="80">
        <s:f>N('Key Assumptions'!K71)</s:f>
        <s:v>0</s:v>
      </s:c>
      <s:c r="G13" s="79">
        <s:f>IF('Key Assumptions'!L71="",0,'Key Assumptions'!L71)</s:f>
        <s:v>0</s:v>
      </s:c>
      <s:c r="H13" s="16">
        <s:f>IF('Key Assumptions'!R71="",IF(E13&gt;0,E13*'Key Assumptions'!$B$61,0),'Key Assumptions'!R71)</s:f>
        <s:v>0</s:v>
      </s:c>
      <s:c r="I13" s="16">
        <s:f>N('Key Assumptions'!M71)</s:f>
        <s:v>0</s:v>
      </s:c>
      <s:c r="J13" s="16">
        <s:f>N('Key Assumptions'!N71)</s:f>
        <s:v>0</s:v>
      </s:c>
      <s:c r="K13" s="16">
        <s:f>N('Key Assumptions'!O71)</s:f>
        <s:v>0</s:v>
      </s:c>
      <s:c r="L13" s="81">
        <s:f>N('Key Assumptions'!P71)</s:f>
        <s:v>0</s:v>
      </s:c>
      <s:c r="M13" s="82" t="str">
        <s:f>IF('Key Assumptions'!Q71="",'Key Assumptions'!$B$60,'Key Assumptions'!Q71)</s:f>
        <s:v>Straight-line</s:v>
      </s:c>
      <s:c r="N13" s="16">
        <s:f>IF($M13="Straight-line",IFERROR($K13/($L13*12),0),0)</s:f>
        <s:v>0</s:v>
      </s:c>
      <s:c r="Q13" s="16">
        <s:f>IF(AND($C13&gt;0,$C13&lt;=Q$5,$D13&gt;=Q$4),$E13*(1+$F13*(Q$4&gt;=$G13))*'Key Assumptions'!$H$12+$H13+IF($M13="Straight-line",$N13,0),0)+IF(AND($M13="Upfront",$C13&gt;=Q$4,$C13&lt;=Q$5),$K13,0)+IF(AND($C13&gt;0,$C13&gt;=Q$4,$C13&lt;=Q$5),$I13+$J13,0)</s:f>
        <s:v>0</s:v>
      </s:c>
      <s:c r="R13" s="16">
        <s:f>IF(AND($C13&gt;0,$C13&lt;=R$5,$D13&gt;=R$4),$E13*(1+$F13*(R$4&gt;=$G13))*'Key Assumptions'!$H$12+$H13+IF($M13="Straight-line",$N13,0),0)+IF(AND($M13="Upfront",$C13&gt;=R$4,$C13&lt;=R$5),$K13,0)+IF(AND($C13&gt;0,$C13&gt;=R$4,$C13&lt;=R$5),$I13+$J13,0)</s:f>
        <s:v>0</s:v>
      </s:c>
      <s:c r="S13" s="16">
        <s:f>IF(AND($C13&gt;0,$C13&lt;=S$5,$D13&gt;=S$4),$E13*(1+$F13*(S$4&gt;=$G13))*'Key Assumptions'!$H$12+$H13+IF($M13="Straight-line",$N13,0),0)+IF(AND($M13="Upfront",$C13&gt;=S$4,$C13&lt;=S$5),$K13,0)+IF(AND($C13&gt;0,$C13&gt;=S$4,$C13&lt;=S$5),$I13+$J13,0)</s:f>
        <s:v>0</s:v>
      </s:c>
      <s:c r="T13" s="16">
        <s:f>IF(AND($C13&gt;0,$C13&lt;=T$5,$D13&gt;=T$4),$E13*(1+$F13*(T$4&gt;=$G13))*'Key Assumptions'!$H$12+$H13+IF($M13="Straight-line",$N13,0),0)+IF(AND($M13="Upfront",$C13&gt;=T$4,$C13&lt;=T$5),$K13,0)+IF(AND($C13&gt;0,$C13&gt;=T$4,$C13&lt;=T$5),$I13+$J13,0)</s:f>
        <s:v>0</s:v>
      </s:c>
      <s:c r="U13" s="16">
        <s:f>IF(AND($C13&gt;0,$C13&lt;=U$5,$D13&gt;=U$4),$E13*(1+$F13*(U$4&gt;=$G13))*'Key Assumptions'!$H$12+$H13+IF($M13="Straight-line",$N13,0),0)+IF(AND($M13="Upfront",$C13&gt;=U$4,$C13&lt;=U$5),$K13,0)+IF(AND($C13&gt;0,$C13&gt;=U$4,$C13&lt;=U$5),$I13+$J13,0)</s:f>
        <s:v>0</s:v>
      </s:c>
      <s:c r="V13" s="16">
        <s:f>IF(AND($C13&gt;0,$C13&lt;=V$5,$D13&gt;=V$4),$E13*(1+$F13*(V$4&gt;=$G13))*'Key Assumptions'!$H$12+$H13+IF($M13="Straight-line",$N13,0),0)+IF(AND($M13="Upfront",$C13&gt;=V$4,$C13&lt;=V$5),$K13,0)+IF(AND($C13&gt;0,$C13&gt;=V$4,$C13&lt;=V$5),$I13+$J13,0)</s:f>
        <s:v>0</s:v>
      </s:c>
      <s:c r="W13" s="16">
        <s:f>IF(AND($C13&gt;0,$C13&lt;=W$5,$D13&gt;=W$4),$E13*(1+$F13*(W$4&gt;=$G13))*'Key Assumptions'!$H$12+$H13+IF($M13="Straight-line",$N13,0),0)+IF(AND($M13="Upfront",$C13&gt;=W$4,$C13&lt;=W$5),$K13,0)+IF(AND($C13&gt;0,$C13&gt;=W$4,$C13&lt;=W$5),$I13+$J13,0)</s:f>
        <s:v>0</s:v>
      </s:c>
      <s:c r="X13" s="16">
        <s:f>IF(AND($C13&gt;0,$C13&lt;=X$5,$D13&gt;=X$4),$E13*(1+$F13*(X$4&gt;=$G13))*'Key Assumptions'!$H$12+$H13+IF($M13="Straight-line",$N13,0),0)+IF(AND($M13="Upfront",$C13&gt;=X$4,$C13&lt;=X$5),$K13,0)+IF(AND($C13&gt;0,$C13&gt;=X$4,$C13&lt;=X$5),$I13+$J13,0)</s:f>
        <s:v>0</s:v>
      </s:c>
      <s:c r="Y13" s="16">
        <s:f>IF(AND($C13&gt;0,$C13&lt;=Y$5,$D13&gt;=Y$4),$E13*(1+$F13*(Y$4&gt;=$G13))*'Key Assumptions'!$H$12+$H13+IF($M13="Straight-line",$N13,0),0)+IF(AND($M13="Upfront",$C13&gt;=Y$4,$C13&lt;=Y$5),$K13,0)+IF(AND($C13&gt;0,$C13&gt;=Y$4,$C13&lt;=Y$5),$I13+$J13,0)</s:f>
        <s:v>0</s:v>
      </s:c>
      <s:c r="Z13" s="16">
        <s:f>IF(AND($C13&gt;0,$C13&lt;=Z$5,$D13&gt;=Z$4),$E13*(1+$F13*(Z$4&gt;=$G13))*'Key Assumptions'!$H$12+$H13+IF($M13="Straight-line",$N13,0),0)+IF(AND($M13="Upfront",$C13&gt;=Z$4,$C13&lt;=Z$5),$K13,0)+IF(AND($C13&gt;0,$C13&gt;=Z$4,$C13&lt;=Z$5),$I13+$J13,0)</s:f>
        <s:v>0</s:v>
      </s:c>
      <s:c r="AA13" s="16">
        <s:f>IF(AND($C13&gt;0,$C13&lt;=AA$5,$D13&gt;=AA$4),$E13*(1+$F13*(AA$4&gt;=$G13))*'Key Assumptions'!$H$12+$H13+IF($M13="Straight-line",$N13,0),0)+IF(AND($M13="Upfront",$C13&gt;=AA$4,$C13&lt;=AA$5),$K13,0)+IF(AND($C13&gt;0,$C13&gt;=AA$4,$C13&lt;=AA$5),$I13+$J13,0)</s:f>
        <s:v>0</s:v>
      </s:c>
      <s:c r="AB13" s="16">
        <s:f>IF(AND($C13&gt;0,$C13&lt;=AB$5,$D13&gt;=AB$4),$E13*(1+$F13*(AB$4&gt;=$G13))*'Key Assumptions'!$H$12+$H13+IF($M13="Straight-line",$N13,0),0)+IF(AND($M13="Upfront",$C13&gt;=AB$4,$C13&lt;=AB$5),$K13,0)+IF(AND($C13&gt;0,$C13&gt;=AB$4,$C13&lt;=AB$5),$I13+$J13,0)</s:f>
        <s:v>0</s:v>
      </s:c>
      <s:c r="AC13" s="71">
        <s:f>SUM(Q13:AB13)</s:f>
        <s:v>0</s:v>
      </s:c>
      <s:c r="AD13" s="83">
        <s:f>IF($D13&gt;0,$E13*MAX(0,(YEAR($D13)-2027)*12+(MONTH($D13)-12)),0)</s:f>
        <s:v>0</s:v>
      </s:c>
      <s:c r="AE13" s="84">
        <s:f>IF('Key Assumptions'!B71="","",IF($D13&lt;DATE(2027,12,31),"EXPIRED",IF($D13-DATE(2027,12,31)&lt;=90,"RED &lt;90d",IF($D13-DATE(2027,12,31)&lt;=180,"YELLOW &lt;180d","GREEN"))))</s:f>
      </s:c>
    </s:row>
    <s:row r="14">
      <s:c r="A14" s="78">
        <s:f>'Key Assumptions'!A72</s:f>
        <s:v>7</s:v>
      </s:c>
      <s:c r="B14" s="26">
        <s:f>'Key Assumptions'!B72</s:f>
        <s:v>0</s:v>
      </s:c>
      <s:c r="C14" s="79">
        <s:f>IF('Key Assumptions'!H72="",0,EDATE('Key Assumptions'!H72,'Key Assumptions'!$I$12))</s:f>
        <s:v>0</s:v>
      </s:c>
      <s:c r="D14" s="79">
        <s:f>IF('Key Assumptions'!I72="",0,'Key Assumptions'!I72)</s:f>
        <s:v>0</s:v>
      </s:c>
      <s:c r="E14" s="16">
        <s:f>N('Key Assumptions'!J72)</s:f>
        <s:v>0</s:v>
      </s:c>
      <s:c r="F14" s="80">
        <s:f>N('Key Assumptions'!K72)</s:f>
        <s:v>0</s:v>
      </s:c>
      <s:c r="G14" s="79">
        <s:f>IF('Key Assumptions'!L72="",0,'Key Assumptions'!L72)</s:f>
        <s:v>0</s:v>
      </s:c>
      <s:c r="H14" s="16">
        <s:f>IF('Key Assumptions'!R72="",IF(E14&gt;0,E14*'Key Assumptions'!$B$61,0),'Key Assumptions'!R72)</s:f>
        <s:v>0</s:v>
      </s:c>
      <s:c r="I14" s="16">
        <s:f>N('Key Assumptions'!M72)</s:f>
        <s:v>0</s:v>
      </s:c>
      <s:c r="J14" s="16">
        <s:f>N('Key Assumptions'!N72)</s:f>
        <s:v>0</s:v>
      </s:c>
      <s:c r="K14" s="16">
        <s:f>N('Key Assumptions'!O72)</s:f>
        <s:v>0</s:v>
      </s:c>
      <s:c r="L14" s="81">
        <s:f>N('Key Assumptions'!P72)</s:f>
        <s:v>0</s:v>
      </s:c>
      <s:c r="M14" s="82" t="str">
        <s:f>IF('Key Assumptions'!Q72="",'Key Assumptions'!$B$60,'Key Assumptions'!Q72)</s:f>
        <s:v>Straight-line</s:v>
      </s:c>
      <s:c r="N14" s="16">
        <s:f>IF($M14="Straight-line",IFERROR($K14/($L14*12),0),0)</s:f>
        <s:v>0</s:v>
      </s:c>
      <s:c r="Q14" s="16">
        <s:f>IF(AND($C14&gt;0,$C14&lt;=Q$5,$D14&gt;=Q$4),$E14*(1+$F14*(Q$4&gt;=$G14))*'Key Assumptions'!$H$12+$H14+IF($M14="Straight-line",$N14,0),0)+IF(AND($M14="Upfront",$C14&gt;=Q$4,$C14&lt;=Q$5),$K14,0)+IF(AND($C14&gt;0,$C14&gt;=Q$4,$C14&lt;=Q$5),$I14+$J14,0)</s:f>
        <s:v>0</s:v>
      </s:c>
      <s:c r="R14" s="16">
        <s:f>IF(AND($C14&gt;0,$C14&lt;=R$5,$D14&gt;=R$4),$E14*(1+$F14*(R$4&gt;=$G14))*'Key Assumptions'!$H$12+$H14+IF($M14="Straight-line",$N14,0),0)+IF(AND($M14="Upfront",$C14&gt;=R$4,$C14&lt;=R$5),$K14,0)+IF(AND($C14&gt;0,$C14&gt;=R$4,$C14&lt;=R$5),$I14+$J14,0)</s:f>
        <s:v>0</s:v>
      </s:c>
      <s:c r="S14" s="16">
        <s:f>IF(AND($C14&gt;0,$C14&lt;=S$5,$D14&gt;=S$4),$E14*(1+$F14*(S$4&gt;=$G14))*'Key Assumptions'!$H$12+$H14+IF($M14="Straight-line",$N14,0),0)+IF(AND($M14="Upfront",$C14&gt;=S$4,$C14&lt;=S$5),$K14,0)+IF(AND($C14&gt;0,$C14&gt;=S$4,$C14&lt;=S$5),$I14+$J14,0)</s:f>
        <s:v>0</s:v>
      </s:c>
      <s:c r="T14" s="16">
        <s:f>IF(AND($C14&gt;0,$C14&lt;=T$5,$D14&gt;=T$4),$E14*(1+$F14*(T$4&gt;=$G14))*'Key Assumptions'!$H$12+$H14+IF($M14="Straight-line",$N14,0),0)+IF(AND($M14="Upfront",$C14&gt;=T$4,$C14&lt;=T$5),$K14,0)+IF(AND($C14&gt;0,$C14&gt;=T$4,$C14&lt;=T$5),$I14+$J14,0)</s:f>
        <s:v>0</s:v>
      </s:c>
      <s:c r="U14" s="16">
        <s:f>IF(AND($C14&gt;0,$C14&lt;=U$5,$D14&gt;=U$4),$E14*(1+$F14*(U$4&gt;=$G14))*'Key Assumptions'!$H$12+$H14+IF($M14="Straight-line",$N14,0),0)+IF(AND($M14="Upfront",$C14&gt;=U$4,$C14&lt;=U$5),$K14,0)+IF(AND($C14&gt;0,$C14&gt;=U$4,$C14&lt;=U$5),$I14+$J14,0)</s:f>
        <s:v>0</s:v>
      </s:c>
      <s:c r="V14" s="16">
        <s:f>IF(AND($C14&gt;0,$C14&lt;=V$5,$D14&gt;=V$4),$E14*(1+$F14*(V$4&gt;=$G14))*'Key Assumptions'!$H$12+$H14+IF($M14="Straight-line",$N14,0),0)+IF(AND($M14="Upfront",$C14&gt;=V$4,$C14&lt;=V$5),$K14,0)+IF(AND($C14&gt;0,$C14&gt;=V$4,$C14&lt;=V$5),$I14+$J14,0)</s:f>
        <s:v>0</s:v>
      </s:c>
      <s:c r="W14" s="16">
        <s:f>IF(AND($C14&gt;0,$C14&lt;=W$5,$D14&gt;=W$4),$E14*(1+$F14*(W$4&gt;=$G14))*'Key Assumptions'!$H$12+$H14+IF($M14="Straight-line",$N14,0),0)+IF(AND($M14="Upfront",$C14&gt;=W$4,$C14&lt;=W$5),$K14,0)+IF(AND($C14&gt;0,$C14&gt;=W$4,$C14&lt;=W$5),$I14+$J14,0)</s:f>
        <s:v>0</s:v>
      </s:c>
      <s:c r="X14" s="16">
        <s:f>IF(AND($C14&gt;0,$C14&lt;=X$5,$D14&gt;=X$4),$E14*(1+$F14*(X$4&gt;=$G14))*'Key Assumptions'!$H$12+$H14+IF($M14="Straight-line",$N14,0),0)+IF(AND($M14="Upfront",$C14&gt;=X$4,$C14&lt;=X$5),$K14,0)+IF(AND($C14&gt;0,$C14&gt;=X$4,$C14&lt;=X$5),$I14+$J14,0)</s:f>
        <s:v>0</s:v>
      </s:c>
      <s:c r="Y14" s="16">
        <s:f>IF(AND($C14&gt;0,$C14&lt;=Y$5,$D14&gt;=Y$4),$E14*(1+$F14*(Y$4&gt;=$G14))*'Key Assumptions'!$H$12+$H14+IF($M14="Straight-line",$N14,0),0)+IF(AND($M14="Upfront",$C14&gt;=Y$4,$C14&lt;=Y$5),$K14,0)+IF(AND($C14&gt;0,$C14&gt;=Y$4,$C14&lt;=Y$5),$I14+$J14,0)</s:f>
        <s:v>0</s:v>
      </s:c>
      <s:c r="Z14" s="16">
        <s:f>IF(AND($C14&gt;0,$C14&lt;=Z$5,$D14&gt;=Z$4),$E14*(1+$F14*(Z$4&gt;=$G14))*'Key Assumptions'!$H$12+$H14+IF($M14="Straight-line",$N14,0),0)+IF(AND($M14="Upfront",$C14&gt;=Z$4,$C14&lt;=Z$5),$K14,0)+IF(AND($C14&gt;0,$C14&gt;=Z$4,$C14&lt;=Z$5),$I14+$J14,0)</s:f>
        <s:v>0</s:v>
      </s:c>
      <s:c r="AA14" s="16">
        <s:f>IF(AND($C14&gt;0,$C14&lt;=AA$5,$D14&gt;=AA$4),$E14*(1+$F14*(AA$4&gt;=$G14))*'Key Assumptions'!$H$12+$H14+IF($M14="Straight-line",$N14,0),0)+IF(AND($M14="Upfront",$C14&gt;=AA$4,$C14&lt;=AA$5),$K14,0)+IF(AND($C14&gt;0,$C14&gt;=AA$4,$C14&lt;=AA$5),$I14+$J14,0)</s:f>
        <s:v>0</s:v>
      </s:c>
      <s:c r="AB14" s="16">
        <s:f>IF(AND($C14&gt;0,$C14&lt;=AB$5,$D14&gt;=AB$4),$E14*(1+$F14*(AB$4&gt;=$G14))*'Key Assumptions'!$H$12+$H14+IF($M14="Straight-line",$N14,0),0)+IF(AND($M14="Upfront",$C14&gt;=AB$4,$C14&lt;=AB$5),$K14,0)+IF(AND($C14&gt;0,$C14&gt;=AB$4,$C14&lt;=AB$5),$I14+$J14,0)</s:f>
        <s:v>0</s:v>
      </s:c>
      <s:c r="AC14" s="71">
        <s:f>SUM(Q14:AB14)</s:f>
        <s:v>0</s:v>
      </s:c>
      <s:c r="AD14" s="83">
        <s:f>IF($D14&gt;0,$E14*MAX(0,(YEAR($D14)-2027)*12+(MONTH($D14)-12)),0)</s:f>
        <s:v>0</s:v>
      </s:c>
      <s:c r="AE14" s="84">
        <s:f>IF('Key Assumptions'!B72="","",IF($D14&lt;DATE(2027,12,31),"EXPIRED",IF($D14-DATE(2027,12,31)&lt;=90,"RED &lt;90d",IF($D14-DATE(2027,12,31)&lt;=180,"YELLOW &lt;180d","GREEN"))))</s:f>
      </s:c>
    </s:row>
    <s:row r="15">
      <s:c r="A15" s="78">
        <s:f>'Key Assumptions'!A73</s:f>
        <s:v>8</s:v>
      </s:c>
      <s:c r="B15" s="26">
        <s:f>'Key Assumptions'!B73</s:f>
        <s:v>0</s:v>
      </s:c>
      <s:c r="C15" s="79">
        <s:f>IF('Key Assumptions'!H73="",0,EDATE('Key Assumptions'!H73,'Key Assumptions'!$I$12))</s:f>
        <s:v>0</s:v>
      </s:c>
      <s:c r="D15" s="79">
        <s:f>IF('Key Assumptions'!I73="",0,'Key Assumptions'!I73)</s:f>
        <s:v>0</s:v>
      </s:c>
      <s:c r="E15" s="16">
        <s:f>N('Key Assumptions'!J73)</s:f>
        <s:v>0</s:v>
      </s:c>
      <s:c r="F15" s="80">
        <s:f>N('Key Assumptions'!K73)</s:f>
        <s:v>0</s:v>
      </s:c>
      <s:c r="G15" s="79">
        <s:f>IF('Key Assumptions'!L73="",0,'Key Assumptions'!L73)</s:f>
        <s:v>0</s:v>
      </s:c>
      <s:c r="H15" s="16">
        <s:f>IF('Key Assumptions'!R73="",IF(E15&gt;0,E15*'Key Assumptions'!$B$61,0),'Key Assumptions'!R73)</s:f>
        <s:v>0</s:v>
      </s:c>
      <s:c r="I15" s="16">
        <s:f>N('Key Assumptions'!M73)</s:f>
        <s:v>0</s:v>
      </s:c>
      <s:c r="J15" s="16">
        <s:f>N('Key Assumptions'!N73)</s:f>
        <s:v>0</s:v>
      </s:c>
      <s:c r="K15" s="16">
        <s:f>N('Key Assumptions'!O73)</s:f>
        <s:v>0</s:v>
      </s:c>
      <s:c r="L15" s="81">
        <s:f>N('Key Assumptions'!P73)</s:f>
        <s:v>0</s:v>
      </s:c>
      <s:c r="M15" s="82" t="str">
        <s:f>IF('Key Assumptions'!Q73="",'Key Assumptions'!$B$60,'Key Assumptions'!Q73)</s:f>
        <s:v>Straight-line</s:v>
      </s:c>
      <s:c r="N15" s="16">
        <s:f>IF($M15="Straight-line",IFERROR($K15/($L15*12),0),0)</s:f>
        <s:v>0</s:v>
      </s:c>
      <s:c r="Q15" s="16">
        <s:f>IF(AND($C15&gt;0,$C15&lt;=Q$5,$D15&gt;=Q$4),$E15*(1+$F15*(Q$4&gt;=$G15))*'Key Assumptions'!$H$12+$H15+IF($M15="Straight-line",$N15,0),0)+IF(AND($M15="Upfront",$C15&gt;=Q$4,$C15&lt;=Q$5),$K15,0)+IF(AND($C15&gt;0,$C15&gt;=Q$4,$C15&lt;=Q$5),$I15+$J15,0)</s:f>
        <s:v>0</s:v>
      </s:c>
      <s:c r="R15" s="16">
        <s:f>IF(AND($C15&gt;0,$C15&lt;=R$5,$D15&gt;=R$4),$E15*(1+$F15*(R$4&gt;=$G15))*'Key Assumptions'!$H$12+$H15+IF($M15="Straight-line",$N15,0),0)+IF(AND($M15="Upfront",$C15&gt;=R$4,$C15&lt;=R$5),$K15,0)+IF(AND($C15&gt;0,$C15&gt;=R$4,$C15&lt;=R$5),$I15+$J15,0)</s:f>
        <s:v>0</s:v>
      </s:c>
      <s:c r="S15" s="16">
        <s:f>IF(AND($C15&gt;0,$C15&lt;=S$5,$D15&gt;=S$4),$E15*(1+$F15*(S$4&gt;=$G15))*'Key Assumptions'!$H$12+$H15+IF($M15="Straight-line",$N15,0),0)+IF(AND($M15="Upfront",$C15&gt;=S$4,$C15&lt;=S$5),$K15,0)+IF(AND($C15&gt;0,$C15&gt;=S$4,$C15&lt;=S$5),$I15+$J15,0)</s:f>
        <s:v>0</s:v>
      </s:c>
      <s:c r="T15" s="16">
        <s:f>IF(AND($C15&gt;0,$C15&lt;=T$5,$D15&gt;=T$4),$E15*(1+$F15*(T$4&gt;=$G15))*'Key Assumptions'!$H$12+$H15+IF($M15="Straight-line",$N15,0),0)+IF(AND($M15="Upfront",$C15&gt;=T$4,$C15&lt;=T$5),$K15,0)+IF(AND($C15&gt;0,$C15&gt;=T$4,$C15&lt;=T$5),$I15+$J15,0)</s:f>
        <s:v>0</s:v>
      </s:c>
      <s:c r="U15" s="16">
        <s:f>IF(AND($C15&gt;0,$C15&lt;=U$5,$D15&gt;=U$4),$E15*(1+$F15*(U$4&gt;=$G15))*'Key Assumptions'!$H$12+$H15+IF($M15="Straight-line",$N15,0),0)+IF(AND($M15="Upfront",$C15&gt;=U$4,$C15&lt;=U$5),$K15,0)+IF(AND($C15&gt;0,$C15&gt;=U$4,$C15&lt;=U$5),$I15+$J15,0)</s:f>
        <s:v>0</s:v>
      </s:c>
      <s:c r="V15" s="16">
        <s:f>IF(AND($C15&gt;0,$C15&lt;=V$5,$D15&gt;=V$4),$E15*(1+$F15*(V$4&gt;=$G15))*'Key Assumptions'!$H$12+$H15+IF($M15="Straight-line",$N15,0),0)+IF(AND($M15="Upfront",$C15&gt;=V$4,$C15&lt;=V$5),$K15,0)+IF(AND($C15&gt;0,$C15&gt;=V$4,$C15&lt;=V$5),$I15+$J15,0)</s:f>
        <s:v>0</s:v>
      </s:c>
      <s:c r="W15" s="16">
        <s:f>IF(AND($C15&gt;0,$C15&lt;=W$5,$D15&gt;=W$4),$E15*(1+$F15*(W$4&gt;=$G15))*'Key Assumptions'!$H$12+$H15+IF($M15="Straight-line",$N15,0),0)+IF(AND($M15="Upfront",$C15&gt;=W$4,$C15&lt;=W$5),$K15,0)+IF(AND($C15&gt;0,$C15&gt;=W$4,$C15&lt;=W$5),$I15+$J15,0)</s:f>
        <s:v>0</s:v>
      </s:c>
      <s:c r="X15" s="16">
        <s:f>IF(AND($C15&gt;0,$C15&lt;=X$5,$D15&gt;=X$4),$E15*(1+$F15*(X$4&gt;=$G15))*'Key Assumptions'!$H$12+$H15+IF($M15="Straight-line",$N15,0),0)+IF(AND($M15="Upfront",$C15&gt;=X$4,$C15&lt;=X$5),$K15,0)+IF(AND($C15&gt;0,$C15&gt;=X$4,$C15&lt;=X$5),$I15+$J15,0)</s:f>
        <s:v>0</s:v>
      </s:c>
      <s:c r="Y15" s="16">
        <s:f>IF(AND($C15&gt;0,$C15&lt;=Y$5,$D15&gt;=Y$4),$E15*(1+$F15*(Y$4&gt;=$G15))*'Key Assumptions'!$H$12+$H15+IF($M15="Straight-line",$N15,0),0)+IF(AND($M15="Upfront",$C15&gt;=Y$4,$C15&lt;=Y$5),$K15,0)+IF(AND($C15&gt;0,$C15&gt;=Y$4,$C15&lt;=Y$5),$I15+$J15,0)</s:f>
        <s:v>0</s:v>
      </s:c>
      <s:c r="Z15" s="16">
        <s:f>IF(AND($C15&gt;0,$C15&lt;=Z$5,$D15&gt;=Z$4),$E15*(1+$F15*(Z$4&gt;=$G15))*'Key Assumptions'!$H$12+$H15+IF($M15="Straight-line",$N15,0),0)+IF(AND($M15="Upfront",$C15&gt;=Z$4,$C15&lt;=Z$5),$K15,0)+IF(AND($C15&gt;0,$C15&gt;=Z$4,$C15&lt;=Z$5),$I15+$J15,0)</s:f>
        <s:v>0</s:v>
      </s:c>
      <s:c r="AA15" s="16">
        <s:f>IF(AND($C15&gt;0,$C15&lt;=AA$5,$D15&gt;=AA$4),$E15*(1+$F15*(AA$4&gt;=$G15))*'Key Assumptions'!$H$12+$H15+IF($M15="Straight-line",$N15,0),0)+IF(AND($M15="Upfront",$C15&gt;=AA$4,$C15&lt;=AA$5),$K15,0)+IF(AND($C15&gt;0,$C15&gt;=AA$4,$C15&lt;=AA$5),$I15+$J15,0)</s:f>
        <s:v>0</s:v>
      </s:c>
      <s:c r="AB15" s="16">
        <s:f>IF(AND($C15&gt;0,$C15&lt;=AB$5,$D15&gt;=AB$4),$E15*(1+$F15*(AB$4&gt;=$G15))*'Key Assumptions'!$H$12+$H15+IF($M15="Straight-line",$N15,0),0)+IF(AND($M15="Upfront",$C15&gt;=AB$4,$C15&lt;=AB$5),$K15,0)+IF(AND($C15&gt;0,$C15&gt;=AB$4,$C15&lt;=AB$5),$I15+$J15,0)</s:f>
        <s:v>0</s:v>
      </s:c>
      <s:c r="AC15" s="71">
        <s:f>SUM(Q15:AB15)</s:f>
        <s:v>0</s:v>
      </s:c>
      <s:c r="AD15" s="83">
        <s:f>IF($D15&gt;0,$E15*MAX(0,(YEAR($D15)-2027)*12+(MONTH($D15)-12)),0)</s:f>
        <s:v>0</s:v>
      </s:c>
      <s:c r="AE15" s="84">
        <s:f>IF('Key Assumptions'!B73="","",IF($D15&lt;DATE(2027,12,31),"EXPIRED",IF($D15-DATE(2027,12,31)&lt;=90,"RED &lt;90d",IF($D15-DATE(2027,12,31)&lt;=180,"YELLOW &lt;180d","GREEN"))))</s:f>
      </s:c>
    </s:row>
    <s:row r="16">
      <s:c r="A16" s="78">
        <s:f>'Key Assumptions'!A74</s:f>
        <s:v>9</s:v>
      </s:c>
      <s:c r="B16" s="26">
        <s:f>'Key Assumptions'!B74</s:f>
        <s:v>0</s:v>
      </s:c>
      <s:c r="C16" s="79">
        <s:f>IF('Key Assumptions'!H74="",0,EDATE('Key Assumptions'!H74,'Key Assumptions'!$I$12))</s:f>
        <s:v>0</s:v>
      </s:c>
      <s:c r="D16" s="79">
        <s:f>IF('Key Assumptions'!I74="",0,'Key Assumptions'!I74)</s:f>
        <s:v>0</s:v>
      </s:c>
      <s:c r="E16" s="16">
        <s:f>N('Key Assumptions'!J74)</s:f>
        <s:v>0</s:v>
      </s:c>
      <s:c r="F16" s="80">
        <s:f>N('Key Assumptions'!K74)</s:f>
        <s:v>0</s:v>
      </s:c>
      <s:c r="G16" s="79">
        <s:f>IF('Key Assumptions'!L74="",0,'Key Assumptions'!L74)</s:f>
        <s:v>0</s:v>
      </s:c>
      <s:c r="H16" s="16">
        <s:f>IF('Key Assumptions'!R74="",IF(E16&gt;0,E16*'Key Assumptions'!$B$61,0),'Key Assumptions'!R74)</s:f>
        <s:v>0</s:v>
      </s:c>
      <s:c r="I16" s="16">
        <s:f>N('Key Assumptions'!M74)</s:f>
        <s:v>0</s:v>
      </s:c>
      <s:c r="J16" s="16">
        <s:f>N('Key Assumptions'!N74)</s:f>
        <s:v>0</s:v>
      </s:c>
      <s:c r="K16" s="16">
        <s:f>N('Key Assumptions'!O74)</s:f>
        <s:v>0</s:v>
      </s:c>
      <s:c r="L16" s="81">
        <s:f>N('Key Assumptions'!P74)</s:f>
        <s:v>0</s:v>
      </s:c>
      <s:c r="M16" s="82" t="str">
        <s:f>IF('Key Assumptions'!Q74="",'Key Assumptions'!$B$60,'Key Assumptions'!Q74)</s:f>
        <s:v>Straight-line</s:v>
      </s:c>
      <s:c r="N16" s="16">
        <s:f>IF($M16="Straight-line",IFERROR($K16/($L16*12),0),0)</s:f>
        <s:v>0</s:v>
      </s:c>
      <s:c r="Q16" s="16">
        <s:f>IF(AND($C16&gt;0,$C16&lt;=Q$5,$D16&gt;=Q$4),$E16*(1+$F16*(Q$4&gt;=$G16))*'Key Assumptions'!$H$12+$H16+IF($M16="Straight-line",$N16,0),0)+IF(AND($M16="Upfront",$C16&gt;=Q$4,$C16&lt;=Q$5),$K16,0)+IF(AND($C16&gt;0,$C16&gt;=Q$4,$C16&lt;=Q$5),$I16+$J16,0)</s:f>
        <s:v>0</s:v>
      </s:c>
      <s:c r="R16" s="16">
        <s:f>IF(AND($C16&gt;0,$C16&lt;=R$5,$D16&gt;=R$4),$E16*(1+$F16*(R$4&gt;=$G16))*'Key Assumptions'!$H$12+$H16+IF($M16="Straight-line",$N16,0),0)+IF(AND($M16="Upfront",$C16&gt;=R$4,$C16&lt;=R$5),$K16,0)+IF(AND($C16&gt;0,$C16&gt;=R$4,$C16&lt;=R$5),$I16+$J16,0)</s:f>
        <s:v>0</s:v>
      </s:c>
      <s:c r="S16" s="16">
        <s:f>IF(AND($C16&gt;0,$C16&lt;=S$5,$D16&gt;=S$4),$E16*(1+$F16*(S$4&gt;=$G16))*'Key Assumptions'!$H$12+$H16+IF($M16="Straight-line",$N16,0),0)+IF(AND($M16="Upfront",$C16&gt;=S$4,$C16&lt;=S$5),$K16,0)+IF(AND($C16&gt;0,$C16&gt;=S$4,$C16&lt;=S$5),$I16+$J16,0)</s:f>
        <s:v>0</s:v>
      </s:c>
      <s:c r="T16" s="16">
        <s:f>IF(AND($C16&gt;0,$C16&lt;=T$5,$D16&gt;=T$4),$E16*(1+$F16*(T$4&gt;=$G16))*'Key Assumptions'!$H$12+$H16+IF($M16="Straight-line",$N16,0),0)+IF(AND($M16="Upfront",$C16&gt;=T$4,$C16&lt;=T$5),$K16,0)+IF(AND($C16&gt;0,$C16&gt;=T$4,$C16&lt;=T$5),$I16+$J16,0)</s:f>
        <s:v>0</s:v>
      </s:c>
      <s:c r="U16" s="16">
        <s:f>IF(AND($C16&gt;0,$C16&lt;=U$5,$D16&gt;=U$4),$E16*(1+$F16*(U$4&gt;=$G16))*'Key Assumptions'!$H$12+$H16+IF($M16="Straight-line",$N16,0),0)+IF(AND($M16="Upfront",$C16&gt;=U$4,$C16&lt;=U$5),$K16,0)+IF(AND($C16&gt;0,$C16&gt;=U$4,$C16&lt;=U$5),$I16+$J16,0)</s:f>
        <s:v>0</s:v>
      </s:c>
      <s:c r="V16" s="16">
        <s:f>IF(AND($C16&gt;0,$C16&lt;=V$5,$D16&gt;=V$4),$E16*(1+$F16*(V$4&gt;=$G16))*'Key Assumptions'!$H$12+$H16+IF($M16="Straight-line",$N16,0),0)+IF(AND($M16="Upfront",$C16&gt;=V$4,$C16&lt;=V$5),$K16,0)+IF(AND($C16&gt;0,$C16&gt;=V$4,$C16&lt;=V$5),$I16+$J16,0)</s:f>
        <s:v>0</s:v>
      </s:c>
      <s:c r="W16" s="16">
        <s:f>IF(AND($C16&gt;0,$C16&lt;=W$5,$D16&gt;=W$4),$E16*(1+$F16*(W$4&gt;=$G16))*'Key Assumptions'!$H$12+$H16+IF($M16="Straight-line",$N16,0),0)+IF(AND($M16="Upfront",$C16&gt;=W$4,$C16&lt;=W$5),$K16,0)+IF(AND($C16&gt;0,$C16&gt;=W$4,$C16&lt;=W$5),$I16+$J16,0)</s:f>
        <s:v>0</s:v>
      </s:c>
      <s:c r="X16" s="16">
        <s:f>IF(AND($C16&gt;0,$C16&lt;=X$5,$D16&gt;=X$4),$E16*(1+$F16*(X$4&gt;=$G16))*'Key Assumptions'!$H$12+$H16+IF($M16="Straight-line",$N16,0),0)+IF(AND($M16="Upfront",$C16&gt;=X$4,$C16&lt;=X$5),$K16,0)+IF(AND($C16&gt;0,$C16&gt;=X$4,$C16&lt;=X$5),$I16+$J16,0)</s:f>
        <s:v>0</s:v>
      </s:c>
      <s:c r="Y16" s="16">
        <s:f>IF(AND($C16&gt;0,$C16&lt;=Y$5,$D16&gt;=Y$4),$E16*(1+$F16*(Y$4&gt;=$G16))*'Key Assumptions'!$H$12+$H16+IF($M16="Straight-line",$N16,0),0)+IF(AND($M16="Upfront",$C16&gt;=Y$4,$C16&lt;=Y$5),$K16,0)+IF(AND($C16&gt;0,$C16&gt;=Y$4,$C16&lt;=Y$5),$I16+$J16,0)</s:f>
        <s:v>0</s:v>
      </s:c>
      <s:c r="Z16" s="16">
        <s:f>IF(AND($C16&gt;0,$C16&lt;=Z$5,$D16&gt;=Z$4),$E16*(1+$F16*(Z$4&gt;=$G16))*'Key Assumptions'!$H$12+$H16+IF($M16="Straight-line",$N16,0),0)+IF(AND($M16="Upfront",$C16&gt;=Z$4,$C16&lt;=Z$5),$K16,0)+IF(AND($C16&gt;0,$C16&gt;=Z$4,$C16&lt;=Z$5),$I16+$J16,0)</s:f>
        <s:v>0</s:v>
      </s:c>
      <s:c r="AA16" s="16">
        <s:f>IF(AND($C16&gt;0,$C16&lt;=AA$5,$D16&gt;=AA$4),$E16*(1+$F16*(AA$4&gt;=$G16))*'Key Assumptions'!$H$12+$H16+IF($M16="Straight-line",$N16,0),0)+IF(AND($M16="Upfront",$C16&gt;=AA$4,$C16&lt;=AA$5),$K16,0)+IF(AND($C16&gt;0,$C16&gt;=AA$4,$C16&lt;=AA$5),$I16+$J16,0)</s:f>
        <s:v>0</s:v>
      </s:c>
      <s:c r="AB16" s="16">
        <s:f>IF(AND($C16&gt;0,$C16&lt;=AB$5,$D16&gt;=AB$4),$E16*(1+$F16*(AB$4&gt;=$G16))*'Key Assumptions'!$H$12+$H16+IF($M16="Straight-line",$N16,0),0)+IF(AND($M16="Upfront",$C16&gt;=AB$4,$C16&lt;=AB$5),$K16,0)+IF(AND($C16&gt;0,$C16&gt;=AB$4,$C16&lt;=AB$5),$I16+$J16,0)</s:f>
        <s:v>0</s:v>
      </s:c>
      <s:c r="AC16" s="71">
        <s:f>SUM(Q16:AB16)</s:f>
        <s:v>0</s:v>
      </s:c>
      <s:c r="AD16" s="83">
        <s:f>IF($D16&gt;0,$E16*MAX(0,(YEAR($D16)-2027)*12+(MONTH($D16)-12)),0)</s:f>
        <s:v>0</s:v>
      </s:c>
      <s:c r="AE16" s="84">
        <s:f>IF('Key Assumptions'!B74="","",IF($D16&lt;DATE(2027,12,31),"EXPIRED",IF($D16-DATE(2027,12,31)&lt;=90,"RED &lt;90d",IF($D16-DATE(2027,12,31)&lt;=180,"YELLOW &lt;180d","GREEN"))))</s:f>
      </s:c>
    </s:row>
    <s:row r="17">
      <s:c r="A17" s="78">
        <s:f>'Key Assumptions'!A75</s:f>
        <s:v>10</s:v>
      </s:c>
      <s:c r="B17" s="26">
        <s:f>'Key Assumptions'!B75</s:f>
        <s:v>0</s:v>
      </s:c>
      <s:c r="C17" s="79">
        <s:f>IF('Key Assumptions'!H75="",0,EDATE('Key Assumptions'!H75,'Key Assumptions'!$I$12))</s:f>
        <s:v>0</s:v>
      </s:c>
      <s:c r="D17" s="79">
        <s:f>IF('Key Assumptions'!I75="",0,'Key Assumptions'!I75)</s:f>
        <s:v>0</s:v>
      </s:c>
      <s:c r="E17" s="16">
        <s:f>N('Key Assumptions'!J75)</s:f>
        <s:v>0</s:v>
      </s:c>
      <s:c r="F17" s="80">
        <s:f>N('Key Assumptions'!K75)</s:f>
        <s:v>0</s:v>
      </s:c>
      <s:c r="G17" s="79">
        <s:f>IF('Key Assumptions'!L75="",0,'Key Assumptions'!L75)</s:f>
        <s:v>0</s:v>
      </s:c>
      <s:c r="H17" s="16">
        <s:f>IF('Key Assumptions'!R75="",IF(E17&gt;0,E17*'Key Assumptions'!$B$61,0),'Key Assumptions'!R75)</s:f>
        <s:v>0</s:v>
      </s:c>
      <s:c r="I17" s="16">
        <s:f>N('Key Assumptions'!M75)</s:f>
        <s:v>0</s:v>
      </s:c>
      <s:c r="J17" s="16">
        <s:f>N('Key Assumptions'!N75)</s:f>
        <s:v>0</s:v>
      </s:c>
      <s:c r="K17" s="16">
        <s:f>N('Key Assumptions'!O75)</s:f>
        <s:v>0</s:v>
      </s:c>
      <s:c r="L17" s="81">
        <s:f>N('Key Assumptions'!P75)</s:f>
        <s:v>0</s:v>
      </s:c>
      <s:c r="M17" s="82" t="str">
        <s:f>IF('Key Assumptions'!Q75="",'Key Assumptions'!$B$60,'Key Assumptions'!Q75)</s:f>
        <s:v>Straight-line</s:v>
      </s:c>
      <s:c r="N17" s="16">
        <s:f>IF($M17="Straight-line",IFERROR($K17/($L17*12),0),0)</s:f>
        <s:v>0</s:v>
      </s:c>
      <s:c r="Q17" s="16">
        <s:f>IF(AND($C17&gt;0,$C17&lt;=Q$5,$D17&gt;=Q$4),$E17*(1+$F17*(Q$4&gt;=$G17))*'Key Assumptions'!$H$12+$H17+IF($M17="Straight-line",$N17,0),0)+IF(AND($M17="Upfront",$C17&gt;=Q$4,$C17&lt;=Q$5),$K17,0)+IF(AND($C17&gt;0,$C17&gt;=Q$4,$C17&lt;=Q$5),$I17+$J17,0)</s:f>
        <s:v>0</s:v>
      </s:c>
      <s:c r="R17" s="16">
        <s:f>IF(AND($C17&gt;0,$C17&lt;=R$5,$D17&gt;=R$4),$E17*(1+$F17*(R$4&gt;=$G17))*'Key Assumptions'!$H$12+$H17+IF($M17="Straight-line",$N17,0),0)+IF(AND($M17="Upfront",$C17&gt;=R$4,$C17&lt;=R$5),$K17,0)+IF(AND($C17&gt;0,$C17&gt;=R$4,$C17&lt;=R$5),$I17+$J17,0)</s:f>
        <s:v>0</s:v>
      </s:c>
      <s:c r="S17" s="16">
        <s:f>IF(AND($C17&gt;0,$C17&lt;=S$5,$D17&gt;=S$4),$E17*(1+$F17*(S$4&gt;=$G17))*'Key Assumptions'!$H$12+$H17+IF($M17="Straight-line",$N17,0),0)+IF(AND($M17="Upfront",$C17&gt;=S$4,$C17&lt;=S$5),$K17,0)+IF(AND($C17&gt;0,$C17&gt;=S$4,$C17&lt;=S$5),$I17+$J17,0)</s:f>
        <s:v>0</s:v>
      </s:c>
      <s:c r="T17" s="16">
        <s:f>IF(AND($C17&gt;0,$C17&lt;=T$5,$D17&gt;=T$4),$E17*(1+$F17*(T$4&gt;=$G17))*'Key Assumptions'!$H$12+$H17+IF($M17="Straight-line",$N17,0),0)+IF(AND($M17="Upfront",$C17&gt;=T$4,$C17&lt;=T$5),$K17,0)+IF(AND($C17&gt;0,$C17&gt;=T$4,$C17&lt;=T$5),$I17+$J17,0)</s:f>
        <s:v>0</s:v>
      </s:c>
      <s:c r="U17" s="16">
        <s:f>IF(AND($C17&gt;0,$C17&lt;=U$5,$D17&gt;=U$4),$E17*(1+$F17*(U$4&gt;=$G17))*'Key Assumptions'!$H$12+$H17+IF($M17="Straight-line",$N17,0),0)+IF(AND($M17="Upfront",$C17&gt;=U$4,$C17&lt;=U$5),$K17,0)+IF(AND($C17&gt;0,$C17&gt;=U$4,$C17&lt;=U$5),$I17+$J17,0)</s:f>
        <s:v>0</s:v>
      </s:c>
      <s:c r="V17" s="16">
        <s:f>IF(AND($C17&gt;0,$C17&lt;=V$5,$D17&gt;=V$4),$E17*(1+$F17*(V$4&gt;=$G17))*'Key Assumptions'!$H$12+$H17+IF($M17="Straight-line",$N17,0),0)+IF(AND($M17="Upfront",$C17&gt;=V$4,$C17&lt;=V$5),$K17,0)+IF(AND($C17&gt;0,$C17&gt;=V$4,$C17&lt;=V$5),$I17+$J17,0)</s:f>
        <s:v>0</s:v>
      </s:c>
      <s:c r="W17" s="16">
        <s:f>IF(AND($C17&gt;0,$C17&lt;=W$5,$D17&gt;=W$4),$E17*(1+$F17*(W$4&gt;=$G17))*'Key Assumptions'!$H$12+$H17+IF($M17="Straight-line",$N17,0),0)+IF(AND($M17="Upfront",$C17&gt;=W$4,$C17&lt;=W$5),$K17,0)+IF(AND($C17&gt;0,$C17&gt;=W$4,$C17&lt;=W$5),$I17+$J17,0)</s:f>
        <s:v>0</s:v>
      </s:c>
      <s:c r="X17" s="16">
        <s:f>IF(AND($C17&gt;0,$C17&lt;=X$5,$D17&gt;=X$4),$E17*(1+$F17*(X$4&gt;=$G17))*'Key Assumptions'!$H$12+$H17+IF($M17="Straight-line",$N17,0),0)+IF(AND($M17="Upfront",$C17&gt;=X$4,$C17&lt;=X$5),$K17,0)+IF(AND($C17&gt;0,$C17&gt;=X$4,$C17&lt;=X$5),$I17+$J17,0)</s:f>
        <s:v>0</s:v>
      </s:c>
      <s:c r="Y17" s="16">
        <s:f>IF(AND($C17&gt;0,$C17&lt;=Y$5,$D17&gt;=Y$4),$E17*(1+$F17*(Y$4&gt;=$G17))*'Key Assumptions'!$H$12+$H17+IF($M17="Straight-line",$N17,0),0)+IF(AND($M17="Upfront",$C17&gt;=Y$4,$C17&lt;=Y$5),$K17,0)+IF(AND($C17&gt;0,$C17&gt;=Y$4,$C17&lt;=Y$5),$I17+$J17,0)</s:f>
        <s:v>0</s:v>
      </s:c>
      <s:c r="Z17" s="16">
        <s:f>IF(AND($C17&gt;0,$C17&lt;=Z$5,$D17&gt;=Z$4),$E17*(1+$F17*(Z$4&gt;=$G17))*'Key Assumptions'!$H$12+$H17+IF($M17="Straight-line",$N17,0),0)+IF(AND($M17="Upfront",$C17&gt;=Z$4,$C17&lt;=Z$5),$K17,0)+IF(AND($C17&gt;0,$C17&gt;=Z$4,$C17&lt;=Z$5),$I17+$J17,0)</s:f>
        <s:v>0</s:v>
      </s:c>
      <s:c r="AA17" s="16">
        <s:f>IF(AND($C17&gt;0,$C17&lt;=AA$5,$D17&gt;=AA$4),$E17*(1+$F17*(AA$4&gt;=$G17))*'Key Assumptions'!$H$12+$H17+IF($M17="Straight-line",$N17,0),0)+IF(AND($M17="Upfront",$C17&gt;=AA$4,$C17&lt;=AA$5),$K17,0)+IF(AND($C17&gt;0,$C17&gt;=AA$4,$C17&lt;=AA$5),$I17+$J17,0)</s:f>
        <s:v>0</s:v>
      </s:c>
      <s:c r="AB17" s="16">
        <s:f>IF(AND($C17&gt;0,$C17&lt;=AB$5,$D17&gt;=AB$4),$E17*(1+$F17*(AB$4&gt;=$G17))*'Key Assumptions'!$H$12+$H17+IF($M17="Straight-line",$N17,0),0)+IF(AND($M17="Upfront",$C17&gt;=AB$4,$C17&lt;=AB$5),$K17,0)+IF(AND($C17&gt;0,$C17&gt;=AB$4,$C17&lt;=AB$5),$I17+$J17,0)</s:f>
        <s:v>0</s:v>
      </s:c>
      <s:c r="AC17" s="71">
        <s:f>SUM(Q17:AB17)</s:f>
        <s:v>0</s:v>
      </s:c>
      <s:c r="AD17" s="83">
        <s:f>IF($D17&gt;0,$E17*MAX(0,(YEAR($D17)-2027)*12+(MONTH($D17)-12)),0)</s:f>
        <s:v>0</s:v>
      </s:c>
      <s:c r="AE17" s="84">
        <s:f>IF('Key Assumptions'!B75="","",IF($D17&lt;DATE(2027,12,31),"EXPIRED",IF($D17-DATE(2027,12,31)&lt;=90,"RED &lt;90d",IF($D17-DATE(2027,12,31)&lt;=180,"YELLOW &lt;180d","GREEN"))))</s:f>
      </s:c>
    </s:row>
    <s:row r="18">
      <s:c r="A18" s="78">
        <s:f>'Key Assumptions'!A76</s:f>
        <s:v>11</s:v>
      </s:c>
      <s:c r="B18" s="26">
        <s:f>'Key Assumptions'!B76</s:f>
        <s:v>0</s:v>
      </s:c>
      <s:c r="C18" s="79">
        <s:f>IF('Key Assumptions'!H76="",0,EDATE('Key Assumptions'!H76,'Key Assumptions'!$I$12))</s:f>
        <s:v>0</s:v>
      </s:c>
      <s:c r="D18" s="79">
        <s:f>IF('Key Assumptions'!I76="",0,'Key Assumptions'!I76)</s:f>
        <s:v>0</s:v>
      </s:c>
      <s:c r="E18" s="16">
        <s:f>N('Key Assumptions'!J76)</s:f>
        <s:v>0</s:v>
      </s:c>
      <s:c r="F18" s="80">
        <s:f>N('Key Assumptions'!K76)</s:f>
        <s:v>0</s:v>
      </s:c>
      <s:c r="G18" s="79">
        <s:f>IF('Key Assumptions'!L76="",0,'Key Assumptions'!L76)</s:f>
        <s:v>0</s:v>
      </s:c>
      <s:c r="H18" s="16">
        <s:f>IF('Key Assumptions'!R76="",IF(E18&gt;0,E18*'Key Assumptions'!$B$61,0),'Key Assumptions'!R76)</s:f>
        <s:v>0</s:v>
      </s:c>
      <s:c r="I18" s="16">
        <s:f>N('Key Assumptions'!M76)</s:f>
        <s:v>0</s:v>
      </s:c>
      <s:c r="J18" s="16">
        <s:f>N('Key Assumptions'!N76)</s:f>
        <s:v>0</s:v>
      </s:c>
      <s:c r="K18" s="16">
        <s:f>N('Key Assumptions'!O76)</s:f>
        <s:v>0</s:v>
      </s:c>
      <s:c r="L18" s="81">
        <s:f>N('Key Assumptions'!P76)</s:f>
        <s:v>0</s:v>
      </s:c>
      <s:c r="M18" s="82" t="str">
        <s:f>IF('Key Assumptions'!Q76="",'Key Assumptions'!$B$60,'Key Assumptions'!Q76)</s:f>
        <s:v>Straight-line</s:v>
      </s:c>
      <s:c r="N18" s="16">
        <s:f>IF($M18="Straight-line",IFERROR($K18/($L18*12),0),0)</s:f>
        <s:v>0</s:v>
      </s:c>
      <s:c r="Q18" s="16">
        <s:f>IF(AND($C18&gt;0,$C18&lt;=Q$5,$D18&gt;=Q$4),$E18*(1+$F18*(Q$4&gt;=$G18))*'Key Assumptions'!$H$12+$H18+IF($M18="Straight-line",$N18,0),0)+IF(AND($M18="Upfront",$C18&gt;=Q$4,$C18&lt;=Q$5),$K18,0)+IF(AND($C18&gt;0,$C18&gt;=Q$4,$C18&lt;=Q$5),$I18+$J18,0)</s:f>
        <s:v>0</s:v>
      </s:c>
      <s:c r="R18" s="16">
        <s:f>IF(AND($C18&gt;0,$C18&lt;=R$5,$D18&gt;=R$4),$E18*(1+$F18*(R$4&gt;=$G18))*'Key Assumptions'!$H$12+$H18+IF($M18="Straight-line",$N18,0),0)+IF(AND($M18="Upfront",$C18&gt;=R$4,$C18&lt;=R$5),$K18,0)+IF(AND($C18&gt;0,$C18&gt;=R$4,$C18&lt;=R$5),$I18+$J18,0)</s:f>
        <s:v>0</s:v>
      </s:c>
      <s:c r="S18" s="16">
        <s:f>IF(AND($C18&gt;0,$C18&lt;=S$5,$D18&gt;=S$4),$E18*(1+$F18*(S$4&gt;=$G18))*'Key Assumptions'!$H$12+$H18+IF($M18="Straight-line",$N18,0),0)+IF(AND($M18="Upfront",$C18&gt;=S$4,$C18&lt;=S$5),$K18,0)+IF(AND($C18&gt;0,$C18&gt;=S$4,$C18&lt;=S$5),$I18+$J18,0)</s:f>
        <s:v>0</s:v>
      </s:c>
      <s:c r="T18" s="16">
        <s:f>IF(AND($C18&gt;0,$C18&lt;=T$5,$D18&gt;=T$4),$E18*(1+$F18*(T$4&gt;=$G18))*'Key Assumptions'!$H$12+$H18+IF($M18="Straight-line",$N18,0),0)+IF(AND($M18="Upfront",$C18&gt;=T$4,$C18&lt;=T$5),$K18,0)+IF(AND($C18&gt;0,$C18&gt;=T$4,$C18&lt;=T$5),$I18+$J18,0)</s:f>
        <s:v>0</s:v>
      </s:c>
      <s:c r="U18" s="16">
        <s:f>IF(AND($C18&gt;0,$C18&lt;=U$5,$D18&gt;=U$4),$E18*(1+$F18*(U$4&gt;=$G18))*'Key Assumptions'!$H$12+$H18+IF($M18="Straight-line",$N18,0),0)+IF(AND($M18="Upfront",$C18&gt;=U$4,$C18&lt;=U$5),$K18,0)+IF(AND($C18&gt;0,$C18&gt;=U$4,$C18&lt;=U$5),$I18+$J18,0)</s:f>
        <s:v>0</s:v>
      </s:c>
      <s:c r="V18" s="16">
        <s:f>IF(AND($C18&gt;0,$C18&lt;=V$5,$D18&gt;=V$4),$E18*(1+$F18*(V$4&gt;=$G18))*'Key Assumptions'!$H$12+$H18+IF($M18="Straight-line",$N18,0),0)+IF(AND($M18="Upfront",$C18&gt;=V$4,$C18&lt;=V$5),$K18,0)+IF(AND($C18&gt;0,$C18&gt;=V$4,$C18&lt;=V$5),$I18+$J18,0)</s:f>
        <s:v>0</s:v>
      </s:c>
      <s:c r="W18" s="16">
        <s:f>IF(AND($C18&gt;0,$C18&lt;=W$5,$D18&gt;=W$4),$E18*(1+$F18*(W$4&gt;=$G18))*'Key Assumptions'!$H$12+$H18+IF($M18="Straight-line",$N18,0),0)+IF(AND($M18="Upfront",$C18&gt;=W$4,$C18&lt;=W$5),$K18,0)+IF(AND($C18&gt;0,$C18&gt;=W$4,$C18&lt;=W$5),$I18+$J18,0)</s:f>
        <s:v>0</s:v>
      </s:c>
      <s:c r="X18" s="16">
        <s:f>IF(AND($C18&gt;0,$C18&lt;=X$5,$D18&gt;=X$4),$E18*(1+$F18*(X$4&gt;=$G18))*'Key Assumptions'!$H$12+$H18+IF($M18="Straight-line",$N18,0),0)+IF(AND($M18="Upfront",$C18&gt;=X$4,$C18&lt;=X$5),$K18,0)+IF(AND($C18&gt;0,$C18&gt;=X$4,$C18&lt;=X$5),$I18+$J18,0)</s:f>
        <s:v>0</s:v>
      </s:c>
      <s:c r="Y18" s="16">
        <s:f>IF(AND($C18&gt;0,$C18&lt;=Y$5,$D18&gt;=Y$4),$E18*(1+$F18*(Y$4&gt;=$G18))*'Key Assumptions'!$H$12+$H18+IF($M18="Straight-line",$N18,0),0)+IF(AND($M18="Upfront",$C18&gt;=Y$4,$C18&lt;=Y$5),$K18,0)+IF(AND($C18&gt;0,$C18&gt;=Y$4,$C18&lt;=Y$5),$I18+$J18,0)</s:f>
        <s:v>0</s:v>
      </s:c>
      <s:c r="Z18" s="16">
        <s:f>IF(AND($C18&gt;0,$C18&lt;=Z$5,$D18&gt;=Z$4),$E18*(1+$F18*(Z$4&gt;=$G18))*'Key Assumptions'!$H$12+$H18+IF($M18="Straight-line",$N18,0),0)+IF(AND($M18="Upfront",$C18&gt;=Z$4,$C18&lt;=Z$5),$K18,0)+IF(AND($C18&gt;0,$C18&gt;=Z$4,$C18&lt;=Z$5),$I18+$J18,0)</s:f>
        <s:v>0</s:v>
      </s:c>
      <s:c r="AA18" s="16">
        <s:f>IF(AND($C18&gt;0,$C18&lt;=AA$5,$D18&gt;=AA$4),$E18*(1+$F18*(AA$4&gt;=$G18))*'Key Assumptions'!$H$12+$H18+IF($M18="Straight-line",$N18,0),0)+IF(AND($M18="Upfront",$C18&gt;=AA$4,$C18&lt;=AA$5),$K18,0)+IF(AND($C18&gt;0,$C18&gt;=AA$4,$C18&lt;=AA$5),$I18+$J18,0)</s:f>
        <s:v>0</s:v>
      </s:c>
      <s:c r="AB18" s="16">
        <s:f>IF(AND($C18&gt;0,$C18&lt;=AB$5,$D18&gt;=AB$4),$E18*(1+$F18*(AB$4&gt;=$G18))*'Key Assumptions'!$H$12+$H18+IF($M18="Straight-line",$N18,0),0)+IF(AND($M18="Upfront",$C18&gt;=AB$4,$C18&lt;=AB$5),$K18,0)+IF(AND($C18&gt;0,$C18&gt;=AB$4,$C18&lt;=AB$5),$I18+$J18,0)</s:f>
        <s:v>0</s:v>
      </s:c>
      <s:c r="AC18" s="71">
        <s:f>SUM(Q18:AB18)</s:f>
        <s:v>0</s:v>
      </s:c>
      <s:c r="AD18" s="83">
        <s:f>IF($D18&gt;0,$E18*MAX(0,(YEAR($D18)-2027)*12+(MONTH($D18)-12)),0)</s:f>
        <s:v>0</s:v>
      </s:c>
      <s:c r="AE18" s="84">
        <s:f>IF('Key Assumptions'!B76="","",IF($D18&lt;DATE(2027,12,31),"EXPIRED",IF($D18-DATE(2027,12,31)&lt;=90,"RED &lt;90d",IF($D18-DATE(2027,12,31)&lt;=180,"YELLOW &lt;180d","GREEN"))))</s:f>
      </s:c>
    </s:row>
    <s:row r="19">
      <s:c r="A19" s="78">
        <s:f>'Key Assumptions'!A77</s:f>
        <s:v>12</s:v>
      </s:c>
      <s:c r="B19" s="26">
        <s:f>'Key Assumptions'!B77</s:f>
        <s:v>0</s:v>
      </s:c>
      <s:c r="C19" s="79">
        <s:f>IF('Key Assumptions'!H77="",0,EDATE('Key Assumptions'!H77,'Key Assumptions'!$I$12))</s:f>
        <s:v>0</s:v>
      </s:c>
      <s:c r="D19" s="79">
        <s:f>IF('Key Assumptions'!I77="",0,'Key Assumptions'!I77)</s:f>
        <s:v>0</s:v>
      </s:c>
      <s:c r="E19" s="16">
        <s:f>N('Key Assumptions'!J77)</s:f>
        <s:v>0</s:v>
      </s:c>
      <s:c r="F19" s="80">
        <s:f>N('Key Assumptions'!K77)</s:f>
        <s:v>0</s:v>
      </s:c>
      <s:c r="G19" s="79">
        <s:f>IF('Key Assumptions'!L77="",0,'Key Assumptions'!L77)</s:f>
        <s:v>0</s:v>
      </s:c>
      <s:c r="H19" s="16">
        <s:f>IF('Key Assumptions'!R77="",IF(E19&gt;0,E19*'Key Assumptions'!$B$61,0),'Key Assumptions'!R77)</s:f>
        <s:v>0</s:v>
      </s:c>
      <s:c r="I19" s="16">
        <s:f>N('Key Assumptions'!M77)</s:f>
        <s:v>0</s:v>
      </s:c>
      <s:c r="J19" s="16">
        <s:f>N('Key Assumptions'!N77)</s:f>
        <s:v>0</s:v>
      </s:c>
      <s:c r="K19" s="16">
        <s:f>N('Key Assumptions'!O77)</s:f>
        <s:v>0</s:v>
      </s:c>
      <s:c r="L19" s="81">
        <s:f>N('Key Assumptions'!P77)</s:f>
        <s:v>0</s:v>
      </s:c>
      <s:c r="M19" s="82" t="str">
        <s:f>IF('Key Assumptions'!Q77="",'Key Assumptions'!$B$60,'Key Assumptions'!Q77)</s:f>
        <s:v>Straight-line</s:v>
      </s:c>
      <s:c r="N19" s="16">
        <s:f>IF($M19="Straight-line",IFERROR($K19/($L19*12),0),0)</s:f>
        <s:v>0</s:v>
      </s:c>
      <s:c r="Q19" s="16">
        <s:f>IF(AND($C19&gt;0,$C19&lt;=Q$5,$D19&gt;=Q$4),$E19*(1+$F19*(Q$4&gt;=$G19))*'Key Assumptions'!$H$12+$H19+IF($M19="Straight-line",$N19,0),0)+IF(AND($M19="Upfront",$C19&gt;=Q$4,$C19&lt;=Q$5),$K19,0)+IF(AND($C19&gt;0,$C19&gt;=Q$4,$C19&lt;=Q$5),$I19+$J19,0)</s:f>
        <s:v>0</s:v>
      </s:c>
      <s:c r="R19" s="16">
        <s:f>IF(AND($C19&gt;0,$C19&lt;=R$5,$D19&gt;=R$4),$E19*(1+$F19*(R$4&gt;=$G19))*'Key Assumptions'!$H$12+$H19+IF($M19="Straight-line",$N19,0),0)+IF(AND($M19="Upfront",$C19&gt;=R$4,$C19&lt;=R$5),$K19,0)+IF(AND($C19&gt;0,$C19&gt;=R$4,$C19&lt;=R$5),$I19+$J19,0)</s:f>
        <s:v>0</s:v>
      </s:c>
      <s:c r="S19" s="16">
        <s:f>IF(AND($C19&gt;0,$C19&lt;=S$5,$D19&gt;=S$4),$E19*(1+$F19*(S$4&gt;=$G19))*'Key Assumptions'!$H$12+$H19+IF($M19="Straight-line",$N19,0),0)+IF(AND($M19="Upfront",$C19&gt;=S$4,$C19&lt;=S$5),$K19,0)+IF(AND($C19&gt;0,$C19&gt;=S$4,$C19&lt;=S$5),$I19+$J19,0)</s:f>
        <s:v>0</s:v>
      </s:c>
      <s:c r="T19" s="16">
        <s:f>IF(AND($C19&gt;0,$C19&lt;=T$5,$D19&gt;=T$4),$E19*(1+$F19*(T$4&gt;=$G19))*'Key Assumptions'!$H$12+$H19+IF($M19="Straight-line",$N19,0),0)+IF(AND($M19="Upfront",$C19&gt;=T$4,$C19&lt;=T$5),$K19,0)+IF(AND($C19&gt;0,$C19&gt;=T$4,$C19&lt;=T$5),$I19+$J19,0)</s:f>
        <s:v>0</s:v>
      </s:c>
      <s:c r="U19" s="16">
        <s:f>IF(AND($C19&gt;0,$C19&lt;=U$5,$D19&gt;=U$4),$E19*(1+$F19*(U$4&gt;=$G19))*'Key Assumptions'!$H$12+$H19+IF($M19="Straight-line",$N19,0),0)+IF(AND($M19="Upfront",$C19&gt;=U$4,$C19&lt;=U$5),$K19,0)+IF(AND($C19&gt;0,$C19&gt;=U$4,$C19&lt;=U$5),$I19+$J19,0)</s:f>
        <s:v>0</s:v>
      </s:c>
      <s:c r="V19" s="16">
        <s:f>IF(AND($C19&gt;0,$C19&lt;=V$5,$D19&gt;=V$4),$E19*(1+$F19*(V$4&gt;=$G19))*'Key Assumptions'!$H$12+$H19+IF($M19="Straight-line",$N19,0),0)+IF(AND($M19="Upfront",$C19&gt;=V$4,$C19&lt;=V$5),$K19,0)+IF(AND($C19&gt;0,$C19&gt;=V$4,$C19&lt;=V$5),$I19+$J19,0)</s:f>
        <s:v>0</s:v>
      </s:c>
      <s:c r="W19" s="16">
        <s:f>IF(AND($C19&gt;0,$C19&lt;=W$5,$D19&gt;=W$4),$E19*(1+$F19*(W$4&gt;=$G19))*'Key Assumptions'!$H$12+$H19+IF($M19="Straight-line",$N19,0),0)+IF(AND($M19="Upfront",$C19&gt;=W$4,$C19&lt;=W$5),$K19,0)+IF(AND($C19&gt;0,$C19&gt;=W$4,$C19&lt;=W$5),$I19+$J19,0)</s:f>
        <s:v>0</s:v>
      </s:c>
      <s:c r="X19" s="16">
        <s:f>IF(AND($C19&gt;0,$C19&lt;=X$5,$D19&gt;=X$4),$E19*(1+$F19*(X$4&gt;=$G19))*'Key Assumptions'!$H$12+$H19+IF($M19="Straight-line",$N19,0),0)+IF(AND($M19="Upfront",$C19&gt;=X$4,$C19&lt;=X$5),$K19,0)+IF(AND($C19&gt;0,$C19&gt;=X$4,$C19&lt;=X$5),$I19+$J19,0)</s:f>
        <s:v>0</s:v>
      </s:c>
      <s:c r="Y19" s="16">
        <s:f>IF(AND($C19&gt;0,$C19&lt;=Y$5,$D19&gt;=Y$4),$E19*(1+$F19*(Y$4&gt;=$G19))*'Key Assumptions'!$H$12+$H19+IF($M19="Straight-line",$N19,0),0)+IF(AND($M19="Upfront",$C19&gt;=Y$4,$C19&lt;=Y$5),$K19,0)+IF(AND($C19&gt;0,$C19&gt;=Y$4,$C19&lt;=Y$5),$I19+$J19,0)</s:f>
        <s:v>0</s:v>
      </s:c>
      <s:c r="Z19" s="16">
        <s:f>IF(AND($C19&gt;0,$C19&lt;=Z$5,$D19&gt;=Z$4),$E19*(1+$F19*(Z$4&gt;=$G19))*'Key Assumptions'!$H$12+$H19+IF($M19="Straight-line",$N19,0),0)+IF(AND($M19="Upfront",$C19&gt;=Z$4,$C19&lt;=Z$5),$K19,0)+IF(AND($C19&gt;0,$C19&gt;=Z$4,$C19&lt;=Z$5),$I19+$J19,0)</s:f>
        <s:v>0</s:v>
      </s:c>
      <s:c r="AA19" s="16">
        <s:f>IF(AND($C19&gt;0,$C19&lt;=AA$5,$D19&gt;=AA$4),$E19*(1+$F19*(AA$4&gt;=$G19))*'Key Assumptions'!$H$12+$H19+IF($M19="Straight-line",$N19,0),0)+IF(AND($M19="Upfront",$C19&gt;=AA$4,$C19&lt;=AA$5),$K19,0)+IF(AND($C19&gt;0,$C19&gt;=AA$4,$C19&lt;=AA$5),$I19+$J19,0)</s:f>
        <s:v>0</s:v>
      </s:c>
      <s:c r="AB19" s="16">
        <s:f>IF(AND($C19&gt;0,$C19&lt;=AB$5,$D19&gt;=AB$4),$E19*(1+$F19*(AB$4&gt;=$G19))*'Key Assumptions'!$H$12+$H19+IF($M19="Straight-line",$N19,0),0)+IF(AND($M19="Upfront",$C19&gt;=AB$4,$C19&lt;=AB$5),$K19,0)+IF(AND($C19&gt;0,$C19&gt;=AB$4,$C19&lt;=AB$5),$I19+$J19,0)</s:f>
        <s:v>0</s:v>
      </s:c>
      <s:c r="AC19" s="71">
        <s:f>SUM(Q19:AB19)</s:f>
        <s:v>0</s:v>
      </s:c>
      <s:c r="AD19" s="83">
        <s:f>IF($D19&gt;0,$E19*MAX(0,(YEAR($D19)-2027)*12+(MONTH($D19)-12)),0)</s:f>
        <s:v>0</s:v>
      </s:c>
      <s:c r="AE19" s="84">
        <s:f>IF('Key Assumptions'!B77="","",IF($D19&lt;DATE(2027,12,31),"EXPIRED",IF($D19-DATE(2027,12,31)&lt;=90,"RED &lt;90d",IF($D19-DATE(2027,12,31)&lt;=180,"YELLOW &lt;180d","GREEN"))))</s:f>
      </s:c>
    </s:row>
    <s:row r="20">
      <s:c r="A20" s="78">
        <s:f>'Key Assumptions'!A78</s:f>
        <s:v>13</s:v>
      </s:c>
      <s:c r="B20" s="26">
        <s:f>'Key Assumptions'!B78</s:f>
        <s:v>0</s:v>
      </s:c>
      <s:c r="C20" s="79">
        <s:f>IF('Key Assumptions'!H78="",0,EDATE('Key Assumptions'!H78,'Key Assumptions'!$I$12))</s:f>
        <s:v>0</s:v>
      </s:c>
      <s:c r="D20" s="79">
        <s:f>IF('Key Assumptions'!I78="",0,'Key Assumptions'!I78)</s:f>
        <s:v>0</s:v>
      </s:c>
      <s:c r="E20" s="16">
        <s:f>N('Key Assumptions'!J78)</s:f>
        <s:v>0</s:v>
      </s:c>
      <s:c r="F20" s="80">
        <s:f>N('Key Assumptions'!K78)</s:f>
        <s:v>0</s:v>
      </s:c>
      <s:c r="G20" s="79">
        <s:f>IF('Key Assumptions'!L78="",0,'Key Assumptions'!L78)</s:f>
        <s:v>0</s:v>
      </s:c>
      <s:c r="H20" s="16">
        <s:f>IF('Key Assumptions'!R78="",IF(E20&gt;0,E20*'Key Assumptions'!$B$61,0),'Key Assumptions'!R78)</s:f>
        <s:v>0</s:v>
      </s:c>
      <s:c r="I20" s="16">
        <s:f>N('Key Assumptions'!M78)</s:f>
        <s:v>0</s:v>
      </s:c>
      <s:c r="J20" s="16">
        <s:f>N('Key Assumptions'!N78)</s:f>
        <s:v>0</s:v>
      </s:c>
      <s:c r="K20" s="16">
        <s:f>N('Key Assumptions'!O78)</s:f>
        <s:v>0</s:v>
      </s:c>
      <s:c r="L20" s="81">
        <s:f>N('Key Assumptions'!P78)</s:f>
        <s:v>0</s:v>
      </s:c>
      <s:c r="M20" s="82" t="str">
        <s:f>IF('Key Assumptions'!Q78="",'Key Assumptions'!$B$60,'Key Assumptions'!Q78)</s:f>
        <s:v>Straight-line</s:v>
      </s:c>
      <s:c r="N20" s="16">
        <s:f>IF($M20="Straight-line",IFERROR($K20/($L20*12),0),0)</s:f>
        <s:v>0</s:v>
      </s:c>
      <s:c r="Q20" s="16">
        <s:f>IF(AND($C20&gt;0,$C20&lt;=Q$5,$D20&gt;=Q$4),$E20*(1+$F20*(Q$4&gt;=$G20))*'Key Assumptions'!$H$12+$H20+IF($M20="Straight-line",$N20,0),0)+IF(AND($M20="Upfront",$C20&gt;=Q$4,$C20&lt;=Q$5),$K20,0)+IF(AND($C20&gt;0,$C20&gt;=Q$4,$C20&lt;=Q$5),$I20+$J20,0)</s:f>
        <s:v>0</s:v>
      </s:c>
      <s:c r="R20" s="16">
        <s:f>IF(AND($C20&gt;0,$C20&lt;=R$5,$D20&gt;=R$4),$E20*(1+$F20*(R$4&gt;=$G20))*'Key Assumptions'!$H$12+$H20+IF($M20="Straight-line",$N20,0),0)+IF(AND($M20="Upfront",$C20&gt;=R$4,$C20&lt;=R$5),$K20,0)+IF(AND($C20&gt;0,$C20&gt;=R$4,$C20&lt;=R$5),$I20+$J20,0)</s:f>
        <s:v>0</s:v>
      </s:c>
      <s:c r="S20" s="16">
        <s:f>IF(AND($C20&gt;0,$C20&lt;=S$5,$D20&gt;=S$4),$E20*(1+$F20*(S$4&gt;=$G20))*'Key Assumptions'!$H$12+$H20+IF($M20="Straight-line",$N20,0),0)+IF(AND($M20="Upfront",$C20&gt;=S$4,$C20&lt;=S$5),$K20,0)+IF(AND($C20&gt;0,$C20&gt;=S$4,$C20&lt;=S$5),$I20+$J20,0)</s:f>
        <s:v>0</s:v>
      </s:c>
      <s:c r="T20" s="16">
        <s:f>IF(AND($C20&gt;0,$C20&lt;=T$5,$D20&gt;=T$4),$E20*(1+$F20*(T$4&gt;=$G20))*'Key Assumptions'!$H$12+$H20+IF($M20="Straight-line",$N20,0),0)+IF(AND($M20="Upfront",$C20&gt;=T$4,$C20&lt;=T$5),$K20,0)+IF(AND($C20&gt;0,$C20&gt;=T$4,$C20&lt;=T$5),$I20+$J20,0)</s:f>
        <s:v>0</s:v>
      </s:c>
      <s:c r="U20" s="16">
        <s:f>IF(AND($C20&gt;0,$C20&lt;=U$5,$D20&gt;=U$4),$E20*(1+$F20*(U$4&gt;=$G20))*'Key Assumptions'!$H$12+$H20+IF($M20="Straight-line",$N20,0),0)+IF(AND($M20="Upfront",$C20&gt;=U$4,$C20&lt;=U$5),$K20,0)+IF(AND($C20&gt;0,$C20&gt;=U$4,$C20&lt;=U$5),$I20+$J20,0)</s:f>
        <s:v>0</s:v>
      </s:c>
      <s:c r="V20" s="16">
        <s:f>IF(AND($C20&gt;0,$C20&lt;=V$5,$D20&gt;=V$4),$E20*(1+$F20*(V$4&gt;=$G20))*'Key Assumptions'!$H$12+$H20+IF($M20="Straight-line",$N20,0),0)+IF(AND($M20="Upfront",$C20&gt;=V$4,$C20&lt;=V$5),$K20,0)+IF(AND($C20&gt;0,$C20&gt;=V$4,$C20&lt;=V$5),$I20+$J20,0)</s:f>
        <s:v>0</s:v>
      </s:c>
      <s:c r="W20" s="16">
        <s:f>IF(AND($C20&gt;0,$C20&lt;=W$5,$D20&gt;=W$4),$E20*(1+$F20*(W$4&gt;=$G20))*'Key Assumptions'!$H$12+$H20+IF($M20="Straight-line",$N20,0),0)+IF(AND($M20="Upfront",$C20&gt;=W$4,$C20&lt;=W$5),$K20,0)+IF(AND($C20&gt;0,$C20&gt;=W$4,$C20&lt;=W$5),$I20+$J20,0)</s:f>
        <s:v>0</s:v>
      </s:c>
      <s:c r="X20" s="16">
        <s:f>IF(AND($C20&gt;0,$C20&lt;=X$5,$D20&gt;=X$4),$E20*(1+$F20*(X$4&gt;=$G20))*'Key Assumptions'!$H$12+$H20+IF($M20="Straight-line",$N20,0),0)+IF(AND($M20="Upfront",$C20&gt;=X$4,$C20&lt;=X$5),$K20,0)+IF(AND($C20&gt;0,$C20&gt;=X$4,$C20&lt;=X$5),$I20+$J20,0)</s:f>
        <s:v>0</s:v>
      </s:c>
      <s:c r="Y20" s="16">
        <s:f>IF(AND($C20&gt;0,$C20&lt;=Y$5,$D20&gt;=Y$4),$E20*(1+$F20*(Y$4&gt;=$G20))*'Key Assumptions'!$H$12+$H20+IF($M20="Straight-line",$N20,0),0)+IF(AND($M20="Upfront",$C20&gt;=Y$4,$C20&lt;=Y$5),$K20,0)+IF(AND($C20&gt;0,$C20&gt;=Y$4,$C20&lt;=Y$5),$I20+$J20,0)</s:f>
        <s:v>0</s:v>
      </s:c>
      <s:c r="Z20" s="16">
        <s:f>IF(AND($C20&gt;0,$C20&lt;=Z$5,$D20&gt;=Z$4),$E20*(1+$F20*(Z$4&gt;=$G20))*'Key Assumptions'!$H$12+$H20+IF($M20="Straight-line",$N20,0),0)+IF(AND($M20="Upfront",$C20&gt;=Z$4,$C20&lt;=Z$5),$K20,0)+IF(AND($C20&gt;0,$C20&gt;=Z$4,$C20&lt;=Z$5),$I20+$J20,0)</s:f>
        <s:v>0</s:v>
      </s:c>
      <s:c r="AA20" s="16">
        <s:f>IF(AND($C20&gt;0,$C20&lt;=AA$5,$D20&gt;=AA$4),$E20*(1+$F20*(AA$4&gt;=$G20))*'Key Assumptions'!$H$12+$H20+IF($M20="Straight-line",$N20,0),0)+IF(AND($M20="Upfront",$C20&gt;=AA$4,$C20&lt;=AA$5),$K20,0)+IF(AND($C20&gt;0,$C20&gt;=AA$4,$C20&lt;=AA$5),$I20+$J20,0)</s:f>
        <s:v>0</s:v>
      </s:c>
      <s:c r="AB20" s="16">
        <s:f>IF(AND($C20&gt;0,$C20&lt;=AB$5,$D20&gt;=AB$4),$E20*(1+$F20*(AB$4&gt;=$G20))*'Key Assumptions'!$H$12+$H20+IF($M20="Straight-line",$N20,0),0)+IF(AND($M20="Upfront",$C20&gt;=AB$4,$C20&lt;=AB$5),$K20,0)+IF(AND($C20&gt;0,$C20&gt;=AB$4,$C20&lt;=AB$5),$I20+$J20,0)</s:f>
        <s:v>0</s:v>
      </s:c>
      <s:c r="AC20" s="71">
        <s:f>SUM(Q20:AB20)</s:f>
        <s:v>0</s:v>
      </s:c>
      <s:c r="AD20" s="83">
        <s:f>IF($D20&gt;0,$E20*MAX(0,(YEAR($D20)-2027)*12+(MONTH($D20)-12)),0)</s:f>
        <s:v>0</s:v>
      </s:c>
      <s:c r="AE20" s="84">
        <s:f>IF('Key Assumptions'!B78="","",IF($D20&lt;DATE(2027,12,31),"EXPIRED",IF($D20-DATE(2027,12,31)&lt;=90,"RED &lt;90d",IF($D20-DATE(2027,12,31)&lt;=180,"YELLOW &lt;180d","GREEN"))))</s:f>
      </s:c>
    </s:row>
    <s:row r="21">
      <s:c r="A21" s="78">
        <s:f>'Key Assumptions'!A79</s:f>
        <s:v>14</s:v>
      </s:c>
      <s:c r="B21" s="26">
        <s:f>'Key Assumptions'!B79</s:f>
        <s:v>0</s:v>
      </s:c>
      <s:c r="C21" s="79">
        <s:f>IF('Key Assumptions'!H79="",0,EDATE('Key Assumptions'!H79,'Key Assumptions'!$I$12))</s:f>
        <s:v>0</s:v>
      </s:c>
      <s:c r="D21" s="79">
        <s:f>IF('Key Assumptions'!I79="",0,'Key Assumptions'!I79)</s:f>
        <s:v>0</s:v>
      </s:c>
      <s:c r="E21" s="16">
        <s:f>N('Key Assumptions'!J79)</s:f>
        <s:v>0</s:v>
      </s:c>
      <s:c r="F21" s="80">
        <s:f>N('Key Assumptions'!K79)</s:f>
        <s:v>0</s:v>
      </s:c>
      <s:c r="G21" s="79">
        <s:f>IF('Key Assumptions'!L79="",0,'Key Assumptions'!L79)</s:f>
        <s:v>0</s:v>
      </s:c>
      <s:c r="H21" s="16">
        <s:f>IF('Key Assumptions'!R79="",IF(E21&gt;0,E21*'Key Assumptions'!$B$61,0),'Key Assumptions'!R79)</s:f>
        <s:v>0</s:v>
      </s:c>
      <s:c r="I21" s="16">
        <s:f>N('Key Assumptions'!M79)</s:f>
        <s:v>0</s:v>
      </s:c>
      <s:c r="J21" s="16">
        <s:f>N('Key Assumptions'!N79)</s:f>
        <s:v>0</s:v>
      </s:c>
      <s:c r="K21" s="16">
        <s:f>N('Key Assumptions'!O79)</s:f>
        <s:v>0</s:v>
      </s:c>
      <s:c r="L21" s="81">
        <s:f>N('Key Assumptions'!P79)</s:f>
        <s:v>0</s:v>
      </s:c>
      <s:c r="M21" s="82" t="str">
        <s:f>IF('Key Assumptions'!Q79="",'Key Assumptions'!$B$60,'Key Assumptions'!Q79)</s:f>
        <s:v>Straight-line</s:v>
      </s:c>
      <s:c r="N21" s="16">
        <s:f>IF($M21="Straight-line",IFERROR($K21/($L21*12),0),0)</s:f>
        <s:v>0</s:v>
      </s:c>
      <s:c r="Q21" s="16">
        <s:f>IF(AND($C21&gt;0,$C21&lt;=Q$5,$D21&gt;=Q$4),$E21*(1+$F21*(Q$4&gt;=$G21))*'Key Assumptions'!$H$12+$H21+IF($M21="Straight-line",$N21,0),0)+IF(AND($M21="Upfront",$C21&gt;=Q$4,$C21&lt;=Q$5),$K21,0)+IF(AND($C21&gt;0,$C21&gt;=Q$4,$C21&lt;=Q$5),$I21+$J21,0)</s:f>
        <s:v>0</s:v>
      </s:c>
      <s:c r="R21" s="16">
        <s:f>IF(AND($C21&gt;0,$C21&lt;=R$5,$D21&gt;=R$4),$E21*(1+$F21*(R$4&gt;=$G21))*'Key Assumptions'!$H$12+$H21+IF($M21="Straight-line",$N21,0),0)+IF(AND($M21="Upfront",$C21&gt;=R$4,$C21&lt;=R$5),$K21,0)+IF(AND($C21&gt;0,$C21&gt;=R$4,$C21&lt;=R$5),$I21+$J21,0)</s:f>
        <s:v>0</s:v>
      </s:c>
      <s:c r="S21" s="16">
        <s:f>IF(AND($C21&gt;0,$C21&lt;=S$5,$D21&gt;=S$4),$E21*(1+$F21*(S$4&gt;=$G21))*'Key Assumptions'!$H$12+$H21+IF($M21="Straight-line",$N21,0),0)+IF(AND($M21="Upfront",$C21&gt;=S$4,$C21&lt;=S$5),$K21,0)+IF(AND($C21&gt;0,$C21&gt;=S$4,$C21&lt;=S$5),$I21+$J21,0)</s:f>
        <s:v>0</s:v>
      </s:c>
      <s:c r="T21" s="16">
        <s:f>IF(AND($C21&gt;0,$C21&lt;=T$5,$D21&gt;=T$4),$E21*(1+$F21*(T$4&gt;=$G21))*'Key Assumptions'!$H$12+$H21+IF($M21="Straight-line",$N21,0),0)+IF(AND($M21="Upfront",$C21&gt;=T$4,$C21&lt;=T$5),$K21,0)+IF(AND($C21&gt;0,$C21&gt;=T$4,$C21&lt;=T$5),$I21+$J21,0)</s:f>
        <s:v>0</s:v>
      </s:c>
      <s:c r="U21" s="16">
        <s:f>IF(AND($C21&gt;0,$C21&lt;=U$5,$D21&gt;=U$4),$E21*(1+$F21*(U$4&gt;=$G21))*'Key Assumptions'!$H$12+$H21+IF($M21="Straight-line",$N21,0),0)+IF(AND($M21="Upfront",$C21&gt;=U$4,$C21&lt;=U$5),$K21,0)+IF(AND($C21&gt;0,$C21&gt;=U$4,$C21&lt;=U$5),$I21+$J21,0)</s:f>
        <s:v>0</s:v>
      </s:c>
      <s:c r="V21" s="16">
        <s:f>IF(AND($C21&gt;0,$C21&lt;=V$5,$D21&gt;=V$4),$E21*(1+$F21*(V$4&gt;=$G21))*'Key Assumptions'!$H$12+$H21+IF($M21="Straight-line",$N21,0),0)+IF(AND($M21="Upfront",$C21&gt;=V$4,$C21&lt;=V$5),$K21,0)+IF(AND($C21&gt;0,$C21&gt;=V$4,$C21&lt;=V$5),$I21+$J21,0)</s:f>
        <s:v>0</s:v>
      </s:c>
      <s:c r="W21" s="16">
        <s:f>IF(AND($C21&gt;0,$C21&lt;=W$5,$D21&gt;=W$4),$E21*(1+$F21*(W$4&gt;=$G21))*'Key Assumptions'!$H$12+$H21+IF($M21="Straight-line",$N21,0),0)+IF(AND($M21="Upfront",$C21&gt;=W$4,$C21&lt;=W$5),$K21,0)+IF(AND($C21&gt;0,$C21&gt;=W$4,$C21&lt;=W$5),$I21+$J21,0)</s:f>
        <s:v>0</s:v>
      </s:c>
      <s:c r="X21" s="16">
        <s:f>IF(AND($C21&gt;0,$C21&lt;=X$5,$D21&gt;=X$4),$E21*(1+$F21*(X$4&gt;=$G21))*'Key Assumptions'!$H$12+$H21+IF($M21="Straight-line",$N21,0),0)+IF(AND($M21="Upfront",$C21&gt;=X$4,$C21&lt;=X$5),$K21,0)+IF(AND($C21&gt;0,$C21&gt;=X$4,$C21&lt;=X$5),$I21+$J21,0)</s:f>
        <s:v>0</s:v>
      </s:c>
      <s:c r="Y21" s="16">
        <s:f>IF(AND($C21&gt;0,$C21&lt;=Y$5,$D21&gt;=Y$4),$E21*(1+$F21*(Y$4&gt;=$G21))*'Key Assumptions'!$H$12+$H21+IF($M21="Straight-line",$N21,0),0)+IF(AND($M21="Upfront",$C21&gt;=Y$4,$C21&lt;=Y$5),$K21,0)+IF(AND($C21&gt;0,$C21&gt;=Y$4,$C21&lt;=Y$5),$I21+$J21,0)</s:f>
        <s:v>0</s:v>
      </s:c>
      <s:c r="Z21" s="16">
        <s:f>IF(AND($C21&gt;0,$C21&lt;=Z$5,$D21&gt;=Z$4),$E21*(1+$F21*(Z$4&gt;=$G21))*'Key Assumptions'!$H$12+$H21+IF($M21="Straight-line",$N21,0),0)+IF(AND($M21="Upfront",$C21&gt;=Z$4,$C21&lt;=Z$5),$K21,0)+IF(AND($C21&gt;0,$C21&gt;=Z$4,$C21&lt;=Z$5),$I21+$J21,0)</s:f>
        <s:v>0</s:v>
      </s:c>
      <s:c r="AA21" s="16">
        <s:f>IF(AND($C21&gt;0,$C21&lt;=AA$5,$D21&gt;=AA$4),$E21*(1+$F21*(AA$4&gt;=$G21))*'Key Assumptions'!$H$12+$H21+IF($M21="Straight-line",$N21,0),0)+IF(AND($M21="Upfront",$C21&gt;=AA$4,$C21&lt;=AA$5),$K21,0)+IF(AND($C21&gt;0,$C21&gt;=AA$4,$C21&lt;=AA$5),$I21+$J21,0)</s:f>
        <s:v>0</s:v>
      </s:c>
      <s:c r="AB21" s="16">
        <s:f>IF(AND($C21&gt;0,$C21&lt;=AB$5,$D21&gt;=AB$4),$E21*(1+$F21*(AB$4&gt;=$G21))*'Key Assumptions'!$H$12+$H21+IF($M21="Straight-line",$N21,0),0)+IF(AND($M21="Upfront",$C21&gt;=AB$4,$C21&lt;=AB$5),$K21,0)+IF(AND($C21&gt;0,$C21&gt;=AB$4,$C21&lt;=AB$5),$I21+$J21,0)</s:f>
        <s:v>0</s:v>
      </s:c>
      <s:c r="AC21" s="71">
        <s:f>SUM(Q21:AB21)</s:f>
        <s:v>0</s:v>
      </s:c>
      <s:c r="AD21" s="83">
        <s:f>IF($D21&gt;0,$E21*MAX(0,(YEAR($D21)-2027)*12+(MONTH($D21)-12)),0)</s:f>
        <s:v>0</s:v>
      </s:c>
      <s:c r="AE21" s="84">
        <s:f>IF('Key Assumptions'!B79="","",IF($D21&lt;DATE(2027,12,31),"EXPIRED",IF($D21-DATE(2027,12,31)&lt;=90,"RED &lt;90d",IF($D21-DATE(2027,12,31)&lt;=180,"YELLOW &lt;180d","GREEN"))))</s:f>
      </s:c>
    </s:row>
    <s:row r="22">
      <s:c r="A22" s="78">
        <s:f>'Key Assumptions'!A80</s:f>
        <s:v>15</s:v>
      </s:c>
      <s:c r="B22" s="26">
        <s:f>'Key Assumptions'!B80</s:f>
        <s:v>0</s:v>
      </s:c>
      <s:c r="C22" s="79">
        <s:f>IF('Key Assumptions'!H80="",0,EDATE('Key Assumptions'!H80,'Key Assumptions'!$I$12))</s:f>
        <s:v>0</s:v>
      </s:c>
      <s:c r="D22" s="79">
        <s:f>IF('Key Assumptions'!I80="",0,'Key Assumptions'!I80)</s:f>
        <s:v>0</s:v>
      </s:c>
      <s:c r="E22" s="16">
        <s:f>N('Key Assumptions'!J80)</s:f>
        <s:v>0</s:v>
      </s:c>
      <s:c r="F22" s="80">
        <s:f>N('Key Assumptions'!K80)</s:f>
        <s:v>0</s:v>
      </s:c>
      <s:c r="G22" s="79">
        <s:f>IF('Key Assumptions'!L80="",0,'Key Assumptions'!L80)</s:f>
        <s:v>0</s:v>
      </s:c>
      <s:c r="H22" s="16">
        <s:f>IF('Key Assumptions'!R80="",IF(E22&gt;0,E22*'Key Assumptions'!$B$61,0),'Key Assumptions'!R80)</s:f>
        <s:v>0</s:v>
      </s:c>
      <s:c r="I22" s="16">
        <s:f>N('Key Assumptions'!M80)</s:f>
        <s:v>0</s:v>
      </s:c>
      <s:c r="J22" s="16">
        <s:f>N('Key Assumptions'!N80)</s:f>
        <s:v>0</s:v>
      </s:c>
      <s:c r="K22" s="16">
        <s:f>N('Key Assumptions'!O80)</s:f>
        <s:v>0</s:v>
      </s:c>
      <s:c r="L22" s="81">
        <s:f>N('Key Assumptions'!P80)</s:f>
        <s:v>0</s:v>
      </s:c>
      <s:c r="M22" s="82" t="str">
        <s:f>IF('Key Assumptions'!Q80="",'Key Assumptions'!$B$60,'Key Assumptions'!Q80)</s:f>
        <s:v>Straight-line</s:v>
      </s:c>
      <s:c r="N22" s="16">
        <s:f>IF($M22="Straight-line",IFERROR($K22/($L22*12),0),0)</s:f>
        <s:v>0</s:v>
      </s:c>
      <s:c r="Q22" s="16">
        <s:f>IF(AND($C22&gt;0,$C22&lt;=Q$5,$D22&gt;=Q$4),$E22*(1+$F22*(Q$4&gt;=$G22))*'Key Assumptions'!$H$12+$H22+IF($M22="Straight-line",$N22,0),0)+IF(AND($M22="Upfront",$C22&gt;=Q$4,$C22&lt;=Q$5),$K22,0)+IF(AND($C22&gt;0,$C22&gt;=Q$4,$C22&lt;=Q$5),$I22+$J22,0)</s:f>
        <s:v>0</s:v>
      </s:c>
      <s:c r="R22" s="16">
        <s:f>IF(AND($C22&gt;0,$C22&lt;=R$5,$D22&gt;=R$4),$E22*(1+$F22*(R$4&gt;=$G22))*'Key Assumptions'!$H$12+$H22+IF($M22="Straight-line",$N22,0),0)+IF(AND($M22="Upfront",$C22&gt;=R$4,$C22&lt;=R$5),$K22,0)+IF(AND($C22&gt;0,$C22&gt;=R$4,$C22&lt;=R$5),$I22+$J22,0)</s:f>
        <s:v>0</s:v>
      </s:c>
      <s:c r="S22" s="16">
        <s:f>IF(AND($C22&gt;0,$C22&lt;=S$5,$D22&gt;=S$4),$E22*(1+$F22*(S$4&gt;=$G22))*'Key Assumptions'!$H$12+$H22+IF($M22="Straight-line",$N22,0),0)+IF(AND($M22="Upfront",$C22&gt;=S$4,$C22&lt;=S$5),$K22,0)+IF(AND($C22&gt;0,$C22&gt;=S$4,$C22&lt;=S$5),$I22+$J22,0)</s:f>
        <s:v>0</s:v>
      </s:c>
      <s:c r="T22" s="16">
        <s:f>IF(AND($C22&gt;0,$C22&lt;=T$5,$D22&gt;=T$4),$E22*(1+$F22*(T$4&gt;=$G22))*'Key Assumptions'!$H$12+$H22+IF($M22="Straight-line",$N22,0),0)+IF(AND($M22="Upfront",$C22&gt;=T$4,$C22&lt;=T$5),$K22,0)+IF(AND($C22&gt;0,$C22&gt;=T$4,$C22&lt;=T$5),$I22+$J22,0)</s:f>
        <s:v>0</s:v>
      </s:c>
      <s:c r="U22" s="16">
        <s:f>IF(AND($C22&gt;0,$C22&lt;=U$5,$D22&gt;=U$4),$E22*(1+$F22*(U$4&gt;=$G22))*'Key Assumptions'!$H$12+$H22+IF($M22="Straight-line",$N22,0),0)+IF(AND($M22="Upfront",$C22&gt;=U$4,$C22&lt;=U$5),$K22,0)+IF(AND($C22&gt;0,$C22&gt;=U$4,$C22&lt;=U$5),$I22+$J22,0)</s:f>
        <s:v>0</s:v>
      </s:c>
      <s:c r="V22" s="16">
        <s:f>IF(AND($C22&gt;0,$C22&lt;=V$5,$D22&gt;=V$4),$E22*(1+$F22*(V$4&gt;=$G22))*'Key Assumptions'!$H$12+$H22+IF($M22="Straight-line",$N22,0),0)+IF(AND($M22="Upfront",$C22&gt;=V$4,$C22&lt;=V$5),$K22,0)+IF(AND($C22&gt;0,$C22&gt;=V$4,$C22&lt;=V$5),$I22+$J22,0)</s:f>
        <s:v>0</s:v>
      </s:c>
      <s:c r="W22" s="16">
        <s:f>IF(AND($C22&gt;0,$C22&lt;=W$5,$D22&gt;=W$4),$E22*(1+$F22*(W$4&gt;=$G22))*'Key Assumptions'!$H$12+$H22+IF($M22="Straight-line",$N22,0),0)+IF(AND($M22="Upfront",$C22&gt;=W$4,$C22&lt;=W$5),$K22,0)+IF(AND($C22&gt;0,$C22&gt;=W$4,$C22&lt;=W$5),$I22+$J22,0)</s:f>
        <s:v>0</s:v>
      </s:c>
      <s:c r="X22" s="16">
        <s:f>IF(AND($C22&gt;0,$C22&lt;=X$5,$D22&gt;=X$4),$E22*(1+$F22*(X$4&gt;=$G22))*'Key Assumptions'!$H$12+$H22+IF($M22="Straight-line",$N22,0),0)+IF(AND($M22="Upfront",$C22&gt;=X$4,$C22&lt;=X$5),$K22,0)+IF(AND($C22&gt;0,$C22&gt;=X$4,$C22&lt;=X$5),$I22+$J22,0)</s:f>
        <s:v>0</s:v>
      </s:c>
      <s:c r="Y22" s="16">
        <s:f>IF(AND($C22&gt;0,$C22&lt;=Y$5,$D22&gt;=Y$4),$E22*(1+$F22*(Y$4&gt;=$G22))*'Key Assumptions'!$H$12+$H22+IF($M22="Straight-line",$N22,0),0)+IF(AND($M22="Upfront",$C22&gt;=Y$4,$C22&lt;=Y$5),$K22,0)+IF(AND($C22&gt;0,$C22&gt;=Y$4,$C22&lt;=Y$5),$I22+$J22,0)</s:f>
        <s:v>0</s:v>
      </s:c>
      <s:c r="Z22" s="16">
        <s:f>IF(AND($C22&gt;0,$C22&lt;=Z$5,$D22&gt;=Z$4),$E22*(1+$F22*(Z$4&gt;=$G22))*'Key Assumptions'!$H$12+$H22+IF($M22="Straight-line",$N22,0),0)+IF(AND($M22="Upfront",$C22&gt;=Z$4,$C22&lt;=Z$5),$K22,0)+IF(AND($C22&gt;0,$C22&gt;=Z$4,$C22&lt;=Z$5),$I22+$J22,0)</s:f>
        <s:v>0</s:v>
      </s:c>
      <s:c r="AA22" s="16">
        <s:f>IF(AND($C22&gt;0,$C22&lt;=AA$5,$D22&gt;=AA$4),$E22*(1+$F22*(AA$4&gt;=$G22))*'Key Assumptions'!$H$12+$H22+IF($M22="Straight-line",$N22,0),0)+IF(AND($M22="Upfront",$C22&gt;=AA$4,$C22&lt;=AA$5),$K22,0)+IF(AND($C22&gt;0,$C22&gt;=AA$4,$C22&lt;=AA$5),$I22+$J22,0)</s:f>
        <s:v>0</s:v>
      </s:c>
      <s:c r="AB22" s="16">
        <s:f>IF(AND($C22&gt;0,$C22&lt;=AB$5,$D22&gt;=AB$4),$E22*(1+$F22*(AB$4&gt;=$G22))*'Key Assumptions'!$H$12+$H22+IF($M22="Straight-line",$N22,0),0)+IF(AND($M22="Upfront",$C22&gt;=AB$4,$C22&lt;=AB$5),$K22,0)+IF(AND($C22&gt;0,$C22&gt;=AB$4,$C22&lt;=AB$5),$I22+$J22,0)</s:f>
        <s:v>0</s:v>
      </s:c>
      <s:c r="AC22" s="71">
        <s:f>SUM(Q22:AB22)</s:f>
        <s:v>0</s:v>
      </s:c>
      <s:c r="AD22" s="83">
        <s:f>IF($D22&gt;0,$E22*MAX(0,(YEAR($D22)-2027)*12+(MONTH($D22)-12)),0)</s:f>
        <s:v>0</s:v>
      </s:c>
      <s:c r="AE22" s="84">
        <s:f>IF('Key Assumptions'!B80="","",IF($D22&lt;DATE(2027,12,31),"EXPIRED",IF($D22-DATE(2027,12,31)&lt;=90,"RED &lt;90d",IF($D22-DATE(2027,12,31)&lt;=180,"YELLOW &lt;180d","GREEN"))))</s:f>
      </s:c>
    </s:row>
    <s:row r="23">
      <s:c r="A23" s="78">
        <s:f>'Key Assumptions'!A81</s:f>
        <s:v>16</s:v>
      </s:c>
      <s:c r="B23" s="26">
        <s:f>'Key Assumptions'!B81</s:f>
        <s:v>0</s:v>
      </s:c>
      <s:c r="C23" s="79">
        <s:f>IF('Key Assumptions'!H81="",0,EDATE('Key Assumptions'!H81,'Key Assumptions'!$I$12))</s:f>
        <s:v>0</s:v>
      </s:c>
      <s:c r="D23" s="79">
        <s:f>IF('Key Assumptions'!I81="",0,'Key Assumptions'!I81)</s:f>
        <s:v>0</s:v>
      </s:c>
      <s:c r="E23" s="16">
        <s:f>N('Key Assumptions'!J81)</s:f>
        <s:v>0</s:v>
      </s:c>
      <s:c r="F23" s="80">
        <s:f>N('Key Assumptions'!K81)</s:f>
        <s:v>0</s:v>
      </s:c>
      <s:c r="G23" s="79">
        <s:f>IF('Key Assumptions'!L81="",0,'Key Assumptions'!L81)</s:f>
        <s:v>0</s:v>
      </s:c>
      <s:c r="H23" s="16">
        <s:f>IF('Key Assumptions'!R81="",IF(E23&gt;0,E23*'Key Assumptions'!$B$61,0),'Key Assumptions'!R81)</s:f>
        <s:v>0</s:v>
      </s:c>
      <s:c r="I23" s="16">
        <s:f>N('Key Assumptions'!M81)</s:f>
        <s:v>0</s:v>
      </s:c>
      <s:c r="J23" s="16">
        <s:f>N('Key Assumptions'!N81)</s:f>
        <s:v>0</s:v>
      </s:c>
      <s:c r="K23" s="16">
        <s:f>N('Key Assumptions'!O81)</s:f>
        <s:v>0</s:v>
      </s:c>
      <s:c r="L23" s="81">
        <s:f>N('Key Assumptions'!P81)</s:f>
        <s:v>0</s:v>
      </s:c>
      <s:c r="M23" s="82" t="str">
        <s:f>IF('Key Assumptions'!Q81="",'Key Assumptions'!$B$60,'Key Assumptions'!Q81)</s:f>
        <s:v>Straight-line</s:v>
      </s:c>
      <s:c r="N23" s="16">
        <s:f>IF($M23="Straight-line",IFERROR($K23/($L23*12),0),0)</s:f>
        <s:v>0</s:v>
      </s:c>
      <s:c r="Q23" s="16">
        <s:f>IF(AND($C23&gt;0,$C23&lt;=Q$5,$D23&gt;=Q$4),$E23*(1+$F23*(Q$4&gt;=$G23))*'Key Assumptions'!$H$12+$H23+IF($M23="Straight-line",$N23,0),0)+IF(AND($M23="Upfront",$C23&gt;=Q$4,$C23&lt;=Q$5),$K23,0)+IF(AND($C23&gt;0,$C23&gt;=Q$4,$C23&lt;=Q$5),$I23+$J23,0)</s:f>
        <s:v>0</s:v>
      </s:c>
      <s:c r="R23" s="16">
        <s:f>IF(AND($C23&gt;0,$C23&lt;=R$5,$D23&gt;=R$4),$E23*(1+$F23*(R$4&gt;=$G23))*'Key Assumptions'!$H$12+$H23+IF($M23="Straight-line",$N23,0),0)+IF(AND($M23="Upfront",$C23&gt;=R$4,$C23&lt;=R$5),$K23,0)+IF(AND($C23&gt;0,$C23&gt;=R$4,$C23&lt;=R$5),$I23+$J23,0)</s:f>
        <s:v>0</s:v>
      </s:c>
      <s:c r="S23" s="16">
        <s:f>IF(AND($C23&gt;0,$C23&lt;=S$5,$D23&gt;=S$4),$E23*(1+$F23*(S$4&gt;=$G23))*'Key Assumptions'!$H$12+$H23+IF($M23="Straight-line",$N23,0),0)+IF(AND($M23="Upfront",$C23&gt;=S$4,$C23&lt;=S$5),$K23,0)+IF(AND($C23&gt;0,$C23&gt;=S$4,$C23&lt;=S$5),$I23+$J23,0)</s:f>
        <s:v>0</s:v>
      </s:c>
      <s:c r="T23" s="16">
        <s:f>IF(AND($C23&gt;0,$C23&lt;=T$5,$D23&gt;=T$4),$E23*(1+$F23*(T$4&gt;=$G23))*'Key Assumptions'!$H$12+$H23+IF($M23="Straight-line",$N23,0),0)+IF(AND($M23="Upfront",$C23&gt;=T$4,$C23&lt;=T$5),$K23,0)+IF(AND($C23&gt;0,$C23&gt;=T$4,$C23&lt;=T$5),$I23+$J23,0)</s:f>
        <s:v>0</s:v>
      </s:c>
      <s:c r="U23" s="16">
        <s:f>IF(AND($C23&gt;0,$C23&lt;=U$5,$D23&gt;=U$4),$E23*(1+$F23*(U$4&gt;=$G23))*'Key Assumptions'!$H$12+$H23+IF($M23="Straight-line",$N23,0),0)+IF(AND($M23="Upfront",$C23&gt;=U$4,$C23&lt;=U$5),$K23,0)+IF(AND($C23&gt;0,$C23&gt;=U$4,$C23&lt;=U$5),$I23+$J23,0)</s:f>
        <s:v>0</s:v>
      </s:c>
      <s:c r="V23" s="16">
        <s:f>IF(AND($C23&gt;0,$C23&lt;=V$5,$D23&gt;=V$4),$E23*(1+$F23*(V$4&gt;=$G23))*'Key Assumptions'!$H$12+$H23+IF($M23="Straight-line",$N23,0),0)+IF(AND($M23="Upfront",$C23&gt;=V$4,$C23&lt;=V$5),$K23,0)+IF(AND($C23&gt;0,$C23&gt;=V$4,$C23&lt;=V$5),$I23+$J23,0)</s:f>
        <s:v>0</s:v>
      </s:c>
      <s:c r="W23" s="16">
        <s:f>IF(AND($C23&gt;0,$C23&lt;=W$5,$D23&gt;=W$4),$E23*(1+$F23*(W$4&gt;=$G23))*'Key Assumptions'!$H$12+$H23+IF($M23="Straight-line",$N23,0),0)+IF(AND($M23="Upfront",$C23&gt;=W$4,$C23&lt;=W$5),$K23,0)+IF(AND($C23&gt;0,$C23&gt;=W$4,$C23&lt;=W$5),$I23+$J23,0)</s:f>
        <s:v>0</s:v>
      </s:c>
      <s:c r="X23" s="16">
        <s:f>IF(AND($C23&gt;0,$C23&lt;=X$5,$D23&gt;=X$4),$E23*(1+$F23*(X$4&gt;=$G23))*'Key Assumptions'!$H$12+$H23+IF($M23="Straight-line",$N23,0),0)+IF(AND($M23="Upfront",$C23&gt;=X$4,$C23&lt;=X$5),$K23,0)+IF(AND($C23&gt;0,$C23&gt;=X$4,$C23&lt;=X$5),$I23+$J23,0)</s:f>
        <s:v>0</s:v>
      </s:c>
      <s:c r="Y23" s="16">
        <s:f>IF(AND($C23&gt;0,$C23&lt;=Y$5,$D23&gt;=Y$4),$E23*(1+$F23*(Y$4&gt;=$G23))*'Key Assumptions'!$H$12+$H23+IF($M23="Straight-line",$N23,0),0)+IF(AND($M23="Upfront",$C23&gt;=Y$4,$C23&lt;=Y$5),$K23,0)+IF(AND($C23&gt;0,$C23&gt;=Y$4,$C23&lt;=Y$5),$I23+$J23,0)</s:f>
        <s:v>0</s:v>
      </s:c>
      <s:c r="Z23" s="16">
        <s:f>IF(AND($C23&gt;0,$C23&lt;=Z$5,$D23&gt;=Z$4),$E23*(1+$F23*(Z$4&gt;=$G23))*'Key Assumptions'!$H$12+$H23+IF($M23="Straight-line",$N23,0),0)+IF(AND($M23="Upfront",$C23&gt;=Z$4,$C23&lt;=Z$5),$K23,0)+IF(AND($C23&gt;0,$C23&gt;=Z$4,$C23&lt;=Z$5),$I23+$J23,0)</s:f>
        <s:v>0</s:v>
      </s:c>
      <s:c r="AA23" s="16">
        <s:f>IF(AND($C23&gt;0,$C23&lt;=AA$5,$D23&gt;=AA$4),$E23*(1+$F23*(AA$4&gt;=$G23))*'Key Assumptions'!$H$12+$H23+IF($M23="Straight-line",$N23,0),0)+IF(AND($M23="Upfront",$C23&gt;=AA$4,$C23&lt;=AA$5),$K23,0)+IF(AND($C23&gt;0,$C23&gt;=AA$4,$C23&lt;=AA$5),$I23+$J23,0)</s:f>
        <s:v>0</s:v>
      </s:c>
      <s:c r="AB23" s="16">
        <s:f>IF(AND($C23&gt;0,$C23&lt;=AB$5,$D23&gt;=AB$4),$E23*(1+$F23*(AB$4&gt;=$G23))*'Key Assumptions'!$H$12+$H23+IF($M23="Straight-line",$N23,0),0)+IF(AND($M23="Upfront",$C23&gt;=AB$4,$C23&lt;=AB$5),$K23,0)+IF(AND($C23&gt;0,$C23&gt;=AB$4,$C23&lt;=AB$5),$I23+$J23,0)</s:f>
        <s:v>0</s:v>
      </s:c>
      <s:c r="AC23" s="71">
        <s:f>SUM(Q23:AB23)</s:f>
        <s:v>0</s:v>
      </s:c>
      <s:c r="AD23" s="83">
        <s:f>IF($D23&gt;0,$E23*MAX(0,(YEAR($D23)-2027)*12+(MONTH($D23)-12)),0)</s:f>
        <s:v>0</s:v>
      </s:c>
      <s:c r="AE23" s="84">
        <s:f>IF('Key Assumptions'!B81="","",IF($D23&lt;DATE(2027,12,31),"EXPIRED",IF($D23-DATE(2027,12,31)&lt;=90,"RED &lt;90d",IF($D23-DATE(2027,12,31)&lt;=180,"YELLOW &lt;180d","GREEN"))))</s:f>
      </s:c>
    </s:row>
    <s:row r="24">
      <s:c r="A24" s="78">
        <s:f>'Key Assumptions'!A82</s:f>
        <s:v>17</s:v>
      </s:c>
      <s:c r="B24" s="26">
        <s:f>'Key Assumptions'!B82</s:f>
        <s:v>0</s:v>
      </s:c>
      <s:c r="C24" s="79">
        <s:f>IF('Key Assumptions'!H82="",0,EDATE('Key Assumptions'!H82,'Key Assumptions'!$I$12))</s:f>
        <s:v>0</s:v>
      </s:c>
      <s:c r="D24" s="79">
        <s:f>IF('Key Assumptions'!I82="",0,'Key Assumptions'!I82)</s:f>
        <s:v>0</s:v>
      </s:c>
      <s:c r="E24" s="16">
        <s:f>N('Key Assumptions'!J82)</s:f>
        <s:v>0</s:v>
      </s:c>
      <s:c r="F24" s="80">
        <s:f>N('Key Assumptions'!K82)</s:f>
        <s:v>0</s:v>
      </s:c>
      <s:c r="G24" s="79">
        <s:f>IF('Key Assumptions'!L82="",0,'Key Assumptions'!L82)</s:f>
        <s:v>0</s:v>
      </s:c>
      <s:c r="H24" s="16">
        <s:f>IF('Key Assumptions'!R82="",IF(E24&gt;0,E24*'Key Assumptions'!$B$61,0),'Key Assumptions'!R82)</s:f>
        <s:v>0</s:v>
      </s:c>
      <s:c r="I24" s="16">
        <s:f>N('Key Assumptions'!M82)</s:f>
        <s:v>0</s:v>
      </s:c>
      <s:c r="J24" s="16">
        <s:f>N('Key Assumptions'!N82)</s:f>
        <s:v>0</s:v>
      </s:c>
      <s:c r="K24" s="16">
        <s:f>N('Key Assumptions'!O82)</s:f>
        <s:v>0</s:v>
      </s:c>
      <s:c r="L24" s="81">
        <s:f>N('Key Assumptions'!P82)</s:f>
        <s:v>0</s:v>
      </s:c>
      <s:c r="M24" s="82" t="str">
        <s:f>IF('Key Assumptions'!Q82="",'Key Assumptions'!$B$60,'Key Assumptions'!Q82)</s:f>
        <s:v>Straight-line</s:v>
      </s:c>
      <s:c r="N24" s="16">
        <s:f>IF($M24="Straight-line",IFERROR($K24/($L24*12),0),0)</s:f>
        <s:v>0</s:v>
      </s:c>
      <s:c r="Q24" s="16">
        <s:f>IF(AND($C24&gt;0,$C24&lt;=Q$5,$D24&gt;=Q$4),$E24*(1+$F24*(Q$4&gt;=$G24))*'Key Assumptions'!$H$12+$H24+IF($M24="Straight-line",$N24,0),0)+IF(AND($M24="Upfront",$C24&gt;=Q$4,$C24&lt;=Q$5),$K24,0)+IF(AND($C24&gt;0,$C24&gt;=Q$4,$C24&lt;=Q$5),$I24+$J24,0)</s:f>
        <s:v>0</s:v>
      </s:c>
      <s:c r="R24" s="16">
        <s:f>IF(AND($C24&gt;0,$C24&lt;=R$5,$D24&gt;=R$4),$E24*(1+$F24*(R$4&gt;=$G24))*'Key Assumptions'!$H$12+$H24+IF($M24="Straight-line",$N24,0),0)+IF(AND($M24="Upfront",$C24&gt;=R$4,$C24&lt;=R$5),$K24,0)+IF(AND($C24&gt;0,$C24&gt;=R$4,$C24&lt;=R$5),$I24+$J24,0)</s:f>
        <s:v>0</s:v>
      </s:c>
      <s:c r="S24" s="16">
        <s:f>IF(AND($C24&gt;0,$C24&lt;=S$5,$D24&gt;=S$4),$E24*(1+$F24*(S$4&gt;=$G24))*'Key Assumptions'!$H$12+$H24+IF($M24="Straight-line",$N24,0),0)+IF(AND($M24="Upfront",$C24&gt;=S$4,$C24&lt;=S$5),$K24,0)+IF(AND($C24&gt;0,$C24&gt;=S$4,$C24&lt;=S$5),$I24+$J24,0)</s:f>
        <s:v>0</s:v>
      </s:c>
      <s:c r="T24" s="16">
        <s:f>IF(AND($C24&gt;0,$C24&lt;=T$5,$D24&gt;=T$4),$E24*(1+$F24*(T$4&gt;=$G24))*'Key Assumptions'!$H$12+$H24+IF($M24="Straight-line",$N24,0),0)+IF(AND($M24="Upfront",$C24&gt;=T$4,$C24&lt;=T$5),$K24,0)+IF(AND($C24&gt;0,$C24&gt;=T$4,$C24&lt;=T$5),$I24+$J24,0)</s:f>
        <s:v>0</s:v>
      </s:c>
      <s:c r="U24" s="16">
        <s:f>IF(AND($C24&gt;0,$C24&lt;=U$5,$D24&gt;=U$4),$E24*(1+$F24*(U$4&gt;=$G24))*'Key Assumptions'!$H$12+$H24+IF($M24="Straight-line",$N24,0),0)+IF(AND($M24="Upfront",$C24&gt;=U$4,$C24&lt;=U$5),$K24,0)+IF(AND($C24&gt;0,$C24&gt;=U$4,$C24&lt;=U$5),$I24+$J24,0)</s:f>
        <s:v>0</s:v>
      </s:c>
      <s:c r="V24" s="16">
        <s:f>IF(AND($C24&gt;0,$C24&lt;=V$5,$D24&gt;=V$4),$E24*(1+$F24*(V$4&gt;=$G24))*'Key Assumptions'!$H$12+$H24+IF($M24="Straight-line",$N24,0),0)+IF(AND($M24="Upfront",$C24&gt;=V$4,$C24&lt;=V$5),$K24,0)+IF(AND($C24&gt;0,$C24&gt;=V$4,$C24&lt;=V$5),$I24+$J24,0)</s:f>
        <s:v>0</s:v>
      </s:c>
      <s:c r="W24" s="16">
        <s:f>IF(AND($C24&gt;0,$C24&lt;=W$5,$D24&gt;=W$4),$E24*(1+$F24*(W$4&gt;=$G24))*'Key Assumptions'!$H$12+$H24+IF($M24="Straight-line",$N24,0),0)+IF(AND($M24="Upfront",$C24&gt;=W$4,$C24&lt;=W$5),$K24,0)+IF(AND($C24&gt;0,$C24&gt;=W$4,$C24&lt;=W$5),$I24+$J24,0)</s:f>
        <s:v>0</s:v>
      </s:c>
      <s:c r="X24" s="16">
        <s:f>IF(AND($C24&gt;0,$C24&lt;=X$5,$D24&gt;=X$4),$E24*(1+$F24*(X$4&gt;=$G24))*'Key Assumptions'!$H$12+$H24+IF($M24="Straight-line",$N24,0),0)+IF(AND($M24="Upfront",$C24&gt;=X$4,$C24&lt;=X$5),$K24,0)+IF(AND($C24&gt;0,$C24&gt;=X$4,$C24&lt;=X$5),$I24+$J24,0)</s:f>
        <s:v>0</s:v>
      </s:c>
      <s:c r="Y24" s="16">
        <s:f>IF(AND($C24&gt;0,$C24&lt;=Y$5,$D24&gt;=Y$4),$E24*(1+$F24*(Y$4&gt;=$G24))*'Key Assumptions'!$H$12+$H24+IF($M24="Straight-line",$N24,0),0)+IF(AND($M24="Upfront",$C24&gt;=Y$4,$C24&lt;=Y$5),$K24,0)+IF(AND($C24&gt;0,$C24&gt;=Y$4,$C24&lt;=Y$5),$I24+$J24,0)</s:f>
        <s:v>0</s:v>
      </s:c>
      <s:c r="Z24" s="16">
        <s:f>IF(AND($C24&gt;0,$C24&lt;=Z$5,$D24&gt;=Z$4),$E24*(1+$F24*(Z$4&gt;=$G24))*'Key Assumptions'!$H$12+$H24+IF($M24="Straight-line",$N24,0),0)+IF(AND($M24="Upfront",$C24&gt;=Z$4,$C24&lt;=Z$5),$K24,0)+IF(AND($C24&gt;0,$C24&gt;=Z$4,$C24&lt;=Z$5),$I24+$J24,0)</s:f>
        <s:v>0</s:v>
      </s:c>
      <s:c r="AA24" s="16">
        <s:f>IF(AND($C24&gt;0,$C24&lt;=AA$5,$D24&gt;=AA$4),$E24*(1+$F24*(AA$4&gt;=$G24))*'Key Assumptions'!$H$12+$H24+IF($M24="Straight-line",$N24,0),0)+IF(AND($M24="Upfront",$C24&gt;=AA$4,$C24&lt;=AA$5),$K24,0)+IF(AND($C24&gt;0,$C24&gt;=AA$4,$C24&lt;=AA$5),$I24+$J24,0)</s:f>
        <s:v>0</s:v>
      </s:c>
      <s:c r="AB24" s="16">
        <s:f>IF(AND($C24&gt;0,$C24&lt;=AB$5,$D24&gt;=AB$4),$E24*(1+$F24*(AB$4&gt;=$G24))*'Key Assumptions'!$H$12+$H24+IF($M24="Straight-line",$N24,0),0)+IF(AND($M24="Upfront",$C24&gt;=AB$4,$C24&lt;=AB$5),$K24,0)+IF(AND($C24&gt;0,$C24&gt;=AB$4,$C24&lt;=AB$5),$I24+$J24,0)</s:f>
        <s:v>0</s:v>
      </s:c>
      <s:c r="AC24" s="71">
        <s:f>SUM(Q24:AB24)</s:f>
        <s:v>0</s:v>
      </s:c>
      <s:c r="AD24" s="83">
        <s:f>IF($D24&gt;0,$E24*MAX(0,(YEAR($D24)-2027)*12+(MONTH($D24)-12)),0)</s:f>
        <s:v>0</s:v>
      </s:c>
      <s:c r="AE24" s="84">
        <s:f>IF('Key Assumptions'!B82="","",IF($D24&lt;DATE(2027,12,31),"EXPIRED",IF($D24-DATE(2027,12,31)&lt;=90,"RED &lt;90d",IF($D24-DATE(2027,12,31)&lt;=180,"YELLOW &lt;180d","GREEN"))))</s:f>
      </s:c>
    </s:row>
    <s:row r="25">
      <s:c r="A25" s="78">
        <s:f>'Key Assumptions'!A83</s:f>
        <s:v>18</s:v>
      </s:c>
      <s:c r="B25" s="26">
        <s:f>'Key Assumptions'!B83</s:f>
        <s:v>0</s:v>
      </s:c>
      <s:c r="C25" s="79">
        <s:f>IF('Key Assumptions'!H83="",0,EDATE('Key Assumptions'!H83,'Key Assumptions'!$I$12))</s:f>
        <s:v>0</s:v>
      </s:c>
      <s:c r="D25" s="79">
        <s:f>IF('Key Assumptions'!I83="",0,'Key Assumptions'!I83)</s:f>
        <s:v>0</s:v>
      </s:c>
      <s:c r="E25" s="16">
        <s:f>N('Key Assumptions'!J83)</s:f>
        <s:v>0</s:v>
      </s:c>
      <s:c r="F25" s="80">
        <s:f>N('Key Assumptions'!K83)</s:f>
        <s:v>0</s:v>
      </s:c>
      <s:c r="G25" s="79">
        <s:f>IF('Key Assumptions'!L83="",0,'Key Assumptions'!L83)</s:f>
        <s:v>0</s:v>
      </s:c>
      <s:c r="H25" s="16">
        <s:f>IF('Key Assumptions'!R83="",IF(E25&gt;0,E25*'Key Assumptions'!$B$61,0),'Key Assumptions'!R83)</s:f>
        <s:v>0</s:v>
      </s:c>
      <s:c r="I25" s="16">
        <s:f>N('Key Assumptions'!M83)</s:f>
        <s:v>0</s:v>
      </s:c>
      <s:c r="J25" s="16">
        <s:f>N('Key Assumptions'!N83)</s:f>
        <s:v>0</s:v>
      </s:c>
      <s:c r="K25" s="16">
        <s:f>N('Key Assumptions'!O83)</s:f>
        <s:v>0</s:v>
      </s:c>
      <s:c r="L25" s="81">
        <s:f>N('Key Assumptions'!P83)</s:f>
        <s:v>0</s:v>
      </s:c>
      <s:c r="M25" s="82" t="str">
        <s:f>IF('Key Assumptions'!Q83="",'Key Assumptions'!$B$60,'Key Assumptions'!Q83)</s:f>
        <s:v>Straight-line</s:v>
      </s:c>
      <s:c r="N25" s="16">
        <s:f>IF($M25="Straight-line",IFERROR($K25/($L25*12),0),0)</s:f>
        <s:v>0</s:v>
      </s:c>
      <s:c r="Q25" s="16">
        <s:f>IF(AND($C25&gt;0,$C25&lt;=Q$5,$D25&gt;=Q$4),$E25*(1+$F25*(Q$4&gt;=$G25))*'Key Assumptions'!$H$12+$H25+IF($M25="Straight-line",$N25,0),0)+IF(AND($M25="Upfront",$C25&gt;=Q$4,$C25&lt;=Q$5),$K25,0)+IF(AND($C25&gt;0,$C25&gt;=Q$4,$C25&lt;=Q$5),$I25+$J25,0)</s:f>
        <s:v>0</s:v>
      </s:c>
      <s:c r="R25" s="16">
        <s:f>IF(AND($C25&gt;0,$C25&lt;=R$5,$D25&gt;=R$4),$E25*(1+$F25*(R$4&gt;=$G25))*'Key Assumptions'!$H$12+$H25+IF($M25="Straight-line",$N25,0),0)+IF(AND($M25="Upfront",$C25&gt;=R$4,$C25&lt;=R$5),$K25,0)+IF(AND($C25&gt;0,$C25&gt;=R$4,$C25&lt;=R$5),$I25+$J25,0)</s:f>
        <s:v>0</s:v>
      </s:c>
      <s:c r="S25" s="16">
        <s:f>IF(AND($C25&gt;0,$C25&lt;=S$5,$D25&gt;=S$4),$E25*(1+$F25*(S$4&gt;=$G25))*'Key Assumptions'!$H$12+$H25+IF($M25="Straight-line",$N25,0),0)+IF(AND($M25="Upfront",$C25&gt;=S$4,$C25&lt;=S$5),$K25,0)+IF(AND($C25&gt;0,$C25&gt;=S$4,$C25&lt;=S$5),$I25+$J25,0)</s:f>
        <s:v>0</s:v>
      </s:c>
      <s:c r="T25" s="16">
        <s:f>IF(AND($C25&gt;0,$C25&lt;=T$5,$D25&gt;=T$4),$E25*(1+$F25*(T$4&gt;=$G25))*'Key Assumptions'!$H$12+$H25+IF($M25="Straight-line",$N25,0),0)+IF(AND($M25="Upfront",$C25&gt;=T$4,$C25&lt;=T$5),$K25,0)+IF(AND($C25&gt;0,$C25&gt;=T$4,$C25&lt;=T$5),$I25+$J25,0)</s:f>
        <s:v>0</s:v>
      </s:c>
      <s:c r="U25" s="16">
        <s:f>IF(AND($C25&gt;0,$C25&lt;=U$5,$D25&gt;=U$4),$E25*(1+$F25*(U$4&gt;=$G25))*'Key Assumptions'!$H$12+$H25+IF($M25="Straight-line",$N25,0),0)+IF(AND($M25="Upfront",$C25&gt;=U$4,$C25&lt;=U$5),$K25,0)+IF(AND($C25&gt;0,$C25&gt;=U$4,$C25&lt;=U$5),$I25+$J25,0)</s:f>
        <s:v>0</s:v>
      </s:c>
      <s:c r="V25" s="16">
        <s:f>IF(AND($C25&gt;0,$C25&lt;=V$5,$D25&gt;=V$4),$E25*(1+$F25*(V$4&gt;=$G25))*'Key Assumptions'!$H$12+$H25+IF($M25="Straight-line",$N25,0),0)+IF(AND($M25="Upfront",$C25&gt;=V$4,$C25&lt;=V$5),$K25,0)+IF(AND($C25&gt;0,$C25&gt;=V$4,$C25&lt;=V$5),$I25+$J25,0)</s:f>
        <s:v>0</s:v>
      </s:c>
      <s:c r="W25" s="16">
        <s:f>IF(AND($C25&gt;0,$C25&lt;=W$5,$D25&gt;=W$4),$E25*(1+$F25*(W$4&gt;=$G25))*'Key Assumptions'!$H$12+$H25+IF($M25="Straight-line",$N25,0),0)+IF(AND($M25="Upfront",$C25&gt;=W$4,$C25&lt;=W$5),$K25,0)+IF(AND($C25&gt;0,$C25&gt;=W$4,$C25&lt;=W$5),$I25+$J25,0)</s:f>
        <s:v>0</s:v>
      </s:c>
      <s:c r="X25" s="16">
        <s:f>IF(AND($C25&gt;0,$C25&lt;=X$5,$D25&gt;=X$4),$E25*(1+$F25*(X$4&gt;=$G25))*'Key Assumptions'!$H$12+$H25+IF($M25="Straight-line",$N25,0),0)+IF(AND($M25="Upfront",$C25&gt;=X$4,$C25&lt;=X$5),$K25,0)+IF(AND($C25&gt;0,$C25&gt;=X$4,$C25&lt;=X$5),$I25+$J25,0)</s:f>
        <s:v>0</s:v>
      </s:c>
      <s:c r="Y25" s="16">
        <s:f>IF(AND($C25&gt;0,$C25&lt;=Y$5,$D25&gt;=Y$4),$E25*(1+$F25*(Y$4&gt;=$G25))*'Key Assumptions'!$H$12+$H25+IF($M25="Straight-line",$N25,0),0)+IF(AND($M25="Upfront",$C25&gt;=Y$4,$C25&lt;=Y$5),$K25,0)+IF(AND($C25&gt;0,$C25&gt;=Y$4,$C25&lt;=Y$5),$I25+$J25,0)</s:f>
        <s:v>0</s:v>
      </s:c>
      <s:c r="Z25" s="16">
        <s:f>IF(AND($C25&gt;0,$C25&lt;=Z$5,$D25&gt;=Z$4),$E25*(1+$F25*(Z$4&gt;=$G25))*'Key Assumptions'!$H$12+$H25+IF($M25="Straight-line",$N25,0),0)+IF(AND($M25="Upfront",$C25&gt;=Z$4,$C25&lt;=Z$5),$K25,0)+IF(AND($C25&gt;0,$C25&gt;=Z$4,$C25&lt;=Z$5),$I25+$J25,0)</s:f>
        <s:v>0</s:v>
      </s:c>
      <s:c r="AA25" s="16">
        <s:f>IF(AND($C25&gt;0,$C25&lt;=AA$5,$D25&gt;=AA$4),$E25*(1+$F25*(AA$4&gt;=$G25))*'Key Assumptions'!$H$12+$H25+IF($M25="Straight-line",$N25,0),0)+IF(AND($M25="Upfront",$C25&gt;=AA$4,$C25&lt;=AA$5),$K25,0)+IF(AND($C25&gt;0,$C25&gt;=AA$4,$C25&lt;=AA$5),$I25+$J25,0)</s:f>
        <s:v>0</s:v>
      </s:c>
      <s:c r="AB25" s="16">
        <s:f>IF(AND($C25&gt;0,$C25&lt;=AB$5,$D25&gt;=AB$4),$E25*(1+$F25*(AB$4&gt;=$G25))*'Key Assumptions'!$H$12+$H25+IF($M25="Straight-line",$N25,0),0)+IF(AND($M25="Upfront",$C25&gt;=AB$4,$C25&lt;=AB$5),$K25,0)+IF(AND($C25&gt;0,$C25&gt;=AB$4,$C25&lt;=AB$5),$I25+$J25,0)</s:f>
        <s:v>0</s:v>
      </s:c>
      <s:c r="AC25" s="71">
        <s:f>SUM(Q25:AB25)</s:f>
        <s:v>0</s:v>
      </s:c>
      <s:c r="AD25" s="83">
        <s:f>IF($D25&gt;0,$E25*MAX(0,(YEAR($D25)-2027)*12+(MONTH($D25)-12)),0)</s:f>
        <s:v>0</s:v>
      </s:c>
      <s:c r="AE25" s="84">
        <s:f>IF('Key Assumptions'!B83="","",IF($D25&lt;DATE(2027,12,31),"EXPIRED",IF($D25-DATE(2027,12,31)&lt;=90,"RED &lt;90d",IF($D25-DATE(2027,12,31)&lt;=180,"YELLOW &lt;180d","GREEN"))))</s:f>
      </s:c>
    </s:row>
    <s:row r="26">
      <s:c r="A26" s="78">
        <s:f>'Key Assumptions'!A84</s:f>
        <s:v>19</s:v>
      </s:c>
      <s:c r="B26" s="26">
        <s:f>'Key Assumptions'!B84</s:f>
        <s:v>0</s:v>
      </s:c>
      <s:c r="C26" s="79">
        <s:f>IF('Key Assumptions'!H84="",0,EDATE('Key Assumptions'!H84,'Key Assumptions'!$I$12))</s:f>
        <s:v>0</s:v>
      </s:c>
      <s:c r="D26" s="79">
        <s:f>IF('Key Assumptions'!I84="",0,'Key Assumptions'!I84)</s:f>
        <s:v>0</s:v>
      </s:c>
      <s:c r="E26" s="16">
        <s:f>N('Key Assumptions'!J84)</s:f>
        <s:v>0</s:v>
      </s:c>
      <s:c r="F26" s="80">
        <s:f>N('Key Assumptions'!K84)</s:f>
        <s:v>0</s:v>
      </s:c>
      <s:c r="G26" s="79">
        <s:f>IF('Key Assumptions'!L84="",0,'Key Assumptions'!L84)</s:f>
        <s:v>0</s:v>
      </s:c>
      <s:c r="H26" s="16">
        <s:f>IF('Key Assumptions'!R84="",IF(E26&gt;0,E26*'Key Assumptions'!$B$61,0),'Key Assumptions'!R84)</s:f>
        <s:v>0</s:v>
      </s:c>
      <s:c r="I26" s="16">
        <s:f>N('Key Assumptions'!M84)</s:f>
        <s:v>0</s:v>
      </s:c>
      <s:c r="J26" s="16">
        <s:f>N('Key Assumptions'!N84)</s:f>
        <s:v>0</s:v>
      </s:c>
      <s:c r="K26" s="16">
        <s:f>N('Key Assumptions'!O84)</s:f>
        <s:v>0</s:v>
      </s:c>
      <s:c r="L26" s="81">
        <s:f>N('Key Assumptions'!P84)</s:f>
        <s:v>0</s:v>
      </s:c>
      <s:c r="M26" s="82" t="str">
        <s:f>IF('Key Assumptions'!Q84="",'Key Assumptions'!$B$60,'Key Assumptions'!Q84)</s:f>
        <s:v>Straight-line</s:v>
      </s:c>
      <s:c r="N26" s="16">
        <s:f>IF($M26="Straight-line",IFERROR($K26/($L26*12),0),0)</s:f>
        <s:v>0</s:v>
      </s:c>
      <s:c r="Q26" s="16">
        <s:f>IF(AND($C26&gt;0,$C26&lt;=Q$5,$D26&gt;=Q$4),$E26*(1+$F26*(Q$4&gt;=$G26))*'Key Assumptions'!$H$12+$H26+IF($M26="Straight-line",$N26,0),0)+IF(AND($M26="Upfront",$C26&gt;=Q$4,$C26&lt;=Q$5),$K26,0)+IF(AND($C26&gt;0,$C26&gt;=Q$4,$C26&lt;=Q$5),$I26+$J26,0)</s:f>
        <s:v>0</s:v>
      </s:c>
      <s:c r="R26" s="16">
        <s:f>IF(AND($C26&gt;0,$C26&lt;=R$5,$D26&gt;=R$4),$E26*(1+$F26*(R$4&gt;=$G26))*'Key Assumptions'!$H$12+$H26+IF($M26="Straight-line",$N26,0),0)+IF(AND($M26="Upfront",$C26&gt;=R$4,$C26&lt;=R$5),$K26,0)+IF(AND($C26&gt;0,$C26&gt;=R$4,$C26&lt;=R$5),$I26+$J26,0)</s:f>
        <s:v>0</s:v>
      </s:c>
      <s:c r="S26" s="16">
        <s:f>IF(AND($C26&gt;0,$C26&lt;=S$5,$D26&gt;=S$4),$E26*(1+$F26*(S$4&gt;=$G26))*'Key Assumptions'!$H$12+$H26+IF($M26="Straight-line",$N26,0),0)+IF(AND($M26="Upfront",$C26&gt;=S$4,$C26&lt;=S$5),$K26,0)+IF(AND($C26&gt;0,$C26&gt;=S$4,$C26&lt;=S$5),$I26+$J26,0)</s:f>
        <s:v>0</s:v>
      </s:c>
      <s:c r="T26" s="16">
        <s:f>IF(AND($C26&gt;0,$C26&lt;=T$5,$D26&gt;=T$4),$E26*(1+$F26*(T$4&gt;=$G26))*'Key Assumptions'!$H$12+$H26+IF($M26="Straight-line",$N26,0),0)+IF(AND($M26="Upfront",$C26&gt;=T$4,$C26&lt;=T$5),$K26,0)+IF(AND($C26&gt;0,$C26&gt;=T$4,$C26&lt;=T$5),$I26+$J26,0)</s:f>
        <s:v>0</s:v>
      </s:c>
      <s:c r="U26" s="16">
        <s:f>IF(AND($C26&gt;0,$C26&lt;=U$5,$D26&gt;=U$4),$E26*(1+$F26*(U$4&gt;=$G26))*'Key Assumptions'!$H$12+$H26+IF($M26="Straight-line",$N26,0),0)+IF(AND($M26="Upfront",$C26&gt;=U$4,$C26&lt;=U$5),$K26,0)+IF(AND($C26&gt;0,$C26&gt;=U$4,$C26&lt;=U$5),$I26+$J26,0)</s:f>
        <s:v>0</s:v>
      </s:c>
      <s:c r="V26" s="16">
        <s:f>IF(AND($C26&gt;0,$C26&lt;=V$5,$D26&gt;=V$4),$E26*(1+$F26*(V$4&gt;=$G26))*'Key Assumptions'!$H$12+$H26+IF($M26="Straight-line",$N26,0),0)+IF(AND($M26="Upfront",$C26&gt;=V$4,$C26&lt;=V$5),$K26,0)+IF(AND($C26&gt;0,$C26&gt;=V$4,$C26&lt;=V$5),$I26+$J26,0)</s:f>
        <s:v>0</s:v>
      </s:c>
      <s:c r="W26" s="16">
        <s:f>IF(AND($C26&gt;0,$C26&lt;=W$5,$D26&gt;=W$4),$E26*(1+$F26*(W$4&gt;=$G26))*'Key Assumptions'!$H$12+$H26+IF($M26="Straight-line",$N26,0),0)+IF(AND($M26="Upfront",$C26&gt;=W$4,$C26&lt;=W$5),$K26,0)+IF(AND($C26&gt;0,$C26&gt;=W$4,$C26&lt;=W$5),$I26+$J26,0)</s:f>
        <s:v>0</s:v>
      </s:c>
      <s:c r="X26" s="16">
        <s:f>IF(AND($C26&gt;0,$C26&lt;=X$5,$D26&gt;=X$4),$E26*(1+$F26*(X$4&gt;=$G26))*'Key Assumptions'!$H$12+$H26+IF($M26="Straight-line",$N26,0),0)+IF(AND($M26="Upfront",$C26&gt;=X$4,$C26&lt;=X$5),$K26,0)+IF(AND($C26&gt;0,$C26&gt;=X$4,$C26&lt;=X$5),$I26+$J26,0)</s:f>
        <s:v>0</s:v>
      </s:c>
      <s:c r="Y26" s="16">
        <s:f>IF(AND($C26&gt;0,$C26&lt;=Y$5,$D26&gt;=Y$4),$E26*(1+$F26*(Y$4&gt;=$G26))*'Key Assumptions'!$H$12+$H26+IF($M26="Straight-line",$N26,0),0)+IF(AND($M26="Upfront",$C26&gt;=Y$4,$C26&lt;=Y$5),$K26,0)+IF(AND($C26&gt;0,$C26&gt;=Y$4,$C26&lt;=Y$5),$I26+$J26,0)</s:f>
        <s:v>0</s:v>
      </s:c>
      <s:c r="Z26" s="16">
        <s:f>IF(AND($C26&gt;0,$C26&lt;=Z$5,$D26&gt;=Z$4),$E26*(1+$F26*(Z$4&gt;=$G26))*'Key Assumptions'!$H$12+$H26+IF($M26="Straight-line",$N26,0),0)+IF(AND($M26="Upfront",$C26&gt;=Z$4,$C26&lt;=Z$5),$K26,0)+IF(AND($C26&gt;0,$C26&gt;=Z$4,$C26&lt;=Z$5),$I26+$J26,0)</s:f>
        <s:v>0</s:v>
      </s:c>
      <s:c r="AA26" s="16">
        <s:f>IF(AND($C26&gt;0,$C26&lt;=AA$5,$D26&gt;=AA$4),$E26*(1+$F26*(AA$4&gt;=$G26))*'Key Assumptions'!$H$12+$H26+IF($M26="Straight-line",$N26,0),0)+IF(AND($M26="Upfront",$C26&gt;=AA$4,$C26&lt;=AA$5),$K26,0)+IF(AND($C26&gt;0,$C26&gt;=AA$4,$C26&lt;=AA$5),$I26+$J26,0)</s:f>
        <s:v>0</s:v>
      </s:c>
      <s:c r="AB26" s="16">
        <s:f>IF(AND($C26&gt;0,$C26&lt;=AB$5,$D26&gt;=AB$4),$E26*(1+$F26*(AB$4&gt;=$G26))*'Key Assumptions'!$H$12+$H26+IF($M26="Straight-line",$N26,0),0)+IF(AND($M26="Upfront",$C26&gt;=AB$4,$C26&lt;=AB$5),$K26,0)+IF(AND($C26&gt;0,$C26&gt;=AB$4,$C26&lt;=AB$5),$I26+$J26,0)</s:f>
        <s:v>0</s:v>
      </s:c>
      <s:c r="AC26" s="71">
        <s:f>SUM(Q26:AB26)</s:f>
        <s:v>0</s:v>
      </s:c>
      <s:c r="AD26" s="83">
        <s:f>IF($D26&gt;0,$E26*MAX(0,(YEAR($D26)-2027)*12+(MONTH($D26)-12)),0)</s:f>
        <s:v>0</s:v>
      </s:c>
      <s:c r="AE26" s="84">
        <s:f>IF('Key Assumptions'!B84="","",IF($D26&lt;DATE(2027,12,31),"EXPIRED",IF($D26-DATE(2027,12,31)&lt;=90,"RED &lt;90d",IF($D26-DATE(2027,12,31)&lt;=180,"YELLOW &lt;180d","GREEN"))))</s:f>
      </s:c>
    </s:row>
    <s:row r="27">
      <s:c r="A27" s="78">
        <s:f>'Key Assumptions'!A85</s:f>
        <s:v>20</s:v>
      </s:c>
      <s:c r="B27" s="26">
        <s:f>'Key Assumptions'!B85</s:f>
        <s:v>0</s:v>
      </s:c>
      <s:c r="C27" s="79">
        <s:f>IF('Key Assumptions'!H85="",0,EDATE('Key Assumptions'!H85,'Key Assumptions'!$I$12))</s:f>
        <s:v>0</s:v>
      </s:c>
      <s:c r="D27" s="79">
        <s:f>IF('Key Assumptions'!I85="",0,'Key Assumptions'!I85)</s:f>
        <s:v>0</s:v>
      </s:c>
      <s:c r="E27" s="16">
        <s:f>N('Key Assumptions'!J85)</s:f>
        <s:v>0</s:v>
      </s:c>
      <s:c r="F27" s="80">
        <s:f>N('Key Assumptions'!K85)</s:f>
        <s:v>0</s:v>
      </s:c>
      <s:c r="G27" s="79">
        <s:f>IF('Key Assumptions'!L85="",0,'Key Assumptions'!L85)</s:f>
        <s:v>0</s:v>
      </s:c>
      <s:c r="H27" s="16">
        <s:f>IF('Key Assumptions'!R85="",IF(E27&gt;0,E27*'Key Assumptions'!$B$61,0),'Key Assumptions'!R85)</s:f>
        <s:v>0</s:v>
      </s:c>
      <s:c r="I27" s="16">
        <s:f>N('Key Assumptions'!M85)</s:f>
        <s:v>0</s:v>
      </s:c>
      <s:c r="J27" s="16">
        <s:f>N('Key Assumptions'!N85)</s:f>
        <s:v>0</s:v>
      </s:c>
      <s:c r="K27" s="16">
        <s:f>N('Key Assumptions'!O85)</s:f>
        <s:v>0</s:v>
      </s:c>
      <s:c r="L27" s="81">
        <s:f>N('Key Assumptions'!P85)</s:f>
        <s:v>0</s:v>
      </s:c>
      <s:c r="M27" s="82" t="str">
        <s:f>IF('Key Assumptions'!Q85="",'Key Assumptions'!$B$60,'Key Assumptions'!Q85)</s:f>
        <s:v>Straight-line</s:v>
      </s:c>
      <s:c r="N27" s="16">
        <s:f>IF($M27="Straight-line",IFERROR($K27/($L27*12),0),0)</s:f>
        <s:v>0</s:v>
      </s:c>
      <s:c r="Q27" s="16">
        <s:f>IF(AND($C27&gt;0,$C27&lt;=Q$5,$D27&gt;=Q$4),$E27*(1+$F27*(Q$4&gt;=$G27))*'Key Assumptions'!$H$12+$H27+IF($M27="Straight-line",$N27,0),0)+IF(AND($M27="Upfront",$C27&gt;=Q$4,$C27&lt;=Q$5),$K27,0)+IF(AND($C27&gt;0,$C27&gt;=Q$4,$C27&lt;=Q$5),$I27+$J27,0)</s:f>
        <s:v>0</s:v>
      </s:c>
      <s:c r="R27" s="16">
        <s:f>IF(AND($C27&gt;0,$C27&lt;=R$5,$D27&gt;=R$4),$E27*(1+$F27*(R$4&gt;=$G27))*'Key Assumptions'!$H$12+$H27+IF($M27="Straight-line",$N27,0),0)+IF(AND($M27="Upfront",$C27&gt;=R$4,$C27&lt;=R$5),$K27,0)+IF(AND($C27&gt;0,$C27&gt;=R$4,$C27&lt;=R$5),$I27+$J27,0)</s:f>
        <s:v>0</s:v>
      </s:c>
      <s:c r="S27" s="16">
        <s:f>IF(AND($C27&gt;0,$C27&lt;=S$5,$D27&gt;=S$4),$E27*(1+$F27*(S$4&gt;=$G27))*'Key Assumptions'!$H$12+$H27+IF($M27="Straight-line",$N27,0),0)+IF(AND($M27="Upfront",$C27&gt;=S$4,$C27&lt;=S$5),$K27,0)+IF(AND($C27&gt;0,$C27&gt;=S$4,$C27&lt;=S$5),$I27+$J27,0)</s:f>
        <s:v>0</s:v>
      </s:c>
      <s:c r="T27" s="16">
        <s:f>IF(AND($C27&gt;0,$C27&lt;=T$5,$D27&gt;=T$4),$E27*(1+$F27*(T$4&gt;=$G27))*'Key Assumptions'!$H$12+$H27+IF($M27="Straight-line",$N27,0),0)+IF(AND($M27="Upfront",$C27&gt;=T$4,$C27&lt;=T$5),$K27,0)+IF(AND($C27&gt;0,$C27&gt;=T$4,$C27&lt;=T$5),$I27+$J27,0)</s:f>
        <s:v>0</s:v>
      </s:c>
      <s:c r="U27" s="16">
        <s:f>IF(AND($C27&gt;0,$C27&lt;=U$5,$D27&gt;=U$4),$E27*(1+$F27*(U$4&gt;=$G27))*'Key Assumptions'!$H$12+$H27+IF($M27="Straight-line",$N27,0),0)+IF(AND($M27="Upfront",$C27&gt;=U$4,$C27&lt;=U$5),$K27,0)+IF(AND($C27&gt;0,$C27&gt;=U$4,$C27&lt;=U$5),$I27+$J27,0)</s:f>
        <s:v>0</s:v>
      </s:c>
      <s:c r="V27" s="16">
        <s:f>IF(AND($C27&gt;0,$C27&lt;=V$5,$D27&gt;=V$4),$E27*(1+$F27*(V$4&gt;=$G27))*'Key Assumptions'!$H$12+$H27+IF($M27="Straight-line",$N27,0),0)+IF(AND($M27="Upfront",$C27&gt;=V$4,$C27&lt;=V$5),$K27,0)+IF(AND($C27&gt;0,$C27&gt;=V$4,$C27&lt;=V$5),$I27+$J27,0)</s:f>
        <s:v>0</s:v>
      </s:c>
      <s:c r="W27" s="16">
        <s:f>IF(AND($C27&gt;0,$C27&lt;=W$5,$D27&gt;=W$4),$E27*(1+$F27*(W$4&gt;=$G27))*'Key Assumptions'!$H$12+$H27+IF($M27="Straight-line",$N27,0),0)+IF(AND($M27="Upfront",$C27&gt;=W$4,$C27&lt;=W$5),$K27,0)+IF(AND($C27&gt;0,$C27&gt;=W$4,$C27&lt;=W$5),$I27+$J27,0)</s:f>
        <s:v>0</s:v>
      </s:c>
      <s:c r="X27" s="16">
        <s:f>IF(AND($C27&gt;0,$C27&lt;=X$5,$D27&gt;=X$4),$E27*(1+$F27*(X$4&gt;=$G27))*'Key Assumptions'!$H$12+$H27+IF($M27="Straight-line",$N27,0),0)+IF(AND($M27="Upfront",$C27&gt;=X$4,$C27&lt;=X$5),$K27,0)+IF(AND($C27&gt;0,$C27&gt;=X$4,$C27&lt;=X$5),$I27+$J27,0)</s:f>
        <s:v>0</s:v>
      </s:c>
      <s:c r="Y27" s="16">
        <s:f>IF(AND($C27&gt;0,$C27&lt;=Y$5,$D27&gt;=Y$4),$E27*(1+$F27*(Y$4&gt;=$G27))*'Key Assumptions'!$H$12+$H27+IF($M27="Straight-line",$N27,0),0)+IF(AND($M27="Upfront",$C27&gt;=Y$4,$C27&lt;=Y$5),$K27,0)+IF(AND($C27&gt;0,$C27&gt;=Y$4,$C27&lt;=Y$5),$I27+$J27,0)</s:f>
        <s:v>0</s:v>
      </s:c>
      <s:c r="Z27" s="16">
        <s:f>IF(AND($C27&gt;0,$C27&lt;=Z$5,$D27&gt;=Z$4),$E27*(1+$F27*(Z$4&gt;=$G27))*'Key Assumptions'!$H$12+$H27+IF($M27="Straight-line",$N27,0),0)+IF(AND($M27="Upfront",$C27&gt;=Z$4,$C27&lt;=Z$5),$K27,0)+IF(AND($C27&gt;0,$C27&gt;=Z$4,$C27&lt;=Z$5),$I27+$J27,0)</s:f>
        <s:v>0</s:v>
      </s:c>
      <s:c r="AA27" s="16">
        <s:f>IF(AND($C27&gt;0,$C27&lt;=AA$5,$D27&gt;=AA$4),$E27*(1+$F27*(AA$4&gt;=$G27))*'Key Assumptions'!$H$12+$H27+IF($M27="Straight-line",$N27,0),0)+IF(AND($M27="Upfront",$C27&gt;=AA$4,$C27&lt;=AA$5),$K27,0)+IF(AND($C27&gt;0,$C27&gt;=AA$4,$C27&lt;=AA$5),$I27+$J27,0)</s:f>
        <s:v>0</s:v>
      </s:c>
      <s:c r="AB27" s="16">
        <s:f>IF(AND($C27&gt;0,$C27&lt;=AB$5,$D27&gt;=AB$4),$E27*(1+$F27*(AB$4&gt;=$G27))*'Key Assumptions'!$H$12+$H27+IF($M27="Straight-line",$N27,0),0)+IF(AND($M27="Upfront",$C27&gt;=AB$4,$C27&lt;=AB$5),$K27,0)+IF(AND($C27&gt;0,$C27&gt;=AB$4,$C27&lt;=AB$5),$I27+$J27,0)</s:f>
        <s:v>0</s:v>
      </s:c>
      <s:c r="AC27" s="71">
        <s:f>SUM(Q27:AB27)</s:f>
        <s:v>0</s:v>
      </s:c>
      <s:c r="AD27" s="83">
        <s:f>IF($D27&gt;0,$E27*MAX(0,(YEAR($D27)-2027)*12+(MONTH($D27)-12)),0)</s:f>
        <s:v>0</s:v>
      </s:c>
      <s:c r="AE27" s="84">
        <s:f>IF('Key Assumptions'!B85="","",IF($D27&lt;DATE(2027,12,31),"EXPIRED",IF($D27-DATE(2027,12,31)&lt;=90,"RED &lt;90d",IF($D27-DATE(2027,12,31)&lt;=180,"YELLOW &lt;180d","GREEN"))))</s:f>
      </s:c>
    </s:row>
    <s:row r="28">
      <s:c r="A28" s="78">
        <s:f>'Key Assumptions'!A86</s:f>
        <s:v>21</s:v>
      </s:c>
      <s:c r="B28" s="26">
        <s:f>'Key Assumptions'!B86</s:f>
        <s:v>0</s:v>
      </s:c>
      <s:c r="C28" s="79">
        <s:f>IF('Key Assumptions'!H86="",0,EDATE('Key Assumptions'!H86,'Key Assumptions'!$I$12))</s:f>
        <s:v>0</s:v>
      </s:c>
      <s:c r="D28" s="79">
        <s:f>IF('Key Assumptions'!I86="",0,'Key Assumptions'!I86)</s:f>
        <s:v>0</s:v>
      </s:c>
      <s:c r="E28" s="16">
        <s:f>N('Key Assumptions'!J86)</s:f>
        <s:v>0</s:v>
      </s:c>
      <s:c r="F28" s="80">
        <s:f>N('Key Assumptions'!K86)</s:f>
        <s:v>0</s:v>
      </s:c>
      <s:c r="G28" s="79">
        <s:f>IF('Key Assumptions'!L86="",0,'Key Assumptions'!L86)</s:f>
        <s:v>0</s:v>
      </s:c>
      <s:c r="H28" s="16">
        <s:f>IF('Key Assumptions'!R86="",IF(E28&gt;0,E28*'Key Assumptions'!$B$61,0),'Key Assumptions'!R86)</s:f>
        <s:v>0</s:v>
      </s:c>
      <s:c r="I28" s="16">
        <s:f>N('Key Assumptions'!M86)</s:f>
        <s:v>0</s:v>
      </s:c>
      <s:c r="J28" s="16">
        <s:f>N('Key Assumptions'!N86)</s:f>
        <s:v>0</s:v>
      </s:c>
      <s:c r="K28" s="16">
        <s:f>N('Key Assumptions'!O86)</s:f>
        <s:v>0</s:v>
      </s:c>
      <s:c r="L28" s="81">
        <s:f>N('Key Assumptions'!P86)</s:f>
        <s:v>0</s:v>
      </s:c>
      <s:c r="M28" s="82" t="str">
        <s:f>IF('Key Assumptions'!Q86="",'Key Assumptions'!$B$60,'Key Assumptions'!Q86)</s:f>
        <s:v>Straight-line</s:v>
      </s:c>
      <s:c r="N28" s="16">
        <s:f>IF($M28="Straight-line",IFERROR($K28/($L28*12),0),0)</s:f>
        <s:v>0</s:v>
      </s:c>
      <s:c r="Q28" s="16">
        <s:f>IF(AND($C28&gt;0,$C28&lt;=Q$5,$D28&gt;=Q$4),$E28*(1+$F28*(Q$4&gt;=$G28))*'Key Assumptions'!$H$12+$H28+IF($M28="Straight-line",$N28,0),0)+IF(AND($M28="Upfront",$C28&gt;=Q$4,$C28&lt;=Q$5),$K28,0)+IF(AND($C28&gt;0,$C28&gt;=Q$4,$C28&lt;=Q$5),$I28+$J28,0)</s:f>
        <s:v>0</s:v>
      </s:c>
      <s:c r="R28" s="16">
        <s:f>IF(AND($C28&gt;0,$C28&lt;=R$5,$D28&gt;=R$4),$E28*(1+$F28*(R$4&gt;=$G28))*'Key Assumptions'!$H$12+$H28+IF($M28="Straight-line",$N28,0),0)+IF(AND($M28="Upfront",$C28&gt;=R$4,$C28&lt;=R$5),$K28,0)+IF(AND($C28&gt;0,$C28&gt;=R$4,$C28&lt;=R$5),$I28+$J28,0)</s:f>
        <s:v>0</s:v>
      </s:c>
      <s:c r="S28" s="16">
        <s:f>IF(AND($C28&gt;0,$C28&lt;=S$5,$D28&gt;=S$4),$E28*(1+$F28*(S$4&gt;=$G28))*'Key Assumptions'!$H$12+$H28+IF($M28="Straight-line",$N28,0),0)+IF(AND($M28="Upfront",$C28&gt;=S$4,$C28&lt;=S$5),$K28,0)+IF(AND($C28&gt;0,$C28&gt;=S$4,$C28&lt;=S$5),$I28+$J28,0)</s:f>
        <s:v>0</s:v>
      </s:c>
      <s:c r="T28" s="16">
        <s:f>IF(AND($C28&gt;0,$C28&lt;=T$5,$D28&gt;=T$4),$E28*(1+$F28*(T$4&gt;=$G28))*'Key Assumptions'!$H$12+$H28+IF($M28="Straight-line",$N28,0),0)+IF(AND($M28="Upfront",$C28&gt;=T$4,$C28&lt;=T$5),$K28,0)+IF(AND($C28&gt;0,$C28&gt;=T$4,$C28&lt;=T$5),$I28+$J28,0)</s:f>
        <s:v>0</s:v>
      </s:c>
      <s:c r="U28" s="16">
        <s:f>IF(AND($C28&gt;0,$C28&lt;=U$5,$D28&gt;=U$4),$E28*(1+$F28*(U$4&gt;=$G28))*'Key Assumptions'!$H$12+$H28+IF($M28="Straight-line",$N28,0),0)+IF(AND($M28="Upfront",$C28&gt;=U$4,$C28&lt;=U$5),$K28,0)+IF(AND($C28&gt;0,$C28&gt;=U$4,$C28&lt;=U$5),$I28+$J28,0)</s:f>
        <s:v>0</s:v>
      </s:c>
      <s:c r="V28" s="16">
        <s:f>IF(AND($C28&gt;0,$C28&lt;=V$5,$D28&gt;=V$4),$E28*(1+$F28*(V$4&gt;=$G28))*'Key Assumptions'!$H$12+$H28+IF($M28="Straight-line",$N28,0),0)+IF(AND($M28="Upfront",$C28&gt;=V$4,$C28&lt;=V$5),$K28,0)+IF(AND($C28&gt;0,$C28&gt;=V$4,$C28&lt;=V$5),$I28+$J28,0)</s:f>
        <s:v>0</s:v>
      </s:c>
      <s:c r="W28" s="16">
        <s:f>IF(AND($C28&gt;0,$C28&lt;=W$5,$D28&gt;=W$4),$E28*(1+$F28*(W$4&gt;=$G28))*'Key Assumptions'!$H$12+$H28+IF($M28="Straight-line",$N28,0),0)+IF(AND($M28="Upfront",$C28&gt;=W$4,$C28&lt;=W$5),$K28,0)+IF(AND($C28&gt;0,$C28&gt;=W$4,$C28&lt;=W$5),$I28+$J28,0)</s:f>
        <s:v>0</s:v>
      </s:c>
      <s:c r="X28" s="16">
        <s:f>IF(AND($C28&gt;0,$C28&lt;=X$5,$D28&gt;=X$4),$E28*(1+$F28*(X$4&gt;=$G28))*'Key Assumptions'!$H$12+$H28+IF($M28="Straight-line",$N28,0),0)+IF(AND($M28="Upfront",$C28&gt;=X$4,$C28&lt;=X$5),$K28,0)+IF(AND($C28&gt;0,$C28&gt;=X$4,$C28&lt;=X$5),$I28+$J28,0)</s:f>
        <s:v>0</s:v>
      </s:c>
      <s:c r="Y28" s="16">
        <s:f>IF(AND($C28&gt;0,$C28&lt;=Y$5,$D28&gt;=Y$4),$E28*(1+$F28*(Y$4&gt;=$G28))*'Key Assumptions'!$H$12+$H28+IF($M28="Straight-line",$N28,0),0)+IF(AND($M28="Upfront",$C28&gt;=Y$4,$C28&lt;=Y$5),$K28,0)+IF(AND($C28&gt;0,$C28&gt;=Y$4,$C28&lt;=Y$5),$I28+$J28,0)</s:f>
        <s:v>0</s:v>
      </s:c>
      <s:c r="Z28" s="16">
        <s:f>IF(AND($C28&gt;0,$C28&lt;=Z$5,$D28&gt;=Z$4),$E28*(1+$F28*(Z$4&gt;=$G28))*'Key Assumptions'!$H$12+$H28+IF($M28="Straight-line",$N28,0),0)+IF(AND($M28="Upfront",$C28&gt;=Z$4,$C28&lt;=Z$5),$K28,0)+IF(AND($C28&gt;0,$C28&gt;=Z$4,$C28&lt;=Z$5),$I28+$J28,0)</s:f>
        <s:v>0</s:v>
      </s:c>
      <s:c r="AA28" s="16">
        <s:f>IF(AND($C28&gt;0,$C28&lt;=AA$5,$D28&gt;=AA$4),$E28*(1+$F28*(AA$4&gt;=$G28))*'Key Assumptions'!$H$12+$H28+IF($M28="Straight-line",$N28,0),0)+IF(AND($M28="Upfront",$C28&gt;=AA$4,$C28&lt;=AA$5),$K28,0)+IF(AND($C28&gt;0,$C28&gt;=AA$4,$C28&lt;=AA$5),$I28+$J28,0)</s:f>
        <s:v>0</s:v>
      </s:c>
      <s:c r="AB28" s="16">
        <s:f>IF(AND($C28&gt;0,$C28&lt;=AB$5,$D28&gt;=AB$4),$E28*(1+$F28*(AB$4&gt;=$G28))*'Key Assumptions'!$H$12+$H28+IF($M28="Straight-line",$N28,0),0)+IF(AND($M28="Upfront",$C28&gt;=AB$4,$C28&lt;=AB$5),$K28,0)+IF(AND($C28&gt;0,$C28&gt;=AB$4,$C28&lt;=AB$5),$I28+$J28,0)</s:f>
        <s:v>0</s:v>
      </s:c>
      <s:c r="AC28" s="71">
        <s:f>SUM(Q28:AB28)</s:f>
        <s:v>0</s:v>
      </s:c>
      <s:c r="AD28" s="83">
        <s:f>IF($D28&gt;0,$E28*MAX(0,(YEAR($D28)-2027)*12+(MONTH($D28)-12)),0)</s:f>
        <s:v>0</s:v>
      </s:c>
      <s:c r="AE28" s="84">
        <s:f>IF('Key Assumptions'!B86="","",IF($D28&lt;DATE(2027,12,31),"EXPIRED",IF($D28-DATE(2027,12,31)&lt;=90,"RED &lt;90d",IF($D28-DATE(2027,12,31)&lt;=180,"YELLOW &lt;180d","GREEN"))))</s:f>
      </s:c>
    </s:row>
    <s:row r="29">
      <s:c r="A29" s="78">
        <s:f>'Key Assumptions'!A87</s:f>
        <s:v>22</s:v>
      </s:c>
      <s:c r="B29" s="26">
        <s:f>'Key Assumptions'!B87</s:f>
        <s:v>0</s:v>
      </s:c>
      <s:c r="C29" s="79">
        <s:f>IF('Key Assumptions'!H87="",0,EDATE('Key Assumptions'!H87,'Key Assumptions'!$I$12))</s:f>
        <s:v>0</s:v>
      </s:c>
      <s:c r="D29" s="79">
        <s:f>IF('Key Assumptions'!I87="",0,'Key Assumptions'!I87)</s:f>
        <s:v>0</s:v>
      </s:c>
      <s:c r="E29" s="16">
        <s:f>N('Key Assumptions'!J87)</s:f>
        <s:v>0</s:v>
      </s:c>
      <s:c r="F29" s="80">
        <s:f>N('Key Assumptions'!K87)</s:f>
        <s:v>0</s:v>
      </s:c>
      <s:c r="G29" s="79">
        <s:f>IF('Key Assumptions'!L87="",0,'Key Assumptions'!L87)</s:f>
        <s:v>0</s:v>
      </s:c>
      <s:c r="H29" s="16">
        <s:f>IF('Key Assumptions'!R87="",IF(E29&gt;0,E29*'Key Assumptions'!$B$61,0),'Key Assumptions'!R87)</s:f>
        <s:v>0</s:v>
      </s:c>
      <s:c r="I29" s="16">
        <s:f>N('Key Assumptions'!M87)</s:f>
        <s:v>0</s:v>
      </s:c>
      <s:c r="J29" s="16">
        <s:f>N('Key Assumptions'!N87)</s:f>
        <s:v>0</s:v>
      </s:c>
      <s:c r="K29" s="16">
        <s:f>N('Key Assumptions'!O87)</s:f>
        <s:v>0</s:v>
      </s:c>
      <s:c r="L29" s="81">
        <s:f>N('Key Assumptions'!P87)</s:f>
        <s:v>0</s:v>
      </s:c>
      <s:c r="M29" s="82" t="str">
        <s:f>IF('Key Assumptions'!Q87="",'Key Assumptions'!$B$60,'Key Assumptions'!Q87)</s:f>
        <s:v>Straight-line</s:v>
      </s:c>
      <s:c r="N29" s="16">
        <s:f>IF($M29="Straight-line",IFERROR($K29/($L29*12),0),0)</s:f>
        <s:v>0</s:v>
      </s:c>
      <s:c r="Q29" s="16">
        <s:f>IF(AND($C29&gt;0,$C29&lt;=Q$5,$D29&gt;=Q$4),$E29*(1+$F29*(Q$4&gt;=$G29))*'Key Assumptions'!$H$12+$H29+IF($M29="Straight-line",$N29,0),0)+IF(AND($M29="Upfront",$C29&gt;=Q$4,$C29&lt;=Q$5),$K29,0)+IF(AND($C29&gt;0,$C29&gt;=Q$4,$C29&lt;=Q$5),$I29+$J29,0)</s:f>
        <s:v>0</s:v>
      </s:c>
      <s:c r="R29" s="16">
        <s:f>IF(AND($C29&gt;0,$C29&lt;=R$5,$D29&gt;=R$4),$E29*(1+$F29*(R$4&gt;=$G29))*'Key Assumptions'!$H$12+$H29+IF($M29="Straight-line",$N29,0),0)+IF(AND($M29="Upfront",$C29&gt;=R$4,$C29&lt;=R$5),$K29,0)+IF(AND($C29&gt;0,$C29&gt;=R$4,$C29&lt;=R$5),$I29+$J29,0)</s:f>
        <s:v>0</s:v>
      </s:c>
      <s:c r="S29" s="16">
        <s:f>IF(AND($C29&gt;0,$C29&lt;=S$5,$D29&gt;=S$4),$E29*(1+$F29*(S$4&gt;=$G29))*'Key Assumptions'!$H$12+$H29+IF($M29="Straight-line",$N29,0),0)+IF(AND($M29="Upfront",$C29&gt;=S$4,$C29&lt;=S$5),$K29,0)+IF(AND($C29&gt;0,$C29&gt;=S$4,$C29&lt;=S$5),$I29+$J29,0)</s:f>
        <s:v>0</s:v>
      </s:c>
      <s:c r="T29" s="16">
        <s:f>IF(AND($C29&gt;0,$C29&lt;=T$5,$D29&gt;=T$4),$E29*(1+$F29*(T$4&gt;=$G29))*'Key Assumptions'!$H$12+$H29+IF($M29="Straight-line",$N29,0),0)+IF(AND($M29="Upfront",$C29&gt;=T$4,$C29&lt;=T$5),$K29,0)+IF(AND($C29&gt;0,$C29&gt;=T$4,$C29&lt;=T$5),$I29+$J29,0)</s:f>
        <s:v>0</s:v>
      </s:c>
      <s:c r="U29" s="16">
        <s:f>IF(AND($C29&gt;0,$C29&lt;=U$5,$D29&gt;=U$4),$E29*(1+$F29*(U$4&gt;=$G29))*'Key Assumptions'!$H$12+$H29+IF($M29="Straight-line",$N29,0),0)+IF(AND($M29="Upfront",$C29&gt;=U$4,$C29&lt;=U$5),$K29,0)+IF(AND($C29&gt;0,$C29&gt;=U$4,$C29&lt;=U$5),$I29+$J29,0)</s:f>
        <s:v>0</s:v>
      </s:c>
      <s:c r="V29" s="16">
        <s:f>IF(AND($C29&gt;0,$C29&lt;=V$5,$D29&gt;=V$4),$E29*(1+$F29*(V$4&gt;=$G29))*'Key Assumptions'!$H$12+$H29+IF($M29="Straight-line",$N29,0),0)+IF(AND($M29="Upfront",$C29&gt;=V$4,$C29&lt;=V$5),$K29,0)+IF(AND($C29&gt;0,$C29&gt;=V$4,$C29&lt;=V$5),$I29+$J29,0)</s:f>
        <s:v>0</s:v>
      </s:c>
      <s:c r="W29" s="16">
        <s:f>IF(AND($C29&gt;0,$C29&lt;=W$5,$D29&gt;=W$4),$E29*(1+$F29*(W$4&gt;=$G29))*'Key Assumptions'!$H$12+$H29+IF($M29="Straight-line",$N29,0),0)+IF(AND($M29="Upfront",$C29&gt;=W$4,$C29&lt;=W$5),$K29,0)+IF(AND($C29&gt;0,$C29&gt;=W$4,$C29&lt;=W$5),$I29+$J29,0)</s:f>
        <s:v>0</s:v>
      </s:c>
      <s:c r="X29" s="16">
        <s:f>IF(AND($C29&gt;0,$C29&lt;=X$5,$D29&gt;=X$4),$E29*(1+$F29*(X$4&gt;=$G29))*'Key Assumptions'!$H$12+$H29+IF($M29="Straight-line",$N29,0),0)+IF(AND($M29="Upfront",$C29&gt;=X$4,$C29&lt;=X$5),$K29,0)+IF(AND($C29&gt;0,$C29&gt;=X$4,$C29&lt;=X$5),$I29+$J29,0)</s:f>
        <s:v>0</s:v>
      </s:c>
      <s:c r="Y29" s="16">
        <s:f>IF(AND($C29&gt;0,$C29&lt;=Y$5,$D29&gt;=Y$4),$E29*(1+$F29*(Y$4&gt;=$G29))*'Key Assumptions'!$H$12+$H29+IF($M29="Straight-line",$N29,0),0)+IF(AND($M29="Upfront",$C29&gt;=Y$4,$C29&lt;=Y$5),$K29,0)+IF(AND($C29&gt;0,$C29&gt;=Y$4,$C29&lt;=Y$5),$I29+$J29,0)</s:f>
        <s:v>0</s:v>
      </s:c>
      <s:c r="Z29" s="16">
        <s:f>IF(AND($C29&gt;0,$C29&lt;=Z$5,$D29&gt;=Z$4),$E29*(1+$F29*(Z$4&gt;=$G29))*'Key Assumptions'!$H$12+$H29+IF($M29="Straight-line",$N29,0),0)+IF(AND($M29="Upfront",$C29&gt;=Z$4,$C29&lt;=Z$5),$K29,0)+IF(AND($C29&gt;0,$C29&gt;=Z$4,$C29&lt;=Z$5),$I29+$J29,0)</s:f>
        <s:v>0</s:v>
      </s:c>
      <s:c r="AA29" s="16">
        <s:f>IF(AND($C29&gt;0,$C29&lt;=AA$5,$D29&gt;=AA$4),$E29*(1+$F29*(AA$4&gt;=$G29))*'Key Assumptions'!$H$12+$H29+IF($M29="Straight-line",$N29,0),0)+IF(AND($M29="Upfront",$C29&gt;=AA$4,$C29&lt;=AA$5),$K29,0)+IF(AND($C29&gt;0,$C29&gt;=AA$4,$C29&lt;=AA$5),$I29+$J29,0)</s:f>
        <s:v>0</s:v>
      </s:c>
      <s:c r="AB29" s="16">
        <s:f>IF(AND($C29&gt;0,$C29&lt;=AB$5,$D29&gt;=AB$4),$E29*(1+$F29*(AB$4&gt;=$G29))*'Key Assumptions'!$H$12+$H29+IF($M29="Straight-line",$N29,0),0)+IF(AND($M29="Upfront",$C29&gt;=AB$4,$C29&lt;=AB$5),$K29,0)+IF(AND($C29&gt;0,$C29&gt;=AB$4,$C29&lt;=AB$5),$I29+$J29,0)</s:f>
        <s:v>0</s:v>
      </s:c>
      <s:c r="AC29" s="71">
        <s:f>SUM(Q29:AB29)</s:f>
        <s:v>0</s:v>
      </s:c>
      <s:c r="AD29" s="83">
        <s:f>IF($D29&gt;0,$E29*MAX(0,(YEAR($D29)-2027)*12+(MONTH($D29)-12)),0)</s:f>
        <s:v>0</s:v>
      </s:c>
      <s:c r="AE29" s="84">
        <s:f>IF('Key Assumptions'!B87="","",IF($D29&lt;DATE(2027,12,31),"EXPIRED",IF($D29-DATE(2027,12,31)&lt;=90,"RED &lt;90d",IF($D29-DATE(2027,12,31)&lt;=180,"YELLOW &lt;180d","GREEN"))))</s:f>
      </s:c>
    </s:row>
    <s:row r="30">
      <s:c r="A30" s="78">
        <s:f>'Key Assumptions'!A88</s:f>
        <s:v>23</s:v>
      </s:c>
      <s:c r="B30" s="26">
        <s:f>'Key Assumptions'!B88</s:f>
        <s:v>0</s:v>
      </s:c>
      <s:c r="C30" s="79">
        <s:f>IF('Key Assumptions'!H88="",0,EDATE('Key Assumptions'!H88,'Key Assumptions'!$I$12))</s:f>
        <s:v>0</s:v>
      </s:c>
      <s:c r="D30" s="79">
        <s:f>IF('Key Assumptions'!I88="",0,'Key Assumptions'!I88)</s:f>
        <s:v>0</s:v>
      </s:c>
      <s:c r="E30" s="16">
        <s:f>N('Key Assumptions'!J88)</s:f>
        <s:v>0</s:v>
      </s:c>
      <s:c r="F30" s="80">
        <s:f>N('Key Assumptions'!K88)</s:f>
        <s:v>0</s:v>
      </s:c>
      <s:c r="G30" s="79">
        <s:f>IF('Key Assumptions'!L88="",0,'Key Assumptions'!L88)</s:f>
        <s:v>0</s:v>
      </s:c>
      <s:c r="H30" s="16">
        <s:f>IF('Key Assumptions'!R88="",IF(E30&gt;0,E30*'Key Assumptions'!$B$61,0),'Key Assumptions'!R88)</s:f>
        <s:v>0</s:v>
      </s:c>
      <s:c r="I30" s="16">
        <s:f>N('Key Assumptions'!M88)</s:f>
        <s:v>0</s:v>
      </s:c>
      <s:c r="J30" s="16">
        <s:f>N('Key Assumptions'!N88)</s:f>
        <s:v>0</s:v>
      </s:c>
      <s:c r="K30" s="16">
        <s:f>N('Key Assumptions'!O88)</s:f>
        <s:v>0</s:v>
      </s:c>
      <s:c r="L30" s="81">
        <s:f>N('Key Assumptions'!P88)</s:f>
        <s:v>0</s:v>
      </s:c>
      <s:c r="M30" s="82" t="str">
        <s:f>IF('Key Assumptions'!Q88="",'Key Assumptions'!$B$60,'Key Assumptions'!Q88)</s:f>
        <s:v>Straight-line</s:v>
      </s:c>
      <s:c r="N30" s="16">
        <s:f>IF($M30="Straight-line",IFERROR($K30/($L30*12),0),0)</s:f>
        <s:v>0</s:v>
      </s:c>
      <s:c r="Q30" s="16">
        <s:f>IF(AND($C30&gt;0,$C30&lt;=Q$5,$D30&gt;=Q$4),$E30*(1+$F30*(Q$4&gt;=$G30))*'Key Assumptions'!$H$12+$H30+IF($M30="Straight-line",$N30,0),0)+IF(AND($M30="Upfront",$C30&gt;=Q$4,$C30&lt;=Q$5),$K30,0)+IF(AND($C30&gt;0,$C30&gt;=Q$4,$C30&lt;=Q$5),$I30+$J30,0)</s:f>
        <s:v>0</s:v>
      </s:c>
      <s:c r="R30" s="16">
        <s:f>IF(AND($C30&gt;0,$C30&lt;=R$5,$D30&gt;=R$4),$E30*(1+$F30*(R$4&gt;=$G30))*'Key Assumptions'!$H$12+$H30+IF($M30="Straight-line",$N30,0),0)+IF(AND($M30="Upfront",$C30&gt;=R$4,$C30&lt;=R$5),$K30,0)+IF(AND($C30&gt;0,$C30&gt;=R$4,$C30&lt;=R$5),$I30+$J30,0)</s:f>
        <s:v>0</s:v>
      </s:c>
      <s:c r="S30" s="16">
        <s:f>IF(AND($C30&gt;0,$C30&lt;=S$5,$D30&gt;=S$4),$E30*(1+$F30*(S$4&gt;=$G30))*'Key Assumptions'!$H$12+$H30+IF($M30="Straight-line",$N30,0),0)+IF(AND($M30="Upfront",$C30&gt;=S$4,$C30&lt;=S$5),$K30,0)+IF(AND($C30&gt;0,$C30&gt;=S$4,$C30&lt;=S$5),$I30+$J30,0)</s:f>
        <s:v>0</s:v>
      </s:c>
      <s:c r="T30" s="16">
        <s:f>IF(AND($C30&gt;0,$C30&lt;=T$5,$D30&gt;=T$4),$E30*(1+$F30*(T$4&gt;=$G30))*'Key Assumptions'!$H$12+$H30+IF($M30="Straight-line",$N30,0),0)+IF(AND($M30="Upfront",$C30&gt;=T$4,$C30&lt;=T$5),$K30,0)+IF(AND($C30&gt;0,$C30&gt;=T$4,$C30&lt;=T$5),$I30+$J30,0)</s:f>
        <s:v>0</s:v>
      </s:c>
      <s:c r="U30" s="16">
        <s:f>IF(AND($C30&gt;0,$C30&lt;=U$5,$D30&gt;=U$4),$E30*(1+$F30*(U$4&gt;=$G30))*'Key Assumptions'!$H$12+$H30+IF($M30="Straight-line",$N30,0),0)+IF(AND($M30="Upfront",$C30&gt;=U$4,$C30&lt;=U$5),$K30,0)+IF(AND($C30&gt;0,$C30&gt;=U$4,$C30&lt;=U$5),$I30+$J30,0)</s:f>
        <s:v>0</s:v>
      </s:c>
      <s:c r="V30" s="16">
        <s:f>IF(AND($C30&gt;0,$C30&lt;=V$5,$D30&gt;=V$4),$E30*(1+$F30*(V$4&gt;=$G30))*'Key Assumptions'!$H$12+$H30+IF($M30="Straight-line",$N30,0),0)+IF(AND($M30="Upfront",$C30&gt;=V$4,$C30&lt;=V$5),$K30,0)+IF(AND($C30&gt;0,$C30&gt;=V$4,$C30&lt;=V$5),$I30+$J30,0)</s:f>
        <s:v>0</s:v>
      </s:c>
      <s:c r="W30" s="16">
        <s:f>IF(AND($C30&gt;0,$C30&lt;=W$5,$D30&gt;=W$4),$E30*(1+$F30*(W$4&gt;=$G30))*'Key Assumptions'!$H$12+$H30+IF($M30="Straight-line",$N30,0),0)+IF(AND($M30="Upfront",$C30&gt;=W$4,$C30&lt;=W$5),$K30,0)+IF(AND($C30&gt;0,$C30&gt;=W$4,$C30&lt;=W$5),$I30+$J30,0)</s:f>
        <s:v>0</s:v>
      </s:c>
      <s:c r="X30" s="16">
        <s:f>IF(AND($C30&gt;0,$C30&lt;=X$5,$D30&gt;=X$4),$E30*(1+$F30*(X$4&gt;=$G30))*'Key Assumptions'!$H$12+$H30+IF($M30="Straight-line",$N30,0),0)+IF(AND($M30="Upfront",$C30&gt;=X$4,$C30&lt;=X$5),$K30,0)+IF(AND($C30&gt;0,$C30&gt;=X$4,$C30&lt;=X$5),$I30+$J30,0)</s:f>
        <s:v>0</s:v>
      </s:c>
      <s:c r="Y30" s="16">
        <s:f>IF(AND($C30&gt;0,$C30&lt;=Y$5,$D30&gt;=Y$4),$E30*(1+$F30*(Y$4&gt;=$G30))*'Key Assumptions'!$H$12+$H30+IF($M30="Straight-line",$N30,0),0)+IF(AND($M30="Upfront",$C30&gt;=Y$4,$C30&lt;=Y$5),$K30,0)+IF(AND($C30&gt;0,$C30&gt;=Y$4,$C30&lt;=Y$5),$I30+$J30,0)</s:f>
        <s:v>0</s:v>
      </s:c>
      <s:c r="Z30" s="16">
        <s:f>IF(AND($C30&gt;0,$C30&lt;=Z$5,$D30&gt;=Z$4),$E30*(1+$F30*(Z$4&gt;=$G30))*'Key Assumptions'!$H$12+$H30+IF($M30="Straight-line",$N30,0),0)+IF(AND($M30="Upfront",$C30&gt;=Z$4,$C30&lt;=Z$5),$K30,0)+IF(AND($C30&gt;0,$C30&gt;=Z$4,$C30&lt;=Z$5),$I30+$J30,0)</s:f>
        <s:v>0</s:v>
      </s:c>
      <s:c r="AA30" s="16">
        <s:f>IF(AND($C30&gt;0,$C30&lt;=AA$5,$D30&gt;=AA$4),$E30*(1+$F30*(AA$4&gt;=$G30))*'Key Assumptions'!$H$12+$H30+IF($M30="Straight-line",$N30,0),0)+IF(AND($M30="Upfront",$C30&gt;=AA$4,$C30&lt;=AA$5),$K30,0)+IF(AND($C30&gt;0,$C30&gt;=AA$4,$C30&lt;=AA$5),$I30+$J30,0)</s:f>
        <s:v>0</s:v>
      </s:c>
      <s:c r="AB30" s="16">
        <s:f>IF(AND($C30&gt;0,$C30&lt;=AB$5,$D30&gt;=AB$4),$E30*(1+$F30*(AB$4&gt;=$G30))*'Key Assumptions'!$H$12+$H30+IF($M30="Straight-line",$N30,0),0)+IF(AND($M30="Upfront",$C30&gt;=AB$4,$C30&lt;=AB$5),$K30,0)+IF(AND($C30&gt;0,$C30&gt;=AB$4,$C30&lt;=AB$5),$I30+$J30,0)</s:f>
        <s:v>0</s:v>
      </s:c>
      <s:c r="AC30" s="71">
        <s:f>SUM(Q30:AB30)</s:f>
        <s:v>0</s:v>
      </s:c>
      <s:c r="AD30" s="83">
        <s:f>IF($D30&gt;0,$E30*MAX(0,(YEAR($D30)-2027)*12+(MONTH($D30)-12)),0)</s:f>
        <s:v>0</s:v>
      </s:c>
      <s:c r="AE30" s="84">
        <s:f>IF('Key Assumptions'!B88="","",IF($D30&lt;DATE(2027,12,31),"EXPIRED",IF($D30-DATE(2027,12,31)&lt;=90,"RED &lt;90d",IF($D30-DATE(2027,12,31)&lt;=180,"YELLOW &lt;180d","GREEN"))))</s:f>
      </s:c>
    </s:row>
    <s:row r="31">
      <s:c r="A31" s="78">
        <s:f>'Key Assumptions'!A89</s:f>
        <s:v>24</s:v>
      </s:c>
      <s:c r="B31" s="26">
        <s:f>'Key Assumptions'!B89</s:f>
        <s:v>0</s:v>
      </s:c>
      <s:c r="C31" s="79">
        <s:f>IF('Key Assumptions'!H89="",0,EDATE('Key Assumptions'!H89,'Key Assumptions'!$I$12))</s:f>
        <s:v>0</s:v>
      </s:c>
      <s:c r="D31" s="79">
        <s:f>IF('Key Assumptions'!I89="",0,'Key Assumptions'!I89)</s:f>
        <s:v>0</s:v>
      </s:c>
      <s:c r="E31" s="16">
        <s:f>N('Key Assumptions'!J89)</s:f>
        <s:v>0</s:v>
      </s:c>
      <s:c r="F31" s="80">
        <s:f>N('Key Assumptions'!K89)</s:f>
        <s:v>0</s:v>
      </s:c>
      <s:c r="G31" s="79">
        <s:f>IF('Key Assumptions'!L89="",0,'Key Assumptions'!L89)</s:f>
        <s:v>0</s:v>
      </s:c>
      <s:c r="H31" s="16">
        <s:f>IF('Key Assumptions'!R89="",IF(E31&gt;0,E31*'Key Assumptions'!$B$61,0),'Key Assumptions'!R89)</s:f>
        <s:v>0</s:v>
      </s:c>
      <s:c r="I31" s="16">
        <s:f>N('Key Assumptions'!M89)</s:f>
        <s:v>0</s:v>
      </s:c>
      <s:c r="J31" s="16">
        <s:f>N('Key Assumptions'!N89)</s:f>
        <s:v>0</s:v>
      </s:c>
      <s:c r="K31" s="16">
        <s:f>N('Key Assumptions'!O89)</s:f>
        <s:v>0</s:v>
      </s:c>
      <s:c r="L31" s="81">
        <s:f>N('Key Assumptions'!P89)</s:f>
        <s:v>0</s:v>
      </s:c>
      <s:c r="M31" s="82" t="str">
        <s:f>IF('Key Assumptions'!Q89="",'Key Assumptions'!$B$60,'Key Assumptions'!Q89)</s:f>
        <s:v>Straight-line</s:v>
      </s:c>
      <s:c r="N31" s="16">
        <s:f>IF($M31="Straight-line",IFERROR($K31/($L31*12),0),0)</s:f>
        <s:v>0</s:v>
      </s:c>
      <s:c r="Q31" s="16">
        <s:f>IF(AND($C31&gt;0,$C31&lt;=Q$5,$D31&gt;=Q$4),$E31*(1+$F31*(Q$4&gt;=$G31))*'Key Assumptions'!$H$12+$H31+IF($M31="Straight-line",$N31,0),0)+IF(AND($M31="Upfront",$C31&gt;=Q$4,$C31&lt;=Q$5),$K31,0)+IF(AND($C31&gt;0,$C31&gt;=Q$4,$C31&lt;=Q$5),$I31+$J31,0)</s:f>
        <s:v>0</s:v>
      </s:c>
      <s:c r="R31" s="16">
        <s:f>IF(AND($C31&gt;0,$C31&lt;=R$5,$D31&gt;=R$4),$E31*(1+$F31*(R$4&gt;=$G31))*'Key Assumptions'!$H$12+$H31+IF($M31="Straight-line",$N31,0),0)+IF(AND($M31="Upfront",$C31&gt;=R$4,$C31&lt;=R$5),$K31,0)+IF(AND($C31&gt;0,$C31&gt;=R$4,$C31&lt;=R$5),$I31+$J31,0)</s:f>
        <s:v>0</s:v>
      </s:c>
      <s:c r="S31" s="16">
        <s:f>IF(AND($C31&gt;0,$C31&lt;=S$5,$D31&gt;=S$4),$E31*(1+$F31*(S$4&gt;=$G31))*'Key Assumptions'!$H$12+$H31+IF($M31="Straight-line",$N31,0),0)+IF(AND($M31="Upfront",$C31&gt;=S$4,$C31&lt;=S$5),$K31,0)+IF(AND($C31&gt;0,$C31&gt;=S$4,$C31&lt;=S$5),$I31+$J31,0)</s:f>
        <s:v>0</s:v>
      </s:c>
      <s:c r="T31" s="16">
        <s:f>IF(AND($C31&gt;0,$C31&lt;=T$5,$D31&gt;=T$4),$E31*(1+$F31*(T$4&gt;=$G31))*'Key Assumptions'!$H$12+$H31+IF($M31="Straight-line",$N31,0),0)+IF(AND($M31="Upfront",$C31&gt;=T$4,$C31&lt;=T$5),$K31,0)+IF(AND($C31&gt;0,$C31&gt;=T$4,$C31&lt;=T$5),$I31+$J31,0)</s:f>
        <s:v>0</s:v>
      </s:c>
      <s:c r="U31" s="16">
        <s:f>IF(AND($C31&gt;0,$C31&lt;=U$5,$D31&gt;=U$4),$E31*(1+$F31*(U$4&gt;=$G31))*'Key Assumptions'!$H$12+$H31+IF($M31="Straight-line",$N31,0),0)+IF(AND($M31="Upfront",$C31&gt;=U$4,$C31&lt;=U$5),$K31,0)+IF(AND($C31&gt;0,$C31&gt;=U$4,$C31&lt;=U$5),$I31+$J31,0)</s:f>
        <s:v>0</s:v>
      </s:c>
      <s:c r="V31" s="16">
        <s:f>IF(AND($C31&gt;0,$C31&lt;=V$5,$D31&gt;=V$4),$E31*(1+$F31*(V$4&gt;=$G31))*'Key Assumptions'!$H$12+$H31+IF($M31="Straight-line",$N31,0),0)+IF(AND($M31="Upfront",$C31&gt;=V$4,$C31&lt;=V$5),$K31,0)+IF(AND($C31&gt;0,$C31&gt;=V$4,$C31&lt;=V$5),$I31+$J31,0)</s:f>
        <s:v>0</s:v>
      </s:c>
      <s:c r="W31" s="16">
        <s:f>IF(AND($C31&gt;0,$C31&lt;=W$5,$D31&gt;=W$4),$E31*(1+$F31*(W$4&gt;=$G31))*'Key Assumptions'!$H$12+$H31+IF($M31="Straight-line",$N31,0),0)+IF(AND($M31="Upfront",$C31&gt;=W$4,$C31&lt;=W$5),$K31,0)+IF(AND($C31&gt;0,$C31&gt;=W$4,$C31&lt;=W$5),$I31+$J31,0)</s:f>
        <s:v>0</s:v>
      </s:c>
      <s:c r="X31" s="16">
        <s:f>IF(AND($C31&gt;0,$C31&lt;=X$5,$D31&gt;=X$4),$E31*(1+$F31*(X$4&gt;=$G31))*'Key Assumptions'!$H$12+$H31+IF($M31="Straight-line",$N31,0),0)+IF(AND($M31="Upfront",$C31&gt;=X$4,$C31&lt;=X$5),$K31,0)+IF(AND($C31&gt;0,$C31&gt;=X$4,$C31&lt;=X$5),$I31+$J31,0)</s:f>
        <s:v>0</s:v>
      </s:c>
      <s:c r="Y31" s="16">
        <s:f>IF(AND($C31&gt;0,$C31&lt;=Y$5,$D31&gt;=Y$4),$E31*(1+$F31*(Y$4&gt;=$G31))*'Key Assumptions'!$H$12+$H31+IF($M31="Straight-line",$N31,0),0)+IF(AND($M31="Upfront",$C31&gt;=Y$4,$C31&lt;=Y$5),$K31,0)+IF(AND($C31&gt;0,$C31&gt;=Y$4,$C31&lt;=Y$5),$I31+$J31,0)</s:f>
        <s:v>0</s:v>
      </s:c>
      <s:c r="Z31" s="16">
        <s:f>IF(AND($C31&gt;0,$C31&lt;=Z$5,$D31&gt;=Z$4),$E31*(1+$F31*(Z$4&gt;=$G31))*'Key Assumptions'!$H$12+$H31+IF($M31="Straight-line",$N31,0),0)+IF(AND($M31="Upfront",$C31&gt;=Z$4,$C31&lt;=Z$5),$K31,0)+IF(AND($C31&gt;0,$C31&gt;=Z$4,$C31&lt;=Z$5),$I31+$J31,0)</s:f>
        <s:v>0</s:v>
      </s:c>
      <s:c r="AA31" s="16">
        <s:f>IF(AND($C31&gt;0,$C31&lt;=AA$5,$D31&gt;=AA$4),$E31*(1+$F31*(AA$4&gt;=$G31))*'Key Assumptions'!$H$12+$H31+IF($M31="Straight-line",$N31,0),0)+IF(AND($M31="Upfront",$C31&gt;=AA$4,$C31&lt;=AA$5),$K31,0)+IF(AND($C31&gt;0,$C31&gt;=AA$4,$C31&lt;=AA$5),$I31+$J31,0)</s:f>
        <s:v>0</s:v>
      </s:c>
      <s:c r="AB31" s="16">
        <s:f>IF(AND($C31&gt;0,$C31&lt;=AB$5,$D31&gt;=AB$4),$E31*(1+$F31*(AB$4&gt;=$G31))*'Key Assumptions'!$H$12+$H31+IF($M31="Straight-line",$N31,0),0)+IF(AND($M31="Upfront",$C31&gt;=AB$4,$C31&lt;=AB$5),$K31,0)+IF(AND($C31&gt;0,$C31&gt;=AB$4,$C31&lt;=AB$5),$I31+$J31,0)</s:f>
        <s:v>0</s:v>
      </s:c>
      <s:c r="AC31" s="71">
        <s:f>SUM(Q31:AB31)</s:f>
        <s:v>0</s:v>
      </s:c>
      <s:c r="AD31" s="83">
        <s:f>IF($D31&gt;0,$E31*MAX(0,(YEAR($D31)-2027)*12+(MONTH($D31)-12)),0)</s:f>
        <s:v>0</s:v>
      </s:c>
      <s:c r="AE31" s="84">
        <s:f>IF('Key Assumptions'!B89="","",IF($D31&lt;DATE(2027,12,31),"EXPIRED",IF($D31-DATE(2027,12,31)&lt;=90,"RED &lt;90d",IF($D31-DATE(2027,12,31)&lt;=180,"YELLOW &lt;180d","GREEN"))))</s:f>
      </s:c>
    </s:row>
    <s:row r="32">
      <s:c r="A32" s="78">
        <s:f>'Key Assumptions'!A90</s:f>
        <s:v>25</s:v>
      </s:c>
      <s:c r="B32" s="26">
        <s:f>'Key Assumptions'!B90</s:f>
        <s:v>0</s:v>
      </s:c>
      <s:c r="C32" s="79">
        <s:f>IF('Key Assumptions'!H90="",0,EDATE('Key Assumptions'!H90,'Key Assumptions'!$I$12))</s:f>
        <s:v>0</s:v>
      </s:c>
      <s:c r="D32" s="79">
        <s:f>IF('Key Assumptions'!I90="",0,'Key Assumptions'!I90)</s:f>
        <s:v>0</s:v>
      </s:c>
      <s:c r="E32" s="16">
        <s:f>N('Key Assumptions'!J90)</s:f>
        <s:v>0</s:v>
      </s:c>
      <s:c r="F32" s="80">
        <s:f>N('Key Assumptions'!K90)</s:f>
        <s:v>0</s:v>
      </s:c>
      <s:c r="G32" s="79">
        <s:f>IF('Key Assumptions'!L90="",0,'Key Assumptions'!L90)</s:f>
        <s:v>0</s:v>
      </s:c>
      <s:c r="H32" s="16">
        <s:f>IF('Key Assumptions'!R90="",IF(E32&gt;0,E32*'Key Assumptions'!$B$61,0),'Key Assumptions'!R90)</s:f>
        <s:v>0</s:v>
      </s:c>
      <s:c r="I32" s="16">
        <s:f>N('Key Assumptions'!M90)</s:f>
        <s:v>0</s:v>
      </s:c>
      <s:c r="J32" s="16">
        <s:f>N('Key Assumptions'!N90)</s:f>
        <s:v>0</s:v>
      </s:c>
      <s:c r="K32" s="16">
        <s:f>N('Key Assumptions'!O90)</s:f>
        <s:v>0</s:v>
      </s:c>
      <s:c r="L32" s="81">
        <s:f>N('Key Assumptions'!P90)</s:f>
        <s:v>0</s:v>
      </s:c>
      <s:c r="M32" s="82" t="str">
        <s:f>IF('Key Assumptions'!Q90="",'Key Assumptions'!$B$60,'Key Assumptions'!Q90)</s:f>
        <s:v>Straight-line</s:v>
      </s:c>
      <s:c r="N32" s="16">
        <s:f>IF($M32="Straight-line",IFERROR($K32/($L32*12),0),0)</s:f>
        <s:v>0</s:v>
      </s:c>
      <s:c r="Q32" s="16">
        <s:f>IF(AND($C32&gt;0,$C32&lt;=Q$5,$D32&gt;=Q$4),$E32*(1+$F32*(Q$4&gt;=$G32))*'Key Assumptions'!$H$12+$H32+IF($M32="Straight-line",$N32,0),0)+IF(AND($M32="Upfront",$C32&gt;=Q$4,$C32&lt;=Q$5),$K32,0)+IF(AND($C32&gt;0,$C32&gt;=Q$4,$C32&lt;=Q$5),$I32+$J32,0)</s:f>
        <s:v>0</s:v>
      </s:c>
      <s:c r="R32" s="16">
        <s:f>IF(AND($C32&gt;0,$C32&lt;=R$5,$D32&gt;=R$4),$E32*(1+$F32*(R$4&gt;=$G32))*'Key Assumptions'!$H$12+$H32+IF($M32="Straight-line",$N32,0),0)+IF(AND($M32="Upfront",$C32&gt;=R$4,$C32&lt;=R$5),$K32,0)+IF(AND($C32&gt;0,$C32&gt;=R$4,$C32&lt;=R$5),$I32+$J32,0)</s:f>
        <s:v>0</s:v>
      </s:c>
      <s:c r="S32" s="16">
        <s:f>IF(AND($C32&gt;0,$C32&lt;=S$5,$D32&gt;=S$4),$E32*(1+$F32*(S$4&gt;=$G32))*'Key Assumptions'!$H$12+$H32+IF($M32="Straight-line",$N32,0),0)+IF(AND($M32="Upfront",$C32&gt;=S$4,$C32&lt;=S$5),$K32,0)+IF(AND($C32&gt;0,$C32&gt;=S$4,$C32&lt;=S$5),$I32+$J32,0)</s:f>
        <s:v>0</s:v>
      </s:c>
      <s:c r="T32" s="16">
        <s:f>IF(AND($C32&gt;0,$C32&lt;=T$5,$D32&gt;=T$4),$E32*(1+$F32*(T$4&gt;=$G32))*'Key Assumptions'!$H$12+$H32+IF($M32="Straight-line",$N32,0),0)+IF(AND($M32="Upfront",$C32&gt;=T$4,$C32&lt;=T$5),$K32,0)+IF(AND($C32&gt;0,$C32&gt;=T$4,$C32&lt;=T$5),$I32+$J32,0)</s:f>
        <s:v>0</s:v>
      </s:c>
      <s:c r="U32" s="16">
        <s:f>IF(AND($C32&gt;0,$C32&lt;=U$5,$D32&gt;=U$4),$E32*(1+$F32*(U$4&gt;=$G32))*'Key Assumptions'!$H$12+$H32+IF($M32="Straight-line",$N32,0),0)+IF(AND($M32="Upfront",$C32&gt;=U$4,$C32&lt;=U$5),$K32,0)+IF(AND($C32&gt;0,$C32&gt;=U$4,$C32&lt;=U$5),$I32+$J32,0)</s:f>
        <s:v>0</s:v>
      </s:c>
      <s:c r="V32" s="16">
        <s:f>IF(AND($C32&gt;0,$C32&lt;=V$5,$D32&gt;=V$4),$E32*(1+$F32*(V$4&gt;=$G32))*'Key Assumptions'!$H$12+$H32+IF($M32="Straight-line",$N32,0),0)+IF(AND($M32="Upfront",$C32&gt;=V$4,$C32&lt;=V$5),$K32,0)+IF(AND($C32&gt;0,$C32&gt;=V$4,$C32&lt;=V$5),$I32+$J32,0)</s:f>
        <s:v>0</s:v>
      </s:c>
      <s:c r="W32" s="16">
        <s:f>IF(AND($C32&gt;0,$C32&lt;=W$5,$D32&gt;=W$4),$E32*(1+$F32*(W$4&gt;=$G32))*'Key Assumptions'!$H$12+$H32+IF($M32="Straight-line",$N32,0),0)+IF(AND($M32="Upfront",$C32&gt;=W$4,$C32&lt;=W$5),$K32,0)+IF(AND($C32&gt;0,$C32&gt;=W$4,$C32&lt;=W$5),$I32+$J32,0)</s:f>
        <s:v>0</s:v>
      </s:c>
      <s:c r="X32" s="16">
        <s:f>IF(AND($C32&gt;0,$C32&lt;=X$5,$D32&gt;=X$4),$E32*(1+$F32*(X$4&gt;=$G32))*'Key Assumptions'!$H$12+$H32+IF($M32="Straight-line",$N32,0),0)+IF(AND($M32="Upfront",$C32&gt;=X$4,$C32&lt;=X$5),$K32,0)+IF(AND($C32&gt;0,$C32&gt;=X$4,$C32&lt;=X$5),$I32+$J32,0)</s:f>
        <s:v>0</s:v>
      </s:c>
      <s:c r="Y32" s="16">
        <s:f>IF(AND($C32&gt;0,$C32&lt;=Y$5,$D32&gt;=Y$4),$E32*(1+$F32*(Y$4&gt;=$G32))*'Key Assumptions'!$H$12+$H32+IF($M32="Straight-line",$N32,0),0)+IF(AND($M32="Upfront",$C32&gt;=Y$4,$C32&lt;=Y$5),$K32,0)+IF(AND($C32&gt;0,$C32&gt;=Y$4,$C32&lt;=Y$5),$I32+$J32,0)</s:f>
        <s:v>0</s:v>
      </s:c>
      <s:c r="Z32" s="16">
        <s:f>IF(AND($C32&gt;0,$C32&lt;=Z$5,$D32&gt;=Z$4),$E32*(1+$F32*(Z$4&gt;=$G32))*'Key Assumptions'!$H$12+$H32+IF($M32="Straight-line",$N32,0),0)+IF(AND($M32="Upfront",$C32&gt;=Z$4,$C32&lt;=Z$5),$K32,0)+IF(AND($C32&gt;0,$C32&gt;=Z$4,$C32&lt;=Z$5),$I32+$J32,0)</s:f>
        <s:v>0</s:v>
      </s:c>
      <s:c r="AA32" s="16">
        <s:f>IF(AND($C32&gt;0,$C32&lt;=AA$5,$D32&gt;=AA$4),$E32*(1+$F32*(AA$4&gt;=$G32))*'Key Assumptions'!$H$12+$H32+IF($M32="Straight-line",$N32,0),0)+IF(AND($M32="Upfront",$C32&gt;=AA$4,$C32&lt;=AA$5),$K32,0)+IF(AND($C32&gt;0,$C32&gt;=AA$4,$C32&lt;=AA$5),$I32+$J32,0)</s:f>
        <s:v>0</s:v>
      </s:c>
      <s:c r="AB32" s="16">
        <s:f>IF(AND($C32&gt;0,$C32&lt;=AB$5,$D32&gt;=AB$4),$E32*(1+$F32*(AB$4&gt;=$G32))*'Key Assumptions'!$H$12+$H32+IF($M32="Straight-line",$N32,0),0)+IF(AND($M32="Upfront",$C32&gt;=AB$4,$C32&lt;=AB$5),$K32,0)+IF(AND($C32&gt;0,$C32&gt;=AB$4,$C32&lt;=AB$5),$I32+$J32,0)</s:f>
        <s:v>0</s:v>
      </s:c>
      <s:c r="AC32" s="71">
        <s:f>SUM(Q32:AB32)</s:f>
        <s:v>0</s:v>
      </s:c>
      <s:c r="AD32" s="83">
        <s:f>IF($D32&gt;0,$E32*MAX(0,(YEAR($D32)-2027)*12+(MONTH($D32)-12)),0)</s:f>
        <s:v>0</s:v>
      </s:c>
      <s:c r="AE32" s="84">
        <s:f>IF('Key Assumptions'!B90="","",IF($D32&lt;DATE(2027,12,31),"EXPIRED",IF($D32-DATE(2027,12,31)&lt;=90,"RED &lt;90d",IF($D32-DATE(2027,12,31)&lt;=180,"YELLOW &lt;180d","GREEN"))))</s:f>
      </s:c>
    </s:row>
    <s:row r="33">
      <s:c r="A33" s="85" t="inlineStr">
        <s:is>
          <s:t>TOTAL — ALL CONTRACTS</s:t>
        </s:is>
      </s:c>
      <s:c r="B33" s="86" t="n"/>
      <s:c r="C33" s="86" t="n"/>
      <s:c r="D33" s="86" t="n"/>
      <s:c r="E33" s="86" t="n"/>
      <s:c r="F33" s="86" t="n"/>
      <s:c r="G33" s="86" t="n"/>
      <s:c r="H33" s="86" t="n"/>
      <s:c r="I33" s="86" t="n"/>
      <s:c r="J33" s="86" t="n"/>
      <s:c r="K33" s="86" t="n"/>
      <s:c r="L33" s="86" t="n"/>
      <s:c r="M33" s="86" t="n"/>
      <s:c r="N33" s="86" t="n"/>
      <s:c r="O33" s="86" t="n"/>
      <s:c r="P33" s="87" t="n"/>
      <s:c r="Q33" s="88">
        <s:f>SUM(Q8:Q32)</s:f>
        <s:v>1595</s:v>
      </s:c>
      <s:c r="R33" s="88">
        <s:f>SUM(R8:R32)</s:f>
        <s:v>1595</s:v>
      </s:c>
      <s:c r="S33" s="88">
        <s:f>SUM(S8:S32)</s:f>
        <s:v>1595</s:v>
      </s:c>
      <s:c r="T33" s="88">
        <s:f>SUM(T8:T32)</s:f>
        <s:v>1595</s:v>
      </s:c>
      <s:c r="U33" s="88">
        <s:f>SUM(U8:U32)</s:f>
        <s:v>1595</s:v>
      </s:c>
      <s:c r="V33" s="88">
        <s:f>SUM(V8:V32)</s:f>
        <s:v>1595</s:v>
      </s:c>
      <s:c r="W33" s="88">
        <s:f>SUM(W8:W32)</s:f>
        <s:v>1595</s:v>
      </s:c>
      <s:c r="X33" s="88">
        <s:f>SUM(X8:X32)</s:f>
        <s:v>1595</s:v>
      </s:c>
      <s:c r="Y33" s="88">
        <s:f>SUM(Y8:Y32)</s:f>
        <s:v>1595</s:v>
      </s:c>
      <s:c r="Z33" s="88">
        <s:f>SUM(Z8:Z32)</s:f>
        <s:v>1595</s:v>
      </s:c>
      <s:c r="AA33" s="88">
        <s:f>SUM(AA8:AA32)</s:f>
        <s:v>1595</s:v>
      </s:c>
      <s:c r="AB33" s="88">
        <s:f>SUM(AB8:AB32)</s:f>
        <s:v>1595</s:v>
      </s:c>
      <s:c r="AC33" s="88">
        <s:f>SUM(Q33:AB33)</s:f>
        <s:v>19140</s:v>
      </s:c>
      <s:c r="AD33" s="88">
        <s:f>SUM(AD8:AD32)</s:f>
        <s:v>57420</s:v>
      </s:c>
    </s:row>
    <s:row r="35">
      <s:c r="A35" s="17" t="inlineStr">
        <s:is>
          <s:t>MONTHLY REVENUE BY TYPE (all contracts)</s:t>
        </s:is>
      </s:c>
    </s:row>
    <s:row r="36">
      <s:c r="A36" s="15" t="inlineStr">
        <s:is>
          <s:t>Dark fiber recurring (lease)</s:t>
        </s:is>
      </s:c>
      <s:c r="Q36" s="16">
        <s:f>SUMPRODUCT(($C$8:$C$32&gt;0)*($C$8:$C$32&lt;=Q$5)*($D$8:$D$32&gt;=Q$4)*$E$8:$E$32*(1+$F$8:$F$32*(Q$4&gt;=$G$8:$G$32)))*'Key Assumptions'!$H$12</s:f>
        <s:v>1595</s:v>
      </s:c>
      <s:c r="R36" s="16">
        <s:f>SUMPRODUCT(($C$8:$C$32&gt;0)*($C$8:$C$32&lt;=R$5)*($D$8:$D$32&gt;=R$4)*$E$8:$E$32*(1+$F$8:$F$32*(R$4&gt;=$G$8:$G$32)))*'Key Assumptions'!$H$12</s:f>
        <s:v>1595</s:v>
      </s:c>
      <s:c r="S36" s="16">
        <s:f>SUMPRODUCT(($C$8:$C$32&gt;0)*($C$8:$C$32&lt;=S$5)*($D$8:$D$32&gt;=S$4)*$E$8:$E$32*(1+$F$8:$F$32*(S$4&gt;=$G$8:$G$32)))*'Key Assumptions'!$H$12</s:f>
        <s:v>1595</s:v>
      </s:c>
      <s:c r="T36" s="16">
        <s:f>SUMPRODUCT(($C$8:$C$32&gt;0)*($C$8:$C$32&lt;=T$5)*($D$8:$D$32&gt;=T$4)*$E$8:$E$32*(1+$F$8:$F$32*(T$4&gt;=$G$8:$G$32)))*'Key Assumptions'!$H$12</s:f>
        <s:v>1595</s:v>
      </s:c>
      <s:c r="U36" s="16">
        <s:f>SUMPRODUCT(($C$8:$C$32&gt;0)*($C$8:$C$32&lt;=U$5)*($D$8:$D$32&gt;=U$4)*$E$8:$E$32*(1+$F$8:$F$32*(U$4&gt;=$G$8:$G$32)))*'Key Assumptions'!$H$12</s:f>
        <s:v>1595</s:v>
      </s:c>
      <s:c r="V36" s="16">
        <s:f>SUMPRODUCT(($C$8:$C$32&gt;0)*($C$8:$C$32&lt;=V$5)*($D$8:$D$32&gt;=V$4)*$E$8:$E$32*(1+$F$8:$F$32*(V$4&gt;=$G$8:$G$32)))*'Key Assumptions'!$H$12</s:f>
        <s:v>1595</s:v>
      </s:c>
      <s:c r="W36" s="16">
        <s:f>SUMPRODUCT(($C$8:$C$32&gt;0)*($C$8:$C$32&lt;=W$5)*($D$8:$D$32&gt;=W$4)*$E$8:$E$32*(1+$F$8:$F$32*(W$4&gt;=$G$8:$G$32)))*'Key Assumptions'!$H$12</s:f>
        <s:v>1595</s:v>
      </s:c>
      <s:c r="X36" s="16">
        <s:f>SUMPRODUCT(($C$8:$C$32&gt;0)*($C$8:$C$32&lt;=X$5)*($D$8:$D$32&gt;=X$4)*$E$8:$E$32*(1+$F$8:$F$32*(X$4&gt;=$G$8:$G$32)))*'Key Assumptions'!$H$12</s:f>
        <s:v>1595</s:v>
      </s:c>
      <s:c r="Y36" s="16">
        <s:f>SUMPRODUCT(($C$8:$C$32&gt;0)*($C$8:$C$32&lt;=Y$5)*($D$8:$D$32&gt;=Y$4)*$E$8:$E$32*(1+$F$8:$F$32*(Y$4&gt;=$G$8:$G$32)))*'Key Assumptions'!$H$12</s:f>
        <s:v>1595</s:v>
      </s:c>
      <s:c r="Z36" s="16">
        <s:f>SUMPRODUCT(($C$8:$C$32&gt;0)*($C$8:$C$32&lt;=Z$5)*($D$8:$D$32&gt;=Z$4)*$E$8:$E$32*(1+$F$8:$F$32*(Z$4&gt;=$G$8:$G$32)))*'Key Assumptions'!$H$12</s:f>
        <s:v>1595</s:v>
      </s:c>
      <s:c r="AA36" s="16">
        <s:f>SUMPRODUCT(($C$8:$C$32&gt;0)*($C$8:$C$32&lt;=AA$5)*($D$8:$D$32&gt;=AA$4)*$E$8:$E$32*(1+$F$8:$F$32*(AA$4&gt;=$G$8:$G$32)))*'Key Assumptions'!$H$12</s:f>
        <s:v>1595</s:v>
      </s:c>
      <s:c r="AB36" s="16">
        <s:f>SUMPRODUCT(($C$8:$C$32&gt;0)*($C$8:$C$32&lt;=AB$5)*($D$8:$D$32&gt;=AB$4)*$E$8:$E$32*(1+$F$8:$F$32*(AB$4&gt;=$G$8:$G$32)))*'Key Assumptions'!$H$12</s:f>
        <s:v>1595</s:v>
      </s:c>
      <s:c r="AC36" s="71">
        <s:f>SUM(Q36:AB36)</s:f>
        <s:v>19140</s:v>
      </s:c>
    </s:row>
    <s:row r="37">
      <s:c r="A37" s="15" t="inlineStr">
        <s:is>
          <s:t>O&amp;M revenue</s:t>
        </s:is>
      </s:c>
      <s:c r="Q37" s="16">
        <s:f>SUMPRODUCT(($C$8:$C$32&gt;0)*($C$8:$C$32&lt;=Q$5)*($D$8:$D$32&gt;=Q$4)*$H$8:$H$32)</s:f>
        <s:v>0</s:v>
      </s:c>
      <s:c r="R37" s="16">
        <s:f>SUMPRODUCT(($C$8:$C$32&gt;0)*($C$8:$C$32&lt;=R$5)*($D$8:$D$32&gt;=R$4)*$H$8:$H$32)</s:f>
        <s:v>0</s:v>
      </s:c>
      <s:c r="S37" s="16">
        <s:f>SUMPRODUCT(($C$8:$C$32&gt;0)*($C$8:$C$32&lt;=S$5)*($D$8:$D$32&gt;=S$4)*$H$8:$H$32)</s:f>
        <s:v>0</s:v>
      </s:c>
      <s:c r="T37" s="16">
        <s:f>SUMPRODUCT(($C$8:$C$32&gt;0)*($C$8:$C$32&lt;=T$5)*($D$8:$D$32&gt;=T$4)*$H$8:$H$32)</s:f>
        <s:v>0</s:v>
      </s:c>
      <s:c r="U37" s="16">
        <s:f>SUMPRODUCT(($C$8:$C$32&gt;0)*($C$8:$C$32&lt;=U$5)*($D$8:$D$32&gt;=U$4)*$H$8:$H$32)</s:f>
        <s:v>0</s:v>
      </s:c>
      <s:c r="V37" s="16">
        <s:f>SUMPRODUCT(($C$8:$C$32&gt;0)*($C$8:$C$32&lt;=V$5)*($D$8:$D$32&gt;=V$4)*$H$8:$H$32)</s:f>
        <s:v>0</s:v>
      </s:c>
      <s:c r="W37" s="16">
        <s:f>SUMPRODUCT(($C$8:$C$32&gt;0)*($C$8:$C$32&lt;=W$5)*($D$8:$D$32&gt;=W$4)*$H$8:$H$32)</s:f>
        <s:v>0</s:v>
      </s:c>
      <s:c r="X37" s="16">
        <s:f>SUMPRODUCT(($C$8:$C$32&gt;0)*($C$8:$C$32&lt;=X$5)*($D$8:$D$32&gt;=X$4)*$H$8:$H$32)</s:f>
        <s:v>0</s:v>
      </s:c>
      <s:c r="Y37" s="16">
        <s:f>SUMPRODUCT(($C$8:$C$32&gt;0)*($C$8:$C$32&lt;=Y$5)*($D$8:$D$32&gt;=Y$4)*$H$8:$H$32)</s:f>
        <s:v>0</s:v>
      </s:c>
      <s:c r="Z37" s="16">
        <s:f>SUMPRODUCT(($C$8:$C$32&gt;0)*($C$8:$C$32&lt;=Z$5)*($D$8:$D$32&gt;=Z$4)*$H$8:$H$32)</s:f>
        <s:v>0</s:v>
      </s:c>
      <s:c r="AA37" s="16">
        <s:f>SUMPRODUCT(($C$8:$C$32&gt;0)*($C$8:$C$32&lt;=AA$5)*($D$8:$D$32&gt;=AA$4)*$H$8:$H$32)</s:f>
        <s:v>0</s:v>
      </s:c>
      <s:c r="AB37" s="16">
        <s:f>SUMPRODUCT(($C$8:$C$32&gt;0)*($C$8:$C$32&lt;=AB$5)*($D$8:$D$32&gt;=AB$4)*$H$8:$H$32)</s:f>
        <s:v>0</s:v>
      </s:c>
      <s:c r="AC37" s="71">
        <s:f>SUM(Q37:AB37)</s:f>
        <s:v>0</s:v>
      </s:c>
    </s:row>
    <s:row r="38">
      <s:c r="A38" s="15" t="inlineStr">
        <s:is>
          <s:t>IRU revenue recognized</s:t>
        </s:is>
      </s:c>
      <s:c r="Q38" s="16">
        <s:f>SUMPRODUCT(($M$8:$M$32="Straight-line")*($C$8:$C$32&gt;0)*($C$8:$C$32&lt;=Q$5)*($D$8:$D$32&gt;=Q$4)*$N$8:$N$32)+SUMPRODUCT(($M$8:$M$32="Upfront")*($C$8:$C$32&gt;0)*($C$8:$C$32&gt;=Q$4)*($C$8:$C$32&lt;=Q$5)*$K$8:$K$32)</s:f>
        <s:v>0</s:v>
      </s:c>
      <s:c r="R38" s="16">
        <s:f>SUMPRODUCT(($M$8:$M$32="Straight-line")*($C$8:$C$32&gt;0)*($C$8:$C$32&lt;=R$5)*($D$8:$D$32&gt;=R$4)*$N$8:$N$32)+SUMPRODUCT(($M$8:$M$32="Upfront")*($C$8:$C$32&gt;0)*($C$8:$C$32&gt;=R$4)*($C$8:$C$32&lt;=R$5)*$K$8:$K$32)</s:f>
        <s:v>0</s:v>
      </s:c>
      <s:c r="S38" s="16">
        <s:f>SUMPRODUCT(($M$8:$M$32="Straight-line")*($C$8:$C$32&gt;0)*($C$8:$C$32&lt;=S$5)*($D$8:$D$32&gt;=S$4)*$N$8:$N$32)+SUMPRODUCT(($M$8:$M$32="Upfront")*($C$8:$C$32&gt;0)*($C$8:$C$32&gt;=S$4)*($C$8:$C$32&lt;=S$5)*$K$8:$K$32)</s:f>
        <s:v>0</s:v>
      </s:c>
      <s:c r="T38" s="16">
        <s:f>SUMPRODUCT(($M$8:$M$32="Straight-line")*($C$8:$C$32&gt;0)*($C$8:$C$32&lt;=T$5)*($D$8:$D$32&gt;=T$4)*$N$8:$N$32)+SUMPRODUCT(($M$8:$M$32="Upfront")*($C$8:$C$32&gt;0)*($C$8:$C$32&gt;=T$4)*($C$8:$C$32&lt;=T$5)*$K$8:$K$32)</s:f>
        <s:v>0</s:v>
      </s:c>
      <s:c r="U38" s="16">
        <s:f>SUMPRODUCT(($M$8:$M$32="Straight-line")*($C$8:$C$32&gt;0)*($C$8:$C$32&lt;=U$5)*($D$8:$D$32&gt;=U$4)*$N$8:$N$32)+SUMPRODUCT(($M$8:$M$32="Upfront")*($C$8:$C$32&gt;0)*($C$8:$C$32&gt;=U$4)*($C$8:$C$32&lt;=U$5)*$K$8:$K$32)</s:f>
        <s:v>0</s:v>
      </s:c>
      <s:c r="V38" s="16">
        <s:f>SUMPRODUCT(($M$8:$M$32="Straight-line")*($C$8:$C$32&gt;0)*($C$8:$C$32&lt;=V$5)*($D$8:$D$32&gt;=V$4)*$N$8:$N$32)+SUMPRODUCT(($M$8:$M$32="Upfront")*($C$8:$C$32&gt;0)*($C$8:$C$32&gt;=V$4)*($C$8:$C$32&lt;=V$5)*$K$8:$K$32)</s:f>
        <s:v>0</s:v>
      </s:c>
      <s:c r="W38" s="16">
        <s:f>SUMPRODUCT(($M$8:$M$32="Straight-line")*($C$8:$C$32&gt;0)*($C$8:$C$32&lt;=W$5)*($D$8:$D$32&gt;=W$4)*$N$8:$N$32)+SUMPRODUCT(($M$8:$M$32="Upfront")*($C$8:$C$32&gt;0)*($C$8:$C$32&gt;=W$4)*($C$8:$C$32&lt;=W$5)*$K$8:$K$32)</s:f>
        <s:v>0</s:v>
      </s:c>
      <s:c r="X38" s="16">
        <s:f>SUMPRODUCT(($M$8:$M$32="Straight-line")*($C$8:$C$32&gt;0)*($C$8:$C$32&lt;=X$5)*($D$8:$D$32&gt;=X$4)*$N$8:$N$32)+SUMPRODUCT(($M$8:$M$32="Upfront")*($C$8:$C$32&gt;0)*($C$8:$C$32&gt;=X$4)*($C$8:$C$32&lt;=X$5)*$K$8:$K$32)</s:f>
        <s:v>0</s:v>
      </s:c>
      <s:c r="Y38" s="16">
        <s:f>SUMPRODUCT(($M$8:$M$32="Straight-line")*($C$8:$C$32&gt;0)*($C$8:$C$32&lt;=Y$5)*($D$8:$D$32&gt;=Y$4)*$N$8:$N$32)+SUMPRODUCT(($M$8:$M$32="Upfront")*($C$8:$C$32&gt;0)*($C$8:$C$32&gt;=Y$4)*($C$8:$C$32&lt;=Y$5)*$K$8:$K$32)</s:f>
        <s:v>0</s:v>
      </s:c>
      <s:c r="Z38" s="16">
        <s:f>SUMPRODUCT(($M$8:$M$32="Straight-line")*($C$8:$C$32&gt;0)*($C$8:$C$32&lt;=Z$5)*($D$8:$D$32&gt;=Z$4)*$N$8:$N$32)+SUMPRODUCT(($M$8:$M$32="Upfront")*($C$8:$C$32&gt;0)*($C$8:$C$32&gt;=Z$4)*($C$8:$C$32&lt;=Z$5)*$K$8:$K$32)</s:f>
        <s:v>0</s:v>
      </s:c>
      <s:c r="AA38" s="16">
        <s:f>SUMPRODUCT(($M$8:$M$32="Straight-line")*($C$8:$C$32&gt;0)*($C$8:$C$32&lt;=AA$5)*($D$8:$D$32&gt;=AA$4)*$N$8:$N$32)+SUMPRODUCT(($M$8:$M$32="Upfront")*($C$8:$C$32&gt;0)*($C$8:$C$32&gt;=AA$4)*($C$8:$C$32&lt;=AA$5)*$K$8:$K$32)</s:f>
        <s:v>0</s:v>
      </s:c>
      <s:c r="AB38" s="16">
        <s:f>SUMPRODUCT(($M$8:$M$32="Straight-line")*($C$8:$C$32&gt;0)*($C$8:$C$32&lt;=AB$5)*($D$8:$D$32&gt;=AB$4)*$N$8:$N$32)+SUMPRODUCT(($M$8:$M$32="Upfront")*($C$8:$C$32&gt;0)*($C$8:$C$32&gt;=AB$4)*($C$8:$C$32&lt;=AB$5)*$K$8:$K$32)</s:f>
        <s:v>0</s:v>
      </s:c>
      <s:c r="AC38" s="71">
        <s:f>SUM(Q38:AB38)</s:f>
        <s:v>0</s:v>
      </s:c>
    </s:row>
    <s:row r="39">
      <s:c r="A39" s="15" t="inlineStr">
        <s:is>
          <s:t>One-time construction</s:t>
        </s:is>
      </s:c>
      <s:c r="Q39" s="16">
        <s:f>SUMPRODUCT(($C$8:$C$32&gt;0)*($C$8:$C$32&gt;=Q$4)*($C$8:$C$32&lt;=Q$5)*$I$8:$I$32)</s:f>
        <s:v>0</s:v>
      </s:c>
      <s:c r="R39" s="16">
        <s:f>SUMPRODUCT(($C$8:$C$32&gt;0)*($C$8:$C$32&gt;=R$4)*($C$8:$C$32&lt;=R$5)*$I$8:$I$32)</s:f>
        <s:v>0</s:v>
      </s:c>
      <s:c r="S39" s="16">
        <s:f>SUMPRODUCT(($C$8:$C$32&gt;0)*($C$8:$C$32&gt;=S$4)*($C$8:$C$32&lt;=S$5)*$I$8:$I$32)</s:f>
        <s:v>0</s:v>
      </s:c>
      <s:c r="T39" s="16">
        <s:f>SUMPRODUCT(($C$8:$C$32&gt;0)*($C$8:$C$32&gt;=T$4)*($C$8:$C$32&lt;=T$5)*$I$8:$I$32)</s:f>
        <s:v>0</s:v>
      </s:c>
      <s:c r="U39" s="16">
        <s:f>SUMPRODUCT(($C$8:$C$32&gt;0)*($C$8:$C$32&gt;=U$4)*($C$8:$C$32&lt;=U$5)*$I$8:$I$32)</s:f>
        <s:v>0</s:v>
      </s:c>
      <s:c r="V39" s="16">
        <s:f>SUMPRODUCT(($C$8:$C$32&gt;0)*($C$8:$C$32&gt;=V$4)*($C$8:$C$32&lt;=V$5)*$I$8:$I$32)</s:f>
        <s:v>0</s:v>
      </s:c>
      <s:c r="W39" s="16">
        <s:f>SUMPRODUCT(($C$8:$C$32&gt;0)*($C$8:$C$32&gt;=W$4)*($C$8:$C$32&lt;=W$5)*$I$8:$I$32)</s:f>
        <s:v>0</s:v>
      </s:c>
      <s:c r="X39" s="16">
        <s:f>SUMPRODUCT(($C$8:$C$32&gt;0)*($C$8:$C$32&gt;=X$4)*($C$8:$C$32&lt;=X$5)*$I$8:$I$32)</s:f>
        <s:v>0</s:v>
      </s:c>
      <s:c r="Y39" s="16">
        <s:f>SUMPRODUCT(($C$8:$C$32&gt;0)*($C$8:$C$32&gt;=Y$4)*($C$8:$C$32&lt;=Y$5)*$I$8:$I$32)</s:f>
        <s:v>0</s:v>
      </s:c>
      <s:c r="Z39" s="16">
        <s:f>SUMPRODUCT(($C$8:$C$32&gt;0)*($C$8:$C$32&gt;=Z$4)*($C$8:$C$32&lt;=Z$5)*$I$8:$I$32)</s:f>
        <s:v>0</s:v>
      </s:c>
      <s:c r="AA39" s="16">
        <s:f>SUMPRODUCT(($C$8:$C$32&gt;0)*($C$8:$C$32&gt;=AA$4)*($C$8:$C$32&lt;=AA$5)*$I$8:$I$32)</s:f>
        <s:v>0</s:v>
      </s:c>
      <s:c r="AB39" s="16">
        <s:f>SUMPRODUCT(($C$8:$C$32&gt;0)*($C$8:$C$32&gt;=AB$4)*($C$8:$C$32&lt;=AB$5)*$I$8:$I$32)</s:f>
        <s:v>0</s:v>
      </s:c>
      <s:c r="AC39" s="71">
        <s:f>SUM(Q39:AB39)</s:f>
        <s:v>0</s:v>
      </s:c>
    </s:row>
    <s:row r="40">
      <s:c r="A40" s="15" t="inlineStr">
        <s:is>
          <s:t>One-time activation</s:t>
        </s:is>
      </s:c>
      <s:c r="Q40" s="16">
        <s:f>SUMPRODUCT(($C$8:$C$32&gt;0)*($C$8:$C$32&gt;=Q$4)*($C$8:$C$32&lt;=Q$5)*$J$8:$J$32)</s:f>
        <s:v>0</s:v>
      </s:c>
      <s:c r="R40" s="16">
        <s:f>SUMPRODUCT(($C$8:$C$32&gt;0)*($C$8:$C$32&gt;=R$4)*($C$8:$C$32&lt;=R$5)*$J$8:$J$32)</s:f>
        <s:v>0</s:v>
      </s:c>
      <s:c r="S40" s="16">
        <s:f>SUMPRODUCT(($C$8:$C$32&gt;0)*($C$8:$C$32&gt;=S$4)*($C$8:$C$32&lt;=S$5)*$J$8:$J$32)</s:f>
        <s:v>0</s:v>
      </s:c>
      <s:c r="T40" s="16">
        <s:f>SUMPRODUCT(($C$8:$C$32&gt;0)*($C$8:$C$32&gt;=T$4)*($C$8:$C$32&lt;=T$5)*$J$8:$J$32)</s:f>
        <s:v>0</s:v>
      </s:c>
      <s:c r="U40" s="16">
        <s:f>SUMPRODUCT(($C$8:$C$32&gt;0)*($C$8:$C$32&gt;=U$4)*($C$8:$C$32&lt;=U$5)*$J$8:$J$32)</s:f>
        <s:v>0</s:v>
      </s:c>
      <s:c r="V40" s="16">
        <s:f>SUMPRODUCT(($C$8:$C$32&gt;0)*($C$8:$C$32&gt;=V$4)*($C$8:$C$32&lt;=V$5)*$J$8:$J$32)</s:f>
        <s:v>0</s:v>
      </s:c>
      <s:c r="W40" s="16">
        <s:f>SUMPRODUCT(($C$8:$C$32&gt;0)*($C$8:$C$32&gt;=W$4)*($C$8:$C$32&lt;=W$5)*$J$8:$J$32)</s:f>
        <s:v>0</s:v>
      </s:c>
      <s:c r="X40" s="16">
        <s:f>SUMPRODUCT(($C$8:$C$32&gt;0)*($C$8:$C$32&gt;=X$4)*($C$8:$C$32&lt;=X$5)*$J$8:$J$32)</s:f>
        <s:v>0</s:v>
      </s:c>
      <s:c r="Y40" s="16">
        <s:f>SUMPRODUCT(($C$8:$C$32&gt;0)*($C$8:$C$32&gt;=Y$4)*($C$8:$C$32&lt;=Y$5)*$J$8:$J$32)</s:f>
        <s:v>0</s:v>
      </s:c>
      <s:c r="Z40" s="16">
        <s:f>SUMPRODUCT(($C$8:$C$32&gt;0)*($C$8:$C$32&gt;=Z$4)*($C$8:$C$32&lt;=Z$5)*$J$8:$J$32)</s:f>
        <s:v>0</s:v>
      </s:c>
      <s:c r="AA40" s="16">
        <s:f>SUMPRODUCT(($C$8:$C$32&gt;0)*($C$8:$C$32&gt;=AA$4)*($C$8:$C$32&lt;=AA$5)*$J$8:$J$32)</s:f>
        <s:v>0</s:v>
      </s:c>
      <s:c r="AB40" s="16">
        <s:f>SUMPRODUCT(($C$8:$C$32&gt;0)*($C$8:$C$32&gt;=AB$4)*($C$8:$C$32&lt;=AB$5)*$J$8:$J$32)</s:f>
        <s:v>0</s:v>
      </s:c>
      <s:c r="AC40" s="71">
        <s:f>SUM(Q40:AB40)</s:f>
        <s:v>0</s:v>
      </s:c>
    </s:row>
    <s:row r="41">
      <s:c r="A41" s="15" t="inlineStr">
        <s:is>
          <s:t>Other recurring</s:t>
        </s:is>
      </s:c>
      <s:c r="Q41" s="16" t="n">
        <s:v>0</s:v>
      </s:c>
      <s:c r="R41" s="16" t="n">
        <s:v>0</s:v>
      </s:c>
      <s:c r="S41" s="16" t="n">
        <s:v>0</s:v>
      </s:c>
      <s:c r="T41" s="16" t="n">
        <s:v>0</s:v>
      </s:c>
      <s:c r="U41" s="16" t="n">
        <s:v>0</s:v>
      </s:c>
      <s:c r="V41" s="16" t="n">
        <s:v>0</s:v>
      </s:c>
      <s:c r="W41" s="16" t="n">
        <s:v>0</s:v>
      </s:c>
      <s:c r="X41" s="16" t="n">
        <s:v>0</s:v>
      </s:c>
      <s:c r="Y41" s="16" t="n">
        <s:v>0</s:v>
      </s:c>
      <s:c r="Z41" s="16" t="n">
        <s:v>0</s:v>
      </s:c>
      <s:c r="AA41" s="16" t="n">
        <s:v>0</s:v>
      </s:c>
      <s:c r="AB41" s="16" t="n">
        <s:v>0</s:v>
      </s:c>
      <s:c r="AC41" s="71">
        <s:f>SUM(Q41:AB41)</s:f>
        <s:v>0</s:v>
      </s:c>
    </s:row>
    <s:row r="42">
      <s:c r="A42" s="3" t="inlineStr">
        <s:is>
          <s:t>Net dark fiber revenue</s:t>
        </s:is>
      </s:c>
      <s:c r="Q42" s="72">
        <s:f>SUM(Q36:Q41)</s:f>
        <s:v>1595</s:v>
      </s:c>
      <s:c r="R42" s="72">
        <s:f>SUM(R36:R41)</s:f>
        <s:v>1595</s:v>
      </s:c>
      <s:c r="S42" s="72">
        <s:f>SUM(S36:S41)</s:f>
        <s:v>1595</s:v>
      </s:c>
      <s:c r="T42" s="72">
        <s:f>SUM(T36:T41)</s:f>
        <s:v>1595</s:v>
      </s:c>
      <s:c r="U42" s="72">
        <s:f>SUM(U36:U41)</s:f>
        <s:v>1595</s:v>
      </s:c>
      <s:c r="V42" s="72">
        <s:f>SUM(V36:V41)</s:f>
        <s:v>1595</s:v>
      </s:c>
      <s:c r="W42" s="72">
        <s:f>SUM(W36:W41)</s:f>
        <s:v>1595</s:v>
      </s:c>
      <s:c r="X42" s="72">
        <s:f>SUM(X36:X41)</s:f>
        <s:v>1595</s:v>
      </s:c>
      <s:c r="Y42" s="72">
        <s:f>SUM(Y36:Y41)</s:f>
        <s:v>1595</s:v>
      </s:c>
      <s:c r="Z42" s="72">
        <s:f>SUM(Z36:Z41)</s:f>
        <s:v>1595</s:v>
      </s:c>
      <s:c r="AA42" s="72">
        <s:f>SUM(AA36:AA41)</s:f>
        <s:v>1595</s:v>
      </s:c>
      <s:c r="AB42" s="72">
        <s:f>SUM(AB36:AB41)</s:f>
        <s:v>1595</s:v>
      </s:c>
      <s:c r="AC42" s="71">
        <s:f>SUM(Q42:AB42)</s:f>
        <s:v>19140</s:v>
      </s:c>
    </s:row>
    <s:row r="43">
      <s:c r="A43" s="3" t="inlineStr">
        <s:is>
          <s:t>Net dark fiber (scenario-neutral)</s:t>
        </s:is>
      </s:c>
      <s:c r="Q43" s="16">
        <s:f>SUMPRODUCT(('Key Assumptions'!$H$66:$H$90&gt;0)*('Key Assumptions'!$H$66:$H$90&lt;=Q$5)*('Key Assumptions'!$I$66:$I$90&gt;=Q$4)*('Key Assumptions'!$J$66:$J$90*(1+'Key Assumptions'!$K$66:$K$90*(Q$4&gt;='Key Assumptions'!$L$66:$L$90))+$H$8:$H$32))+SUMPRODUCT(($M$8:$M$32="Straight-line")*('Key Assumptions'!$H$66:$H$90&gt;0)*('Key Assumptions'!$H$66:$H$90&lt;=Q$5)*('Key Assumptions'!$I$66:$I$90&gt;=Q$4)*$N$8:$N$32)+SUMPRODUCT(($M$8:$M$32="Upfront")*('Key Assumptions'!$H$66:$H$90&gt;0)*('Key Assumptions'!$H$66:$H$90&gt;=Q$4)*('Key Assumptions'!$H$66:$H$90&lt;=Q$5)*'Key Assumptions'!$O$66:$O$90)+SUMPRODUCT(('Key Assumptions'!$H$66:$H$90&gt;0)*('Key Assumptions'!$H$66:$H$90&gt;=Q$4)*('Key Assumptions'!$H$66:$H$90&lt;=Q$5)*('Key Assumptions'!$M$66:$M$90+'Key Assumptions'!$N$66:$N$90))</s:f>
        <s:v>1595</s:v>
      </s:c>
      <s:c r="R43" s="16">
        <s:f>SUMPRODUCT(('Key Assumptions'!$H$66:$H$90&gt;0)*('Key Assumptions'!$H$66:$H$90&lt;=R$5)*('Key Assumptions'!$I$66:$I$90&gt;=R$4)*('Key Assumptions'!$J$66:$J$90*(1+'Key Assumptions'!$K$66:$K$90*(R$4&gt;='Key Assumptions'!$L$66:$L$90))+$H$8:$H$32))+SUMPRODUCT(($M$8:$M$32="Straight-line")*('Key Assumptions'!$H$66:$H$90&gt;0)*('Key Assumptions'!$H$66:$H$90&lt;=R$5)*('Key Assumptions'!$I$66:$I$90&gt;=R$4)*$N$8:$N$32)+SUMPRODUCT(($M$8:$M$32="Upfront")*('Key Assumptions'!$H$66:$H$90&gt;0)*('Key Assumptions'!$H$66:$H$90&gt;=R$4)*('Key Assumptions'!$H$66:$H$90&lt;=R$5)*'Key Assumptions'!$O$66:$O$90)+SUMPRODUCT(('Key Assumptions'!$H$66:$H$90&gt;0)*('Key Assumptions'!$H$66:$H$90&gt;=R$4)*('Key Assumptions'!$H$66:$H$90&lt;=R$5)*('Key Assumptions'!$M$66:$M$90+'Key Assumptions'!$N$66:$N$90))</s:f>
        <s:v>1595</s:v>
      </s:c>
      <s:c r="S43" s="16">
        <s:f>SUMPRODUCT(('Key Assumptions'!$H$66:$H$90&gt;0)*('Key Assumptions'!$H$66:$H$90&lt;=S$5)*('Key Assumptions'!$I$66:$I$90&gt;=S$4)*('Key Assumptions'!$J$66:$J$90*(1+'Key Assumptions'!$K$66:$K$90*(S$4&gt;='Key Assumptions'!$L$66:$L$90))+$H$8:$H$32))+SUMPRODUCT(($M$8:$M$32="Straight-line")*('Key Assumptions'!$H$66:$H$90&gt;0)*('Key Assumptions'!$H$66:$H$90&lt;=S$5)*('Key Assumptions'!$I$66:$I$90&gt;=S$4)*$N$8:$N$32)+SUMPRODUCT(($M$8:$M$32="Upfront")*('Key Assumptions'!$H$66:$H$90&gt;0)*('Key Assumptions'!$H$66:$H$90&gt;=S$4)*('Key Assumptions'!$H$66:$H$90&lt;=S$5)*'Key Assumptions'!$O$66:$O$90)+SUMPRODUCT(('Key Assumptions'!$H$66:$H$90&gt;0)*('Key Assumptions'!$H$66:$H$90&gt;=S$4)*('Key Assumptions'!$H$66:$H$90&lt;=S$5)*('Key Assumptions'!$M$66:$M$90+'Key Assumptions'!$N$66:$N$90))</s:f>
        <s:v>1595</s:v>
      </s:c>
      <s:c r="T43" s="16">
        <s:f>SUMPRODUCT(('Key Assumptions'!$H$66:$H$90&gt;0)*('Key Assumptions'!$H$66:$H$90&lt;=T$5)*('Key Assumptions'!$I$66:$I$90&gt;=T$4)*('Key Assumptions'!$J$66:$J$90*(1+'Key Assumptions'!$K$66:$K$90*(T$4&gt;='Key Assumptions'!$L$66:$L$90))+$H$8:$H$32))+SUMPRODUCT(($M$8:$M$32="Straight-line")*('Key Assumptions'!$H$66:$H$90&gt;0)*('Key Assumptions'!$H$66:$H$90&lt;=T$5)*('Key Assumptions'!$I$66:$I$90&gt;=T$4)*$N$8:$N$32)+SUMPRODUCT(($M$8:$M$32="Upfront")*('Key Assumptions'!$H$66:$H$90&gt;0)*('Key Assumptions'!$H$66:$H$90&gt;=T$4)*('Key Assumptions'!$H$66:$H$90&lt;=T$5)*'Key Assumptions'!$O$66:$O$90)+SUMPRODUCT(('Key Assumptions'!$H$66:$H$90&gt;0)*('Key Assumptions'!$H$66:$H$90&gt;=T$4)*('Key Assumptions'!$H$66:$H$90&lt;=T$5)*('Key Assumptions'!$M$66:$M$90+'Key Assumptions'!$N$66:$N$90))</s:f>
        <s:v>1595</s:v>
      </s:c>
      <s:c r="U43" s="16">
        <s:f>SUMPRODUCT(('Key Assumptions'!$H$66:$H$90&gt;0)*('Key Assumptions'!$H$66:$H$90&lt;=U$5)*('Key Assumptions'!$I$66:$I$90&gt;=U$4)*('Key Assumptions'!$J$66:$J$90*(1+'Key Assumptions'!$K$66:$K$90*(U$4&gt;='Key Assumptions'!$L$66:$L$90))+$H$8:$H$32))+SUMPRODUCT(($M$8:$M$32="Straight-line")*('Key Assumptions'!$H$66:$H$90&gt;0)*('Key Assumptions'!$H$66:$H$90&lt;=U$5)*('Key Assumptions'!$I$66:$I$90&gt;=U$4)*$N$8:$N$32)+SUMPRODUCT(($M$8:$M$32="Upfront")*('Key Assumptions'!$H$66:$H$90&gt;0)*('Key Assumptions'!$H$66:$H$90&gt;=U$4)*('Key Assumptions'!$H$66:$H$90&lt;=U$5)*'Key Assumptions'!$O$66:$O$90)+SUMPRODUCT(('Key Assumptions'!$H$66:$H$90&gt;0)*('Key Assumptions'!$H$66:$H$90&gt;=U$4)*('Key Assumptions'!$H$66:$H$90&lt;=U$5)*('Key Assumptions'!$M$66:$M$90+'Key Assumptions'!$N$66:$N$90))</s:f>
        <s:v>1595</s:v>
      </s:c>
      <s:c r="V43" s="16">
        <s:f>SUMPRODUCT(('Key Assumptions'!$H$66:$H$90&gt;0)*('Key Assumptions'!$H$66:$H$90&lt;=V$5)*('Key Assumptions'!$I$66:$I$90&gt;=V$4)*('Key Assumptions'!$J$66:$J$90*(1+'Key Assumptions'!$K$66:$K$90*(V$4&gt;='Key Assumptions'!$L$66:$L$90))+$H$8:$H$32))+SUMPRODUCT(($M$8:$M$32="Straight-line")*('Key Assumptions'!$H$66:$H$90&gt;0)*('Key Assumptions'!$H$66:$H$90&lt;=V$5)*('Key Assumptions'!$I$66:$I$90&gt;=V$4)*$N$8:$N$32)+SUMPRODUCT(($M$8:$M$32="Upfront")*('Key Assumptions'!$H$66:$H$90&gt;0)*('Key Assumptions'!$H$66:$H$90&gt;=V$4)*('Key Assumptions'!$H$66:$H$90&lt;=V$5)*'Key Assumptions'!$O$66:$O$90)+SUMPRODUCT(('Key Assumptions'!$H$66:$H$90&gt;0)*('Key Assumptions'!$H$66:$H$90&gt;=V$4)*('Key Assumptions'!$H$66:$H$90&lt;=V$5)*('Key Assumptions'!$M$66:$M$90+'Key Assumptions'!$N$66:$N$90))</s:f>
        <s:v>1595</s:v>
      </s:c>
      <s:c r="W43" s="16">
        <s:f>SUMPRODUCT(('Key Assumptions'!$H$66:$H$90&gt;0)*('Key Assumptions'!$H$66:$H$90&lt;=W$5)*('Key Assumptions'!$I$66:$I$90&gt;=W$4)*('Key Assumptions'!$J$66:$J$90*(1+'Key Assumptions'!$K$66:$K$90*(W$4&gt;='Key Assumptions'!$L$66:$L$90))+$H$8:$H$32))+SUMPRODUCT(($M$8:$M$32="Straight-line")*('Key Assumptions'!$H$66:$H$90&gt;0)*('Key Assumptions'!$H$66:$H$90&lt;=W$5)*('Key Assumptions'!$I$66:$I$90&gt;=W$4)*$N$8:$N$32)+SUMPRODUCT(($M$8:$M$32="Upfront")*('Key Assumptions'!$H$66:$H$90&gt;0)*('Key Assumptions'!$H$66:$H$90&gt;=W$4)*('Key Assumptions'!$H$66:$H$90&lt;=W$5)*'Key Assumptions'!$O$66:$O$90)+SUMPRODUCT(('Key Assumptions'!$H$66:$H$90&gt;0)*('Key Assumptions'!$H$66:$H$90&gt;=W$4)*('Key Assumptions'!$H$66:$H$90&lt;=W$5)*('Key Assumptions'!$M$66:$M$90+'Key Assumptions'!$N$66:$N$90))</s:f>
        <s:v>1595</s:v>
      </s:c>
      <s:c r="X43" s="16">
        <s:f>SUMPRODUCT(('Key Assumptions'!$H$66:$H$90&gt;0)*('Key Assumptions'!$H$66:$H$90&lt;=X$5)*('Key Assumptions'!$I$66:$I$90&gt;=X$4)*('Key Assumptions'!$J$66:$J$90*(1+'Key Assumptions'!$K$66:$K$90*(X$4&gt;='Key Assumptions'!$L$66:$L$90))+$H$8:$H$32))+SUMPRODUCT(($M$8:$M$32="Straight-line")*('Key Assumptions'!$H$66:$H$90&gt;0)*('Key Assumptions'!$H$66:$H$90&lt;=X$5)*('Key Assumptions'!$I$66:$I$90&gt;=X$4)*$N$8:$N$32)+SUMPRODUCT(($M$8:$M$32="Upfront")*('Key Assumptions'!$H$66:$H$90&gt;0)*('Key Assumptions'!$H$66:$H$90&gt;=X$4)*('Key Assumptions'!$H$66:$H$90&lt;=X$5)*'Key Assumptions'!$O$66:$O$90)+SUMPRODUCT(('Key Assumptions'!$H$66:$H$90&gt;0)*('Key Assumptions'!$H$66:$H$90&gt;=X$4)*('Key Assumptions'!$H$66:$H$90&lt;=X$5)*('Key Assumptions'!$M$66:$M$90+'Key Assumptions'!$N$66:$N$90))</s:f>
        <s:v>1595</s:v>
      </s:c>
      <s:c r="Y43" s="16">
        <s:f>SUMPRODUCT(('Key Assumptions'!$H$66:$H$90&gt;0)*('Key Assumptions'!$H$66:$H$90&lt;=Y$5)*('Key Assumptions'!$I$66:$I$90&gt;=Y$4)*('Key Assumptions'!$J$66:$J$90*(1+'Key Assumptions'!$K$66:$K$90*(Y$4&gt;='Key Assumptions'!$L$66:$L$90))+$H$8:$H$32))+SUMPRODUCT(($M$8:$M$32="Straight-line")*('Key Assumptions'!$H$66:$H$90&gt;0)*('Key Assumptions'!$H$66:$H$90&lt;=Y$5)*('Key Assumptions'!$I$66:$I$90&gt;=Y$4)*$N$8:$N$32)+SUMPRODUCT(($M$8:$M$32="Upfront")*('Key Assumptions'!$H$66:$H$90&gt;0)*('Key Assumptions'!$H$66:$H$90&gt;=Y$4)*('Key Assumptions'!$H$66:$H$90&lt;=Y$5)*'Key Assumptions'!$O$66:$O$90)+SUMPRODUCT(('Key Assumptions'!$H$66:$H$90&gt;0)*('Key Assumptions'!$H$66:$H$90&gt;=Y$4)*('Key Assumptions'!$H$66:$H$90&lt;=Y$5)*('Key Assumptions'!$M$66:$M$90+'Key Assumptions'!$N$66:$N$90))</s:f>
        <s:v>1595</s:v>
      </s:c>
      <s:c r="Z43" s="16">
        <s:f>SUMPRODUCT(('Key Assumptions'!$H$66:$H$90&gt;0)*('Key Assumptions'!$H$66:$H$90&lt;=Z$5)*('Key Assumptions'!$I$66:$I$90&gt;=Z$4)*('Key Assumptions'!$J$66:$J$90*(1+'Key Assumptions'!$K$66:$K$90*(Z$4&gt;='Key Assumptions'!$L$66:$L$90))+$H$8:$H$32))+SUMPRODUCT(($M$8:$M$32="Straight-line")*('Key Assumptions'!$H$66:$H$90&gt;0)*('Key Assumptions'!$H$66:$H$90&lt;=Z$5)*('Key Assumptions'!$I$66:$I$90&gt;=Z$4)*$N$8:$N$32)+SUMPRODUCT(($M$8:$M$32="Upfront")*('Key Assumptions'!$H$66:$H$90&gt;0)*('Key Assumptions'!$H$66:$H$90&gt;=Z$4)*('Key Assumptions'!$H$66:$H$90&lt;=Z$5)*'Key Assumptions'!$O$66:$O$90)+SUMPRODUCT(('Key Assumptions'!$H$66:$H$90&gt;0)*('Key Assumptions'!$H$66:$H$90&gt;=Z$4)*('Key Assumptions'!$H$66:$H$90&lt;=Z$5)*('Key Assumptions'!$M$66:$M$90+'Key Assumptions'!$N$66:$N$90))</s:f>
        <s:v>1595</s:v>
      </s:c>
      <s:c r="AA43" s="16">
        <s:f>SUMPRODUCT(('Key Assumptions'!$H$66:$H$90&gt;0)*('Key Assumptions'!$H$66:$H$90&lt;=AA$5)*('Key Assumptions'!$I$66:$I$90&gt;=AA$4)*('Key Assumptions'!$J$66:$J$90*(1+'Key Assumptions'!$K$66:$K$90*(AA$4&gt;='Key Assumptions'!$L$66:$L$90))+$H$8:$H$32))+SUMPRODUCT(($M$8:$M$32="Straight-line")*('Key Assumptions'!$H$66:$H$90&gt;0)*('Key Assumptions'!$H$66:$H$90&lt;=AA$5)*('Key Assumptions'!$I$66:$I$90&gt;=AA$4)*$N$8:$N$32)+SUMPRODUCT(($M$8:$M$32="Upfront")*('Key Assumptions'!$H$66:$H$90&gt;0)*('Key Assumptions'!$H$66:$H$90&gt;=AA$4)*('Key Assumptions'!$H$66:$H$90&lt;=AA$5)*'Key Assumptions'!$O$66:$O$90)+SUMPRODUCT(('Key Assumptions'!$H$66:$H$90&gt;0)*('Key Assumptions'!$H$66:$H$90&gt;=AA$4)*('Key Assumptions'!$H$66:$H$90&lt;=AA$5)*('Key Assumptions'!$M$66:$M$90+'Key Assumptions'!$N$66:$N$90))</s:f>
        <s:v>1595</s:v>
      </s:c>
      <s:c r="AB43" s="16">
        <s:f>SUMPRODUCT(('Key Assumptions'!$H$66:$H$90&gt;0)*('Key Assumptions'!$H$66:$H$90&lt;=AB$5)*('Key Assumptions'!$I$66:$I$90&gt;=AB$4)*('Key Assumptions'!$J$66:$J$90*(1+'Key Assumptions'!$K$66:$K$90*(AB$4&gt;='Key Assumptions'!$L$66:$L$90))+$H$8:$H$32))+SUMPRODUCT(($M$8:$M$32="Straight-line")*('Key Assumptions'!$H$66:$H$90&gt;0)*('Key Assumptions'!$H$66:$H$90&lt;=AB$5)*('Key Assumptions'!$I$66:$I$90&gt;=AB$4)*$N$8:$N$32)+SUMPRODUCT(($M$8:$M$32="Upfront")*('Key Assumptions'!$H$66:$H$90&gt;0)*('Key Assumptions'!$H$66:$H$90&gt;=AB$4)*('Key Assumptions'!$H$66:$H$90&lt;=AB$5)*'Key Assumptions'!$O$66:$O$90)+SUMPRODUCT(('Key Assumptions'!$H$66:$H$90&gt;0)*('Key Assumptions'!$H$66:$H$90&gt;=AB$4)*('Key Assumptions'!$H$66:$H$90&lt;=AB$5)*('Key Assumptions'!$M$66:$M$90+'Key Assumptions'!$N$66:$N$90))</s:f>
        <s:v>1595</s:v>
      </s:c>
      <s:c r="AC43" s="71">
        <s:f>SUM(Q43:AB43)</s:f>
        <s:v>19140</s:v>
      </s:c>
    </s:row>
    <s:row r="45">
      <s:c r="A45" s="3" t="inlineStr">
        <s:is>
          <s:t>Expiration alert:</s:t>
        </s:is>
      </s:c>
      <s:c r="B45" s="89" t="inlineStr">
        <s:is>
          <s:t>RED = ≤90 days</s:t>
        </s:is>
      </s:c>
      <s:c r="C45" s="90" t="inlineStr">
        <s:is>
          <s:t>YELLOW = ≤180 days</s:t>
        </s:is>
      </s:c>
      <s:c r="D45" s="91" t="inlineStr">
        <s:is>
          <s:t>GREEN = &gt;180 days</s:t>
        </s:is>
      </s:c>
    </s:row>
    <s:row r="47">
      <s:c r="A47" s="42" t="inlineStr">
        <s:is>
          <s:t>IRU NOTE: Upfront IRU recognition materially changes 2027 revenue. Confirm ASC 606 treatment with RIVR Tech CFO &amp; external accountant before relying on these figures.</s:t>
        </s:is>
      </s:c>
      <s:c r="B47" s="86" t="n"/>
      <s:c r="C47" s="86" t="n"/>
      <s:c r="D47" s="86" t="n"/>
      <s:c r="E47" s="86" t="n"/>
      <s:c r="F47" s="86" t="n"/>
      <s:c r="G47" s="86" t="n"/>
      <s:c r="H47" s="86" t="n"/>
      <s:c r="I47" s="86" t="n"/>
      <s:c r="J47" s="86" t="n"/>
      <s:c r="K47" s="86" t="n"/>
      <s:c r="L47" s="86" t="n"/>
      <s:c r="M47" s="86" t="n"/>
      <s:c r="N47" s="87" t="n"/>
    </s:row>
  </s:sheetData>
  <s:mergeCells count="5">
    <s:mergeCell ref="A2:AE2"/>
    <s:mergeCell ref="A35:N35"/>
    <s:mergeCell ref="A1:AE1"/>
    <s:mergeCell ref="A47:N47"/>
    <s:mergeCell ref="A33:P33"/>
  </s:mergeCells>
  <s:conditionalFormatting sqref="AE8:AE32">
    <s:cfRule type="cellIs" priority="1" operator="containsText" dxfId="0">
      <s:formula>"RED"</s:formula>
    </s:cfRule>
    <s:cfRule type="expression" priority="2" dxfId="0">
      <s:formula>ISNUMBER(SEARCH("RED",AE8))</s:formula>
    </s:cfRule>
    <s:cfRule type="expression" priority="3" dxfId="1">
      <s:formula>ISNUMBER(SEARCH("YELLOW",AE8))</s:formula>
    </s:cfRule>
    <s:cfRule type="expression" priority="4" dxfId="2">
      <s:formula>ISNUMBER(SEARCH("GREEN",AE8))</s:formula>
    </s:cfRule>
    <s:cfRule type="expression" priority="5" dxfId="3">
      <s:formula>ISNUMBER(SEARCH("EXPIRED",AE8))</s:formula>
    </s:cfRule>
  </s:conditionalFormatting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tabColor rgb="001F3864"/>
    <s:outlinePr summaryBelow="1" summaryRight="1"/>
    <s:pageSetUpPr fitToPage="1"/>
  </s:sheetPr>
  <s:dimension ref="A1:R41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8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  <s:col width="12" customWidth="1" min="15" max="15"/>
    <s:col width="12" customWidth="1" min="16" max="16"/>
    <s:col width="12" customWidth="1" min="17" max="17"/>
    <s:col width="12" customWidth="1" min="18" max="18"/>
  </s:cols>
  <s:sheetData>
    <s:row r="1" ht="30" customHeight="1">
      <s:c r="A1" s="1" t="inlineStr">
        <s:is>
          <s:t>CONSOLIDATED REVENUE STATEMENT — 2027</s:t>
        </s:is>
      </s:c>
    </s:row>
    <s:row r="2">
      <s:c r="A2" s="2" t="inlineStr">
        <s:is>
          <s:t>All segments combined. Reflects the active scenario selected on Key Assumptions. Grey = formulas.</s:t>
        </s:is>
      </s:c>
    </s:row>
    <s:row r="3">
      <s:c r="A3" s="64" t="inlineStr">
        <s:is>
          <s:t>Revenue ($)</s:t>
        </s:is>
      </s:c>
      <s:c r="B3" s="65" t="n">
        <s:v>46388</s:v>
      </s:c>
      <s:c r="C3" s="65" t="n">
        <s:v>46419</s:v>
      </s:c>
      <s:c r="D3" s="65" t="n">
        <s:v>46447</s:v>
      </s:c>
      <s:c r="E3" s="65" t="n">
        <s:v>46478</s:v>
      </s:c>
      <s:c r="F3" s="65" t="n">
        <s:v>46508</s:v>
      </s:c>
      <s:c r="G3" s="65" t="n">
        <s:v>46539</s:v>
      </s:c>
      <s:c r="H3" s="65" t="n">
        <s:v>46569</s:v>
      </s:c>
      <s:c r="I3" s="65" t="n">
        <s:v>46600</s:v>
      </s:c>
      <s:c r="J3" s="65" t="n">
        <s:v>46631</s:v>
      </s:c>
      <s:c r="K3" s="65" t="n">
        <s:v>46661</s:v>
      </s:c>
      <s:c r="L3" s="65" t="n">
        <s:v>46692</s:v>
      </s:c>
      <s:c r="M3" s="65" t="n">
        <s:v>46722</s:v>
      </s:c>
      <s:c r="N3" s="25" t="inlineStr">
        <s:is>
          <s:t>FY 2027</s:t>
        </s:is>
      </s:c>
      <s:c r="O3" s="25" t="inlineStr">
        <s:is>
          <s:t>Q1</s:t>
        </s:is>
      </s:c>
      <s:c r="P3" s="25" t="inlineStr">
        <s:is>
          <s:t>Q2</s:t>
        </s:is>
      </s:c>
      <s:c r="Q3" s="25" t="inlineStr">
        <s:is>
          <s:t>Q3</s:t>
        </s:is>
      </s:c>
      <s:c r="R3" s="25" t="inlineStr">
        <s:is>
          <s:t>Q4</s:t>
        </s:is>
      </s:c>
    </s:row>
    <s:row r="6">
      <s:c r="A6" s="17" t="inlineStr">
        <s:is>
          <s:t>RESIDENTIAL</s:t>
        </s:is>
      </s:c>
    </s:row>
    <s:row r="7">
      <s:c r="A7" s="15" t="inlineStr">
        <s:is>
          <s:t>Residential recurring revenue</s:t>
        </s:is>
      </s:c>
      <s:c r="B7" s="92">
        <s:f>'Residential Forecast'!B20</s:f>
        <s:v>320867.8733333333</s:v>
      </s:c>
      <s:c r="C7" s="92">
        <s:f>'Residential Forecast'!C20</s:f>
        <s:v>321019.79333333333</s:v>
      </s:c>
      <s:c r="D7" s="92">
        <s:f>'Residential Forecast'!D20</s:f>
        <s:v>321171.7133333333</s:v>
      </s:c>
      <s:c r="E7" s="92">
        <s:f>'Residential Forecast'!E20</s:f>
        <s:v>321323.6333333333</s:v>
      </s:c>
      <s:c r="F7" s="92">
        <s:f>'Residential Forecast'!F20</s:f>
        <s:v>321475.5533333333</s:v>
      </s:c>
      <s:c r="G7" s="92">
        <s:f>'Residential Forecast'!G20</s:f>
        <s:v>321627.4733333333</s:v>
      </s:c>
      <s:c r="H7" s="92">
        <s:f>'Residential Forecast'!H20</s:f>
        <s:v>330794.8133333333</s:v>
      </s:c>
      <s:c r="I7" s="92">
        <s:f>'Residential Forecast'!I20</s:f>
        <s:v>330951.1733333333</s:v>
      </s:c>
      <s:c r="J7" s="92">
        <s:f>'Residential Forecast'!J20</s:f>
        <s:v>331107.5333333333</s:v>
      </s:c>
      <s:c r="K7" s="92">
        <s:f>'Residential Forecast'!K20</s:f>
        <s:v>331263.8933333333</s:v>
      </s:c>
      <s:c r="L7" s="92">
        <s:f>'Residential Forecast'!L20</s:f>
        <s:v>331420.2533333333</s:v>
      </s:c>
      <s:c r="M7" s="92">
        <s:f>'Residential Forecast'!M20</s:f>
        <s:v>331576.6133333333</s:v>
      </s:c>
      <s:c r="N7" s="71">
        <s:f>SUM(B7:M7)</s:f>
        <s:v>3914600.32</s:v>
      </s:c>
      <s:c r="O7" s="83">
        <s:f>SUM(B7:D7)</s:f>
        <s:v>963059.3799999999</s:v>
      </s:c>
      <s:c r="P7" s="83">
        <s:f>SUM(E7:G7)</s:f>
        <s:v>964426.6599999999</s:v>
      </s:c>
      <s:c r="Q7" s="83">
        <s:f>SUM(H7:J7)</s:f>
        <s:v>992853.5199999999</s:v>
      </s:c>
      <s:c r="R7" s="83">
        <s:f>SUM(K7:M7)</s:f>
        <s:v>994260.7599999999</s:v>
      </s:c>
    </s:row>
    <s:row r="8">
      <s:c r="A8" s="15" t="inlineStr">
        <s:is>
          <s:t>Residential one-time revenue</s:t>
        </s:is>
      </s:c>
      <s:c r="B8" s="92">
        <s:f>'Residential Forecast'!B21</s:f>
        <s:v>7964.5</s:v>
      </s:c>
      <s:c r="C8" s="92">
        <s:f>'Residential Forecast'!C21</s:f>
        <s:v>7965.5</s:v>
      </s:c>
      <s:c r="D8" s="92">
        <s:f>'Residential Forecast'!D21</s:f>
        <s:v>7966.5</s:v>
      </s:c>
      <s:c r="E8" s="92">
        <s:f>'Residential Forecast'!E21</s:f>
        <s:v>7967.5</s:v>
      </s:c>
      <s:c r="F8" s="92">
        <s:f>'Residential Forecast'!F21</s:f>
        <s:v>7968.5</s:v>
      </s:c>
      <s:c r="G8" s="92">
        <s:f>'Residential Forecast'!G21</s:f>
        <s:v>7969.5</s:v>
      </s:c>
      <s:c r="H8" s="92">
        <s:f>'Residential Forecast'!H21</s:f>
        <s:v>7970.5</s:v>
      </s:c>
      <s:c r="I8" s="92">
        <s:f>'Residential Forecast'!I21</s:f>
        <s:v>7971.5</s:v>
      </s:c>
      <s:c r="J8" s="92">
        <s:f>'Residential Forecast'!J21</s:f>
        <s:v>7972.5</s:v>
      </s:c>
      <s:c r="K8" s="92">
        <s:f>'Residential Forecast'!K21</s:f>
        <s:v>7973.5</s:v>
      </s:c>
      <s:c r="L8" s="92">
        <s:f>'Residential Forecast'!L21</s:f>
        <s:v>7974.5</s:v>
      </s:c>
      <s:c r="M8" s="92">
        <s:f>'Residential Forecast'!M21</s:f>
        <s:v>7975.5</s:v>
      </s:c>
      <s:c r="N8" s="71">
        <s:f>SUM(B8:M8)</s:f>
        <s:v>95640</s:v>
      </s:c>
      <s:c r="O8" s="83">
        <s:f>SUM(B8:D8)</s:f>
        <s:v>23896.5</s:v>
      </s:c>
      <s:c r="P8" s="83">
        <s:f>SUM(E8:G8)</s:f>
        <s:v>23905.5</s:v>
      </s:c>
      <s:c r="Q8" s="83">
        <s:f>SUM(H8:J8)</s:f>
        <s:v>23914.5</s:v>
      </s:c>
      <s:c r="R8" s="83">
        <s:f>SUM(K8:M8)</s:f>
        <s:v>23923.5</s:v>
      </s:c>
    </s:row>
    <s:row r="9">
      <s:c r="A9" s="15" t="inlineStr">
        <s:is>
          <s:t>Residential adjustments</s:t>
        </s:is>
      </s:c>
      <s:c r="B9" s="92">
        <s:f>'Residential Forecast'!B23+'Residential Forecast'!B24</s:f>
        <s:v>-9705.681199999999</s:v>
      </s:c>
      <s:c r="C9" s="92">
        <s:f>'Residential Forecast'!C23+'Residential Forecast'!C24</s:f>
        <s:v>-9710.248800000001</s:v>
      </s:c>
      <s:c r="D9" s="92">
        <s:f>'Residential Forecast'!D23+'Residential Forecast'!D24</s:f>
        <s:v>-9714.8164</s:v>
      </s:c>
      <s:c r="E9" s="92">
        <s:f>'Residential Forecast'!E23+'Residential Forecast'!E24</s:f>
        <s:v>-9719.384</s:v>
      </s:c>
      <s:c r="F9" s="92">
        <s:f>'Residential Forecast'!F23+'Residential Forecast'!F24</s:f>
        <s:v>-9723.951599999999</s:v>
      </s:c>
      <s:c r="G9" s="92">
        <s:f>'Residential Forecast'!G23+'Residential Forecast'!G24</s:f>
        <s:v>-9728.519199999999</s:v>
      </s:c>
      <s:c r="H9" s="92">
        <s:f>'Residential Forecast'!H23+'Residential Forecast'!H24</s:f>
        <s:v>-10003.5494</s:v>
      </s:c>
      <s:c r="I9" s="92">
        <s:f>'Residential Forecast'!I23+'Residential Forecast'!I24</s:f>
        <s:v>-10008.250199999999</s:v>
      </s:c>
      <s:c r="J9" s="92">
        <s:f>'Residential Forecast'!J23+'Residential Forecast'!J24</s:f>
        <s:v>-10012.951</s:v>
      </s:c>
      <s:c r="K9" s="92">
        <s:f>'Residential Forecast'!K23+'Residential Forecast'!K24</s:f>
        <s:v>-10017.6518</s:v>
      </s:c>
      <s:c r="L9" s="92">
        <s:f>'Residential Forecast'!L23+'Residential Forecast'!L24</s:f>
        <s:v>-10022.352599999998</s:v>
      </s:c>
      <s:c r="M9" s="92">
        <s:f>'Residential Forecast'!M23+'Residential Forecast'!M24</s:f>
        <s:v>-10027.053399999999</s:v>
      </s:c>
      <s:c r="N9" s="71">
        <s:f>SUM(B9:M9)</s:f>
        <s:v>-118394.4096</s:v>
      </s:c>
      <s:c r="O9" s="83">
        <s:f>SUM(B9:D9)</s:f>
        <s:v>-29130.7464</s:v>
      </s:c>
      <s:c r="P9" s="83">
        <s:f>SUM(E9:G9)</s:f>
        <s:v>-29171.854799999997</s:v>
      </s:c>
      <s:c r="Q9" s="83">
        <s:f>SUM(H9:J9)</s:f>
        <s:v>-30024.7506</s:v>
      </s:c>
      <s:c r="R9" s="83">
        <s:f>SUM(K9:M9)</s:f>
        <s:v>-30067.057799999995</s:v>
      </s:c>
    </s:row>
    <s:row r="10">
      <s:c r="A10" s="3" t="inlineStr">
        <s:is>
          <s:t>Net residential revenue</s:t>
        </s:is>
      </s:c>
      <s:c r="B10" s="72">
        <s:f>'Residential Forecast'!B25</s:f>
        <s:v>319126.6921333333</s:v>
      </s:c>
      <s:c r="C10" s="72">
        <s:f>'Residential Forecast'!C25</s:f>
        <s:v>319275.04453333333</s:v>
      </s:c>
      <s:c r="D10" s="72">
        <s:f>'Residential Forecast'!D25</s:f>
        <s:v>319423.3969333333</s:v>
      </s:c>
      <s:c r="E10" s="72">
        <s:f>'Residential Forecast'!E25</s:f>
        <s:v>319571.7493333333</s:v>
      </s:c>
      <s:c r="F10" s="72">
        <s:f>'Residential Forecast'!F25</s:f>
        <s:v>319720.10173333326</s:v>
      </s:c>
      <s:c r="G10" s="72">
        <s:f>'Residential Forecast'!G25</s:f>
        <s:v>319868.45413333335</s:v>
      </s:c>
      <s:c r="H10" s="72">
        <s:f>'Residential Forecast'!H25</s:f>
        <s:v>328761.76393333334</s:v>
      </s:c>
      <s:c r="I10" s="72">
        <s:f>'Residential Forecast'!I25</s:f>
        <s:v>328914.42313333333</s:v>
      </s:c>
      <s:c r="J10" s="72">
        <s:f>'Residential Forecast'!J25</s:f>
        <s:v>329067.0823333333</s:v>
      </s:c>
      <s:c r="K10" s="72">
        <s:f>'Residential Forecast'!K25</s:f>
        <s:v>329219.7415333333</s:v>
      </s:c>
      <s:c r="L10" s="72">
        <s:f>'Residential Forecast'!L25</s:f>
        <s:v>329372.4007333333</s:v>
      </s:c>
      <s:c r="M10" s="72">
        <s:f>'Residential Forecast'!M25</s:f>
        <s:v>329525.0599333333</s:v>
      </s:c>
      <s:c r="N10" s="71">
        <s:f>SUM(B10:M10)</s:f>
        <s:v>3891845.9104</s:v>
      </s:c>
      <s:c r="O10" s="83">
        <s:f>SUM(B10:D10)</s:f>
        <s:v>957825.1335999998</s:v>
      </s:c>
      <s:c r="P10" s="83">
        <s:f>SUM(E10:G10)</s:f>
        <s:v>959160.3051999998</s:v>
      </s:c>
      <s:c r="Q10" s="83">
        <s:f>SUM(H10:J10)</s:f>
        <s:v>986743.2694</s:v>
      </s:c>
      <s:c r="R10" s="83">
        <s:f>SUM(K10:M10)</s:f>
        <s:v>988117.2021999999</s:v>
      </s:c>
    </s:row>
    <s:row r="12">
      <s:c r="A12" s="17" t="inlineStr">
        <s:is>
          <s:t>BUSINESS</s:t>
        </s:is>
      </s:c>
    </s:row>
    <s:row r="13">
      <s:c r="A13" s="15" t="inlineStr">
        <s:is>
          <s:t>Business recurring revenue</s:t>
        </s:is>
      </s:c>
      <s:c r="B13" s="92">
        <s:f>'Business Forecast'!B25</s:f>
        <s:v>39749.34</s:v>
      </s:c>
      <s:c r="C13" s="92">
        <s:f>'Business Forecast'!C25</s:f>
        <s:v>40146.04</s:v>
      </s:c>
      <s:c r="D13" s="92">
        <s:f>'Business Forecast'!D25</s:f>
        <s:v>40463.4</s:v>
      </s:c>
      <s:c r="E13" s="92">
        <s:f>'Business Forecast'!E25</s:f>
        <s:v>40780.76</s:v>
      </s:c>
      <s:c r="F13" s="92">
        <s:f>'Business Forecast'!F25</s:f>
        <s:v>41098.12</s:v>
      </s:c>
      <s:c r="G13" s="92">
        <s:f>'Business Forecast'!G25</s:f>
        <s:v>41415.48</s:v>
      </s:c>
      <s:c r="H13" s="92">
        <s:f>'Business Forecast'!H25</s:f>
        <s:v>42908.45</s:v>
      </s:c>
      <s:c r="I13" s="92">
        <s:f>'Business Forecast'!I25</s:f>
        <s:v>43234.75</s:v>
      </s:c>
      <s:c r="J13" s="92">
        <s:f>'Business Forecast'!J25</s:f>
        <s:v>43561.049999999996</s:v>
      </s:c>
      <s:c r="K13" s="92">
        <s:f>'Business Forecast'!K25</s:f>
        <s:v>43887.35</s:v>
      </s:c>
      <s:c r="L13" s="92">
        <s:f>'Business Forecast'!L25</s:f>
        <s:v>44213.65</s:v>
      </s:c>
      <s:c r="M13" s="92">
        <s:f>'Business Forecast'!M25</s:f>
        <s:v>44539.95</s:v>
      </s:c>
      <s:c r="N13" s="71">
        <s:f>SUM(B13:M13)</s:f>
        <s:v>505998.33999999997</s:v>
      </s:c>
      <s:c r="O13" s="83">
        <s:f>SUM(B13:D13)</s:f>
        <s:v>120358.78</s:v>
      </s:c>
      <s:c r="P13" s="83">
        <s:f>SUM(E13:G13)</s:f>
        <s:v>123294.36000000002</s:v>
      </s:c>
      <s:c r="Q13" s="83">
        <s:f>SUM(H13:J13)</s:f>
        <s:v>129704.25</s:v>
      </s:c>
      <s:c r="R13" s="83">
        <s:f>SUM(K13:M13)</s:f>
        <s:v>132640.95</s:v>
      </s:c>
    </s:row>
    <s:row r="14">
      <s:c r="A14" s="15" t="inlineStr">
        <s:is>
          <s:t>Business one-time revenue</s:t>
        </s:is>
      </s:c>
      <s:c r="B14" s="92">
        <s:f>'Business Forecast'!B32</s:f>
        <s:v>6250</s:v>
      </s:c>
      <s:c r="C14" s="92">
        <s:f>'Business Forecast'!C32</s:f>
        <s:v>6250</s:v>
      </s:c>
      <s:c r="D14" s="92">
        <s:f>'Business Forecast'!D32</s:f>
        <s:v>6250</s:v>
      </s:c>
      <s:c r="E14" s="92">
        <s:f>'Business Forecast'!E32</s:f>
        <s:v>6250</s:v>
      </s:c>
      <s:c r="F14" s="92">
        <s:f>'Business Forecast'!F32</s:f>
        <s:v>6250</s:v>
      </s:c>
      <s:c r="G14" s="92">
        <s:f>'Business Forecast'!G32</s:f>
        <s:v>6250</s:v>
      </s:c>
      <s:c r="H14" s="92">
        <s:f>'Business Forecast'!H32</s:f>
        <s:v>6250</s:v>
      </s:c>
      <s:c r="I14" s="92">
        <s:f>'Business Forecast'!I32</s:f>
        <s:v>6250</s:v>
      </s:c>
      <s:c r="J14" s="92">
        <s:f>'Business Forecast'!J32</s:f>
        <s:v>6250</s:v>
      </s:c>
      <s:c r="K14" s="92">
        <s:f>'Business Forecast'!K32</s:f>
        <s:v>6250</s:v>
      </s:c>
      <s:c r="L14" s="92">
        <s:f>'Business Forecast'!L32</s:f>
        <s:v>6250</s:v>
      </s:c>
      <s:c r="M14" s="92">
        <s:f>'Business Forecast'!M32</s:f>
        <s:v>6250</s:v>
      </s:c>
      <s:c r="N14" s="71">
        <s:f>SUM(B14:M14)</s:f>
        <s:v>75000</s:v>
      </s:c>
      <s:c r="O14" s="83">
        <s:f>SUM(B14:D14)</s:f>
        <s:v>18750</s:v>
      </s:c>
      <s:c r="P14" s="83">
        <s:f>SUM(E14:G14)</s:f>
        <s:v>18750</s:v>
      </s:c>
      <s:c r="Q14" s="83">
        <s:f>SUM(H14:J14)</s:f>
        <s:v>18750</s:v>
      </s:c>
      <s:c r="R14" s="83">
        <s:f>SUM(K14:M14)</s:f>
        <s:v>18750</s:v>
      </s:c>
    </s:row>
    <s:row r="15">
      <s:c r="A15" s="15" t="inlineStr">
        <s:is>
          <s:t>Business adjustments</s:t>
        </s:is>
      </s:c>
      <s:c r="B15" s="92">
        <s:f>'Business Forecast'!B34+'Business Forecast'!B35</s:f>
        <s:v>-1056.2334999999998</s:v>
      </s:c>
      <s:c r="C15" s="92">
        <s:f>'Business Forecast'!C34+'Business Forecast'!C35</s:f>
        <s:v>-1066.151</s:v>
      </s:c>
      <s:c r="D15" s="92">
        <s:f>'Business Forecast'!D34+'Business Forecast'!D35</s:f>
        <s:v>-1074.085</s:v>
      </s:c>
      <s:c r="E15" s="92">
        <s:f>'Business Forecast'!E34+'Business Forecast'!E35</s:f>
        <s:v>-1082.019</s:v>
      </s:c>
      <s:c r="F15" s="92">
        <s:f>'Business Forecast'!F34+'Business Forecast'!F35</s:f>
        <s:v>-1089.953</s:v>
      </s:c>
      <s:c r="G15" s="92">
        <s:f>'Business Forecast'!G34+'Business Forecast'!G35</s:f>
        <s:v>-1097.8870000000002</s:v>
      </s:c>
      <s:c r="H15" s="92">
        <s:f>'Business Forecast'!H34+'Business Forecast'!H35</s:f>
        <s:v>-1135.2112499999998</s:v>
      </s:c>
      <s:c r="I15" s="92">
        <s:f>'Business Forecast'!I34+'Business Forecast'!I35</s:f>
        <s:v>-1143.36875</s:v>
      </s:c>
      <s:c r="J15" s="92">
        <s:f>'Business Forecast'!J34+'Business Forecast'!J35</s:f>
        <s:v>-1151.52625</s:v>
      </s:c>
      <s:c r="K15" s="92">
        <s:f>'Business Forecast'!K34+'Business Forecast'!K35</s:f>
        <s:v>-1159.68375</s:v>
      </s:c>
      <s:c r="L15" s="92">
        <s:f>'Business Forecast'!L34+'Business Forecast'!L35</s:f>
        <s:v>-1167.84125</s:v>
      </s:c>
      <s:c r="M15" s="92">
        <s:f>'Business Forecast'!M34+'Business Forecast'!M35</s:f>
        <s:v>-1175.99875</s:v>
      </s:c>
      <s:c r="N15" s="71">
        <s:f>SUM(B15:M15)</s:f>
        <s:v>-13399.9585</s:v>
      </s:c>
      <s:c r="O15" s="83">
        <s:f>SUM(B15:D15)</s:f>
        <s:v>-3196.4695</s:v>
      </s:c>
      <s:c r="P15" s="83">
        <s:f>SUM(E15:G15)</s:f>
        <s:v>-3269.859</s:v>
      </s:c>
      <s:c r="Q15" s="83">
        <s:f>SUM(H15:J15)</s:f>
        <s:v>-3430.10625</s:v>
      </s:c>
      <s:c r="R15" s="83">
        <s:f>SUM(K15:M15)</s:f>
        <s:v>-3503.5237499999994</s:v>
      </s:c>
    </s:row>
    <s:row r="16">
      <s:c r="A16" s="3" t="inlineStr">
        <s:is>
          <s:t>Net business revenue</s:t>
        </s:is>
      </s:c>
      <s:c r="B16" s="72">
        <s:f>'Business Forecast'!B36</s:f>
        <s:v>44943.106499999994</s:v>
      </s:c>
      <s:c r="C16" s="72">
        <s:f>'Business Forecast'!C36</s:f>
        <s:v>45329.888999999996</s:v>
      </s:c>
      <s:c r="D16" s="72">
        <s:f>'Business Forecast'!D36</s:f>
        <s:v>45639.315</s:v>
      </s:c>
      <s:c r="E16" s="72">
        <s:f>'Business Forecast'!E36</s:f>
        <s:v>45948.741</s:v>
      </s:c>
      <s:c r="F16" s="72">
        <s:f>'Business Forecast'!F36</s:f>
        <s:v>46258.167</s:v>
      </s:c>
      <s:c r="G16" s="72">
        <s:f>'Business Forecast'!G36</s:f>
        <s:v>46567.59300000001</s:v>
      </s:c>
      <s:c r="H16" s="72">
        <s:f>'Business Forecast'!H36</s:f>
        <s:v>48023.23875</s:v>
      </s:c>
      <s:c r="I16" s="72">
        <s:f>'Business Forecast'!I36</s:f>
        <s:v>48341.38125</s:v>
      </s:c>
      <s:c r="J16" s="72">
        <s:f>'Business Forecast'!J36</s:f>
        <s:v>48659.52374999999</s:v>
      </s:c>
      <s:c r="K16" s="72">
        <s:f>'Business Forecast'!K36</s:f>
        <s:v>48977.666249999995</s:v>
      </s:c>
      <s:c r="L16" s="72">
        <s:f>'Business Forecast'!L36</s:f>
        <s:v>49295.808750000004</s:v>
      </s:c>
      <s:c r="M16" s="72">
        <s:f>'Business Forecast'!M36</s:f>
        <s:v>49613.95125</s:v>
      </s:c>
      <s:c r="N16" s="71">
        <s:f>SUM(B16:M16)</s:f>
        <s:v>567598.3815</s:v>
      </s:c>
      <s:c r="O16" s="83">
        <s:f>SUM(B16:D16)</s:f>
        <s:v>135912.3105</s:v>
      </s:c>
      <s:c r="P16" s="83">
        <s:f>SUM(E16:G16)</s:f>
        <s:v>138774.501</s:v>
      </s:c>
      <s:c r="Q16" s="83">
        <s:f>SUM(H16:J16)</s:f>
        <s:v>145024.14375</s:v>
      </s:c>
      <s:c r="R16" s="83">
        <s:f>SUM(K16:M16)</s:f>
        <s:v>147887.42625000002</s:v>
      </s:c>
    </s:row>
    <s:row r="18">
      <s:c r="A18" s="17" t="inlineStr">
        <s:is>
          <s:t>DARK FIBER</s:t>
        </s:is>
      </s:c>
    </s:row>
    <s:row r="19">
      <s:c r="A19" s="15" t="inlineStr">
        <s:is>
          <s:t>Dark fiber recurring revenue</s:t>
        </s:is>
      </s:c>
      <s:c r="B19" s="92">
        <s:f>'Dark Fiber Forecast'!Q36</s:f>
        <s:v>1595</s:v>
      </s:c>
      <s:c r="C19" s="92">
        <s:f>'Dark Fiber Forecast'!R36</s:f>
        <s:v>1595</s:v>
      </s:c>
      <s:c r="D19" s="92">
        <s:f>'Dark Fiber Forecast'!S36</s:f>
        <s:v>1595</s:v>
      </s:c>
      <s:c r="E19" s="92">
        <s:f>'Dark Fiber Forecast'!T36</s:f>
        <s:v>1595</s:v>
      </s:c>
      <s:c r="F19" s="92">
        <s:f>'Dark Fiber Forecast'!U36</s:f>
        <s:v>1595</s:v>
      </s:c>
      <s:c r="G19" s="92">
        <s:f>'Dark Fiber Forecast'!V36</s:f>
        <s:v>1595</s:v>
      </s:c>
      <s:c r="H19" s="92">
        <s:f>'Dark Fiber Forecast'!W36</s:f>
        <s:v>1595</s:v>
      </s:c>
      <s:c r="I19" s="92">
        <s:f>'Dark Fiber Forecast'!X36</s:f>
        <s:v>1595</s:v>
      </s:c>
      <s:c r="J19" s="92">
        <s:f>'Dark Fiber Forecast'!Y36</s:f>
        <s:v>1595</s:v>
      </s:c>
      <s:c r="K19" s="92">
        <s:f>'Dark Fiber Forecast'!Z36</s:f>
        <s:v>1595</s:v>
      </s:c>
      <s:c r="L19" s="92">
        <s:f>'Dark Fiber Forecast'!AA36</s:f>
        <s:v>1595</s:v>
      </s:c>
      <s:c r="M19" s="92">
        <s:f>'Dark Fiber Forecast'!AB36</s:f>
        <s:v>1595</s:v>
      </s:c>
      <s:c r="N19" s="71">
        <s:f>SUM(B19:M19)</s:f>
        <s:v>19140</s:v>
      </s:c>
      <s:c r="O19" s="83">
        <s:f>SUM(B19:D19)</s:f>
        <s:v>4785</s:v>
      </s:c>
      <s:c r="P19" s="83">
        <s:f>SUM(E19:G19)</s:f>
        <s:v>4785</s:v>
      </s:c>
      <s:c r="Q19" s="83">
        <s:f>SUM(H19:J19)</s:f>
        <s:v>4785</s:v>
      </s:c>
      <s:c r="R19" s="83">
        <s:f>SUM(K19:M19)</s:f>
        <s:v>4785</s:v>
      </s:c>
    </s:row>
    <s:row r="20">
      <s:c r="A20" s="15" t="inlineStr">
        <s:is>
          <s:t>Dark fiber O&amp;M revenue</s:t>
        </s:is>
      </s:c>
      <s:c r="B20" s="92">
        <s:f>'Dark Fiber Forecast'!Q37</s:f>
        <s:v>0</s:v>
      </s:c>
      <s:c r="C20" s="92">
        <s:f>'Dark Fiber Forecast'!R37</s:f>
        <s:v>0</s:v>
      </s:c>
      <s:c r="D20" s="92">
        <s:f>'Dark Fiber Forecast'!S37</s:f>
        <s:v>0</s:v>
      </s:c>
      <s:c r="E20" s="92">
        <s:f>'Dark Fiber Forecast'!T37</s:f>
        <s:v>0</s:v>
      </s:c>
      <s:c r="F20" s="92">
        <s:f>'Dark Fiber Forecast'!U37</s:f>
        <s:v>0</s:v>
      </s:c>
      <s:c r="G20" s="92">
        <s:f>'Dark Fiber Forecast'!V37</s:f>
        <s:v>0</s:v>
      </s:c>
      <s:c r="H20" s="92">
        <s:f>'Dark Fiber Forecast'!W37</s:f>
        <s:v>0</s:v>
      </s:c>
      <s:c r="I20" s="92">
        <s:f>'Dark Fiber Forecast'!X37</s:f>
        <s:v>0</s:v>
      </s:c>
      <s:c r="J20" s="92">
        <s:f>'Dark Fiber Forecast'!Y37</s:f>
        <s:v>0</s:v>
      </s:c>
      <s:c r="K20" s="92">
        <s:f>'Dark Fiber Forecast'!Z37</s:f>
        <s:v>0</s:v>
      </s:c>
      <s:c r="L20" s="92">
        <s:f>'Dark Fiber Forecast'!AA37</s:f>
        <s:v>0</s:v>
      </s:c>
      <s:c r="M20" s="92">
        <s:f>'Dark Fiber Forecast'!AB37</s:f>
        <s:v>0</s:v>
      </s:c>
      <s:c r="N20" s="71">
        <s:f>SUM(B20:M20)</s:f>
        <s:v>0</s:v>
      </s:c>
      <s:c r="O20" s="83">
        <s:f>SUM(B20:D20)</s:f>
        <s:v>0</s:v>
      </s:c>
      <s:c r="P20" s="83">
        <s:f>SUM(E20:G20)</s:f>
        <s:v>0</s:v>
      </s:c>
      <s:c r="Q20" s="83">
        <s:f>SUM(H20:J20)</s:f>
        <s:v>0</s:v>
      </s:c>
      <s:c r="R20" s="83">
        <s:f>SUM(K20:M20)</s:f>
        <s:v>0</s:v>
      </s:c>
    </s:row>
    <s:row r="21">
      <s:c r="A21" s="15" t="inlineStr">
        <s:is>
          <s:t>IRU revenue</s:t>
        </s:is>
      </s:c>
      <s:c r="B21" s="92">
        <s:f>'Dark Fiber Forecast'!Q38</s:f>
        <s:v>0</s:v>
      </s:c>
      <s:c r="C21" s="92">
        <s:f>'Dark Fiber Forecast'!R38</s:f>
        <s:v>0</s:v>
      </s:c>
      <s:c r="D21" s="92">
        <s:f>'Dark Fiber Forecast'!S38</s:f>
        <s:v>0</s:v>
      </s:c>
      <s:c r="E21" s="92">
        <s:f>'Dark Fiber Forecast'!T38</s:f>
        <s:v>0</s:v>
      </s:c>
      <s:c r="F21" s="92">
        <s:f>'Dark Fiber Forecast'!U38</s:f>
        <s:v>0</s:v>
      </s:c>
      <s:c r="G21" s="92">
        <s:f>'Dark Fiber Forecast'!V38</s:f>
        <s:v>0</s:v>
      </s:c>
      <s:c r="H21" s="92">
        <s:f>'Dark Fiber Forecast'!W38</s:f>
        <s:v>0</s:v>
      </s:c>
      <s:c r="I21" s="92">
        <s:f>'Dark Fiber Forecast'!X38</s:f>
        <s:v>0</s:v>
      </s:c>
      <s:c r="J21" s="92">
        <s:f>'Dark Fiber Forecast'!Y38</s:f>
        <s:v>0</s:v>
      </s:c>
      <s:c r="K21" s="92">
        <s:f>'Dark Fiber Forecast'!Z38</s:f>
        <s:v>0</s:v>
      </s:c>
      <s:c r="L21" s="92">
        <s:f>'Dark Fiber Forecast'!AA38</s:f>
        <s:v>0</s:v>
      </s:c>
      <s:c r="M21" s="92">
        <s:f>'Dark Fiber Forecast'!AB38</s:f>
        <s:v>0</s:v>
      </s:c>
      <s:c r="N21" s="71">
        <s:f>SUM(B21:M21)</s:f>
        <s:v>0</s:v>
      </s:c>
      <s:c r="O21" s="83">
        <s:f>SUM(B21:D21)</s:f>
        <s:v>0</s:v>
      </s:c>
      <s:c r="P21" s="83">
        <s:f>SUM(E21:G21)</s:f>
        <s:v>0</s:v>
      </s:c>
      <s:c r="Q21" s="83">
        <s:f>SUM(H21:J21)</s:f>
        <s:v>0</s:v>
      </s:c>
      <s:c r="R21" s="83">
        <s:f>SUM(K21:M21)</s:f>
        <s:v>0</s:v>
      </s:c>
    </s:row>
    <s:row r="22">
      <s:c r="A22" s="15" t="inlineStr">
        <s:is>
          <s:t>Dark fiber one-time revenue</s:t>
        </s:is>
      </s:c>
      <s:c r="B22" s="92">
        <s:f>'Dark Fiber Forecast'!Q39+'Dark Fiber Forecast'!Q40</s:f>
        <s:v>0</s:v>
      </s:c>
      <s:c r="C22" s="92">
        <s:f>'Dark Fiber Forecast'!R39+'Dark Fiber Forecast'!R40</s:f>
        <s:v>0</s:v>
      </s:c>
      <s:c r="D22" s="92">
        <s:f>'Dark Fiber Forecast'!S39+'Dark Fiber Forecast'!S40</s:f>
        <s:v>0</s:v>
      </s:c>
      <s:c r="E22" s="92">
        <s:f>'Dark Fiber Forecast'!T39+'Dark Fiber Forecast'!T40</s:f>
        <s:v>0</s:v>
      </s:c>
      <s:c r="F22" s="92">
        <s:f>'Dark Fiber Forecast'!U39+'Dark Fiber Forecast'!U40</s:f>
        <s:v>0</s:v>
      </s:c>
      <s:c r="G22" s="92">
        <s:f>'Dark Fiber Forecast'!V39+'Dark Fiber Forecast'!V40</s:f>
        <s:v>0</s:v>
      </s:c>
      <s:c r="H22" s="92">
        <s:f>'Dark Fiber Forecast'!W39+'Dark Fiber Forecast'!W40</s:f>
        <s:v>0</s:v>
      </s:c>
      <s:c r="I22" s="92">
        <s:f>'Dark Fiber Forecast'!X39+'Dark Fiber Forecast'!X40</s:f>
        <s:v>0</s:v>
      </s:c>
      <s:c r="J22" s="92">
        <s:f>'Dark Fiber Forecast'!Y39+'Dark Fiber Forecast'!Y40</s:f>
        <s:v>0</s:v>
      </s:c>
      <s:c r="K22" s="92">
        <s:f>'Dark Fiber Forecast'!Z39+'Dark Fiber Forecast'!Z40</s:f>
        <s:v>0</s:v>
      </s:c>
      <s:c r="L22" s="92">
        <s:f>'Dark Fiber Forecast'!AA39+'Dark Fiber Forecast'!AA40</s:f>
        <s:v>0</s:v>
      </s:c>
      <s:c r="M22" s="92">
        <s:f>'Dark Fiber Forecast'!AB39+'Dark Fiber Forecast'!AB40</s:f>
        <s:v>0</s:v>
      </s:c>
      <s:c r="N22" s="71">
        <s:f>SUM(B22:M22)</s:f>
        <s:v>0</s:v>
      </s:c>
      <s:c r="O22" s="83">
        <s:f>SUM(B22:D22)</s:f>
        <s:v>0</s:v>
      </s:c>
      <s:c r="P22" s="83">
        <s:f>SUM(E22:G22)</s:f>
        <s:v>0</s:v>
      </s:c>
      <s:c r="Q22" s="83">
        <s:f>SUM(H22:J22)</s:f>
        <s:v>0</s:v>
      </s:c>
      <s:c r="R22" s="83">
        <s:f>SUM(K22:M22)</s:f>
        <s:v>0</s:v>
      </s:c>
    </s:row>
    <s:row r="23">
      <s:c r="A23" s="3" t="inlineStr">
        <s:is>
          <s:t>Net dark fiber revenue</s:t>
        </s:is>
      </s:c>
      <s:c r="B23" s="72">
        <s:f>'Dark Fiber Forecast'!Q42</s:f>
        <s:v>1595</s:v>
      </s:c>
      <s:c r="C23" s="72">
        <s:f>'Dark Fiber Forecast'!R42</s:f>
        <s:v>1595</s:v>
      </s:c>
      <s:c r="D23" s="72">
        <s:f>'Dark Fiber Forecast'!S42</s:f>
        <s:v>1595</s:v>
      </s:c>
      <s:c r="E23" s="72">
        <s:f>'Dark Fiber Forecast'!T42</s:f>
        <s:v>1595</s:v>
      </s:c>
      <s:c r="F23" s="72">
        <s:f>'Dark Fiber Forecast'!U42</s:f>
        <s:v>1595</s:v>
      </s:c>
      <s:c r="G23" s="72">
        <s:f>'Dark Fiber Forecast'!V42</s:f>
        <s:v>1595</s:v>
      </s:c>
      <s:c r="H23" s="72">
        <s:f>'Dark Fiber Forecast'!W42</s:f>
        <s:v>1595</s:v>
      </s:c>
      <s:c r="I23" s="72">
        <s:f>'Dark Fiber Forecast'!X42</s:f>
        <s:v>1595</s:v>
      </s:c>
      <s:c r="J23" s="72">
        <s:f>'Dark Fiber Forecast'!Y42</s:f>
        <s:v>1595</s:v>
      </s:c>
      <s:c r="K23" s="72">
        <s:f>'Dark Fiber Forecast'!Z42</s:f>
        <s:v>1595</s:v>
      </s:c>
      <s:c r="L23" s="72">
        <s:f>'Dark Fiber Forecast'!AA42</s:f>
        <s:v>1595</s:v>
      </s:c>
      <s:c r="M23" s="72">
        <s:f>'Dark Fiber Forecast'!AB42</s:f>
        <s:v>1595</s:v>
      </s:c>
      <s:c r="N23" s="71">
        <s:f>SUM(B23:M23)</s:f>
        <s:v>19140</s:v>
      </s:c>
      <s:c r="O23" s="83">
        <s:f>SUM(B23:D23)</s:f>
        <s:v>4785</s:v>
      </s:c>
      <s:c r="P23" s="83">
        <s:f>SUM(E23:G23)</s:f>
        <s:v>4785</s:v>
      </s:c>
      <s:c r="Q23" s="83">
        <s:f>SUM(H23:J23)</s:f>
        <s:v>4785</s:v>
      </s:c>
      <s:c r="R23" s="83">
        <s:f>SUM(K23:M23)</s:f>
        <s:v>4785</s:v>
      </s:c>
    </s:row>
    <s:row r="25">
      <s:c r="A25" s="17" t="inlineStr">
        <s:is>
          <s:t>PROJECT / OTHER</s:t>
        </s:is>
      </s:c>
    </s:row>
    <s:row r="26">
      <s:c r="A26" s="3" t="inlineStr">
        <s:is>
          <s:t>Hoke County project revenue</s:t>
        </s:is>
      </s:c>
      <s:c r="B26" s="92">
        <s:f>IF(1&gt;='Key Assumptions'!$B$94,'Key Assumptions'!$B$93,0)</s:f>
        <s:v>57000</s:v>
      </s:c>
      <s:c r="C26" s="92">
        <s:f>IF(2&gt;='Key Assumptions'!$B$94,'Key Assumptions'!$B$93,0)</s:f>
        <s:v>57000</s:v>
      </s:c>
      <s:c r="D26" s="92">
        <s:f>IF(3&gt;='Key Assumptions'!$B$94,'Key Assumptions'!$B$93,0)</s:f>
        <s:v>57000</s:v>
      </s:c>
      <s:c r="E26" s="92">
        <s:f>IF(4&gt;='Key Assumptions'!$B$94,'Key Assumptions'!$B$93,0)</s:f>
        <s:v>57000</s:v>
      </s:c>
      <s:c r="F26" s="92">
        <s:f>IF(5&gt;='Key Assumptions'!$B$94,'Key Assumptions'!$B$93,0)</s:f>
        <s:v>57000</s:v>
      </s:c>
      <s:c r="G26" s="92">
        <s:f>IF(6&gt;='Key Assumptions'!$B$94,'Key Assumptions'!$B$93,0)</s:f>
        <s:v>57000</s:v>
      </s:c>
      <s:c r="H26" s="92">
        <s:f>IF(7&gt;='Key Assumptions'!$B$94,'Key Assumptions'!$B$93,0)</s:f>
        <s:v>57000</s:v>
      </s:c>
      <s:c r="I26" s="92">
        <s:f>IF(8&gt;='Key Assumptions'!$B$94,'Key Assumptions'!$B$93,0)</s:f>
        <s:v>57000</s:v>
      </s:c>
      <s:c r="J26" s="92">
        <s:f>IF(9&gt;='Key Assumptions'!$B$94,'Key Assumptions'!$B$93,0)</s:f>
        <s:v>57000</s:v>
      </s:c>
      <s:c r="K26" s="92">
        <s:f>IF(10&gt;='Key Assumptions'!$B$94,'Key Assumptions'!$B$93,0)</s:f>
        <s:v>57000</s:v>
      </s:c>
      <s:c r="L26" s="92">
        <s:f>IF(11&gt;='Key Assumptions'!$B$94,'Key Assumptions'!$B$93,0)</s:f>
        <s:v>57000</s:v>
      </s:c>
      <s:c r="M26" s="92">
        <s:f>IF(12&gt;='Key Assumptions'!$B$94,'Key Assumptions'!$B$93,0)</s:f>
        <s:v>57000</s:v>
      </s:c>
      <s:c r="N26" s="71">
        <s:f>SUM(B26:M26)</s:f>
        <s:v>684000</s:v>
      </s:c>
      <s:c r="O26" s="83">
        <s:f>SUM(B26:D26)</s:f>
        <s:v>171000</s:v>
      </s:c>
      <s:c r="P26" s="83">
        <s:f>SUM(E26:G26)</s:f>
        <s:v>171000</s:v>
      </s:c>
      <s:c r="Q26" s="83">
        <s:f>SUM(H26:J26)</s:f>
        <s:v>171000</s:v>
      </s:c>
      <s:c r="R26" s="83">
        <s:f>SUM(K26:M26)</s:f>
        <s:v>171000</s:v>
      </s:c>
    </s:row>
    <s:row r="28">
      <s:c r="A28" s="17" t="inlineStr">
        <s:is>
          <s:t>CONSOLIDATED</s:t>
        </s:is>
      </s:c>
    </s:row>
    <s:row r="29">
      <s:c r="A29" s="3" t="inlineStr">
        <s:is>
          <s:t>Total recurring revenue</s:t>
        </s:is>
      </s:c>
      <s:c r="B29" s="72">
        <s:f>B7+B13+B19+B20+'Dark Fiber Forecast'!Q41+B26</s:f>
        <s:v>419212.21333333326</s:v>
      </s:c>
      <s:c r="C29" s="72">
        <s:f>C7+C13+C19+C20+'Dark Fiber Forecast'!R41+C26</s:f>
        <s:v>419760.8333333333</s:v>
      </s:c>
      <s:c r="D29" s="72">
        <s:f>D7+D13+D19+D20+'Dark Fiber Forecast'!S41+D26</s:f>
        <s:v>420230.11333333334</s:v>
      </s:c>
      <s:c r="E29" s="72">
        <s:f>E7+E13+E19+E20+'Dark Fiber Forecast'!T41+E26</s:f>
        <s:v>420699.3933333333</s:v>
      </s:c>
      <s:c r="F29" s="72">
        <s:f>F7+F13+F19+F20+'Dark Fiber Forecast'!U41+F26</s:f>
        <s:v>421168.6733333333</s:v>
      </s:c>
      <s:c r="G29" s="72">
        <s:f>G7+G13+G19+G20+'Dark Fiber Forecast'!V41+G26</s:f>
        <s:v>421637.9533333333</s:v>
      </s:c>
      <s:c r="H29" s="72">
        <s:f>H7+H13+H19+H20+'Dark Fiber Forecast'!W41+H26</s:f>
        <s:v>432298.2633333333</s:v>
      </s:c>
      <s:c r="I29" s="72">
        <s:f>I7+I13+I19+I20+'Dark Fiber Forecast'!X41+I26</s:f>
        <s:v>432780.9233333333</s:v>
      </s:c>
      <s:c r="J29" s="72">
        <s:f>J7+J13+J19+J20+'Dark Fiber Forecast'!Y41+J26</s:f>
        <s:v>433263.5833333333</s:v>
      </s:c>
      <s:c r="K29" s="72">
        <s:f>K7+K13+K19+K20+'Dark Fiber Forecast'!Z41+K26</s:f>
        <s:v>433746.2433333333</s:v>
      </s:c>
      <s:c r="L29" s="72">
        <s:f>L7+L13+L19+L20+'Dark Fiber Forecast'!AA41+L26</s:f>
        <s:v>434228.9033333333</s:v>
      </s:c>
      <s:c r="M29" s="72">
        <s:f>M7+M13+M19+M20+'Dark Fiber Forecast'!AB41+M26</s:f>
        <s:v>434711.5633333333</s:v>
      </s:c>
      <s:c r="N29" s="71">
        <s:f>SUM(B29:M29)</s:f>
        <s:v>5123738.66</s:v>
      </s:c>
      <s:c r="O29" s="83">
        <s:f>SUM(B29:D29)</s:f>
        <s:v>1259203.16</s:v>
      </s:c>
      <s:c r="P29" s="83">
        <s:f>SUM(E29:G29)</s:f>
        <s:v>1263506.02</s:v>
      </s:c>
      <s:c r="Q29" s="83">
        <s:f>SUM(H29:J29)</s:f>
        <s:v>1298342.7699999998</s:v>
      </s:c>
      <s:c r="R29" s="83">
        <s:f>SUM(K29:M29)</s:f>
        <s:v>1302686.71</s:v>
      </s:c>
    </s:row>
    <s:row r="30">
      <s:c r="A30" s="3" t="inlineStr">
        <s:is>
          <s:t>Total one-time revenue</s:t>
        </s:is>
      </s:c>
      <s:c r="B30" s="72">
        <s:f>B8+B14+B22</s:f>
        <s:v>14214.5</s:v>
      </s:c>
      <s:c r="C30" s="72">
        <s:f>C8+C14+C22</s:f>
        <s:v>14215.5</s:v>
      </s:c>
      <s:c r="D30" s="72">
        <s:f>D8+D14+D22</s:f>
        <s:v>14216.5</s:v>
      </s:c>
      <s:c r="E30" s="72">
        <s:f>E8+E14+E22</s:f>
        <s:v>14217.5</s:v>
      </s:c>
      <s:c r="F30" s="72">
        <s:f>F8+F14+F22</s:f>
        <s:v>14218.5</s:v>
      </s:c>
      <s:c r="G30" s="72">
        <s:f>G8+G14+G22</s:f>
        <s:v>14219.5</s:v>
      </s:c>
      <s:c r="H30" s="72">
        <s:f>H8+H14+H22</s:f>
        <s:v>14220.5</s:v>
      </s:c>
      <s:c r="I30" s="72">
        <s:f>I8+I14+I22</s:f>
        <s:v>14221.5</s:v>
      </s:c>
      <s:c r="J30" s="72">
        <s:f>J8+J14+J22</s:f>
        <s:v>14222.5</s:v>
      </s:c>
      <s:c r="K30" s="72">
        <s:f>K8+K14+K22</s:f>
        <s:v>14223.5</s:v>
      </s:c>
      <s:c r="L30" s="72">
        <s:f>L8+L14+L22</s:f>
        <s:v>14224.5</s:v>
      </s:c>
      <s:c r="M30" s="72">
        <s:f>M8+M14+M22</s:f>
        <s:v>14225.5</s:v>
      </s:c>
      <s:c r="N30" s="71">
        <s:f>SUM(B30:M30)</s:f>
        <s:v>170640</s:v>
      </s:c>
      <s:c r="O30" s="83">
        <s:f>SUM(B30:D30)</s:f>
        <s:v>42646.5</s:v>
      </s:c>
      <s:c r="P30" s="83">
        <s:f>SUM(E30:G30)</s:f>
        <s:v>42655.5</s:v>
      </s:c>
      <s:c r="Q30" s="83">
        <s:f>SUM(H30:J30)</s:f>
        <s:v>42664.5</s:v>
      </s:c>
      <s:c r="R30" s="83">
        <s:f>SUM(K30:M30)</s:f>
        <s:v>42673.5</s:v>
      </s:c>
    </s:row>
    <s:row r="31">
      <s:c r="A31" s="3" t="inlineStr">
        <s:is>
          <s:t>Gross revenue</s:t>
        </s:is>
      </s:c>
      <s:c r="B31" s="72">
        <s:f>B29+B30+B21</s:f>
        <s:v>433426.71333333326</s:v>
      </s:c>
      <s:c r="C31" s="72">
        <s:f>C29+C30+C21</s:f>
        <s:v>433976.3333333333</s:v>
      </s:c>
      <s:c r="D31" s="72">
        <s:f>D29+D30+D21</s:f>
        <s:v>434446.61333333334</s:v>
      </s:c>
      <s:c r="E31" s="72">
        <s:f>E29+E30+E21</s:f>
        <s:v>434916.8933333333</s:v>
      </s:c>
      <s:c r="F31" s="72">
        <s:f>F29+F30+F21</s:f>
        <s:v>435387.1733333333</s:v>
      </s:c>
      <s:c r="G31" s="72">
        <s:f>G29+G30+G21</s:f>
        <s:v>435857.4533333333</s:v>
      </s:c>
      <s:c r="H31" s="72">
        <s:f>H29+H30+H21</s:f>
        <s:v>446518.7633333333</s:v>
      </s:c>
      <s:c r="I31" s="72">
        <s:f>I29+I30+I21</s:f>
        <s:v>447002.4233333333</s:v>
      </s:c>
      <s:c r="J31" s="72">
        <s:f>J29+J30+J21</s:f>
        <s:v>447486.0833333333</s:v>
      </s:c>
      <s:c r="K31" s="72">
        <s:f>K29+K30+K21</s:f>
        <s:v>447969.7433333333</s:v>
      </s:c>
      <s:c r="L31" s="72">
        <s:f>L29+L30+L21</s:f>
        <s:v>448453.4033333333</s:v>
      </s:c>
      <s:c r="M31" s="72">
        <s:f>M29+M30+M21</s:f>
        <s:v>448937.0633333333</s:v>
      </s:c>
      <s:c r="N31" s="71">
        <s:f>SUM(B31:M31)</s:f>
        <s:v>5294378.66</s:v>
      </s:c>
      <s:c r="O31" s="83">
        <s:f>SUM(B31:D31)</s:f>
        <s:v>1301849.66</s:v>
      </s:c>
      <s:c r="P31" s="83">
        <s:f>SUM(E31:G31)</s:f>
        <s:v>1306161.52</s:v>
      </s:c>
      <s:c r="Q31" s="83">
        <s:f>SUM(H31:J31)</s:f>
        <s:v>1341007.2699999998</s:v>
      </s:c>
      <s:c r="R31" s="83">
        <s:f>SUM(K31:M31)</s:f>
        <s:v>1345360.21</s:v>
      </s:c>
    </s:row>
    <s:row r="32">
      <s:c r="A32" s="15" t="inlineStr">
        <s:is>
          <s:t>Discounts &amp; adjustments</s:t>
        </s:is>
      </s:c>
      <s:c r="B32" s="16">
        <s:f>B9+B15</s:f>
        <s:v>-10761.9147</s:v>
      </s:c>
      <s:c r="C32" s="16">
        <s:f>C9+C15</s:f>
        <s:v>-10776.399800000001</s:v>
      </s:c>
      <s:c r="D32" s="16">
        <s:f>D9+D15</s:f>
        <s:v>-10788.901399999999</s:v>
      </s:c>
      <s:c r="E32" s="16">
        <s:f>E9+E15</s:f>
        <s:v>-10801.403</s:v>
      </s:c>
      <s:c r="F32" s="16">
        <s:f>F9+F15</s:f>
        <s:v>-10813.904599999998</s:v>
      </s:c>
      <s:c r="G32" s="16">
        <s:f>G9+G15</s:f>
        <s:v>-10826.4062</s:v>
      </s:c>
      <s:c r="H32" s="16">
        <s:f>H9+H15</s:f>
        <s:v>-11138.76065</s:v>
      </s:c>
      <s:c r="I32" s="16">
        <s:f>I9+I15</s:f>
        <s:v>-11151.618949999998</s:v>
      </s:c>
      <s:c r="J32" s="16">
        <s:f>J9+J15</s:f>
        <s:v>-11164.47725</s:v>
      </s:c>
      <s:c r="K32" s="16">
        <s:f>K9+K15</s:f>
        <s:v>-11177.33555</s:v>
      </s:c>
      <s:c r="L32" s="16">
        <s:f>L9+L15</s:f>
        <s:v>-11190.193849999998</s:v>
      </s:c>
      <s:c r="M32" s="16">
        <s:f>M9+M15</s:f>
        <s:v>-11203.05215</s:v>
      </s:c>
      <s:c r="N32" s="71">
        <s:f>SUM(B32:M32)</s:f>
        <s:v>-131794.3681</s:v>
      </s:c>
      <s:c r="O32" s="83">
        <s:f>SUM(B32:D32)</s:f>
        <s:v>-32327.2159</s:v>
      </s:c>
      <s:c r="P32" s="83">
        <s:f>SUM(E32:G32)</s:f>
        <s:v>-32441.713799999998</s:v>
      </s:c>
      <s:c r="Q32" s="83">
        <s:f>SUM(H32:J32)</s:f>
        <s:v>-33454.85685</s:v>
      </s:c>
      <s:c r="R32" s="83">
        <s:f>SUM(K32:M32)</s:f>
        <s:v>-33570.58155</s:v>
      </s:c>
    </s:row>
    <s:row r="33">
      <s:c r="A33" s="3" t="inlineStr">
        <s:is>
          <s:t>Total net revenue</s:t>
        </s:is>
      </s:c>
      <s:c r="B33" s="72">
        <s:f>B31+B32</s:f>
        <s:v>422664.79863333324</s:v>
      </s:c>
      <s:c r="C33" s="72">
        <s:f>C31+C32</s:f>
        <s:v>423199.9335333333</s:v>
      </s:c>
      <s:c r="D33" s="72">
        <s:f>D31+D32</s:f>
        <s:v>423657.71193333337</s:v>
      </s:c>
      <s:c r="E33" s="72">
        <s:f>E31+E32</s:f>
        <s:v>424115.4903333333</s:v>
      </s:c>
      <s:c r="F33" s="72">
        <s:f>F31+F32</s:f>
        <s:v>424573.2687333333</s:v>
      </s:c>
      <s:c r="G33" s="72">
        <s:f>G31+G32</s:f>
        <s:v>425031.0471333333</s:v>
      </s:c>
      <s:c r="H33" s="72">
        <s:f>H31+H32</s:f>
        <s:v>435380.0026833333</s:v>
      </s:c>
      <s:c r="I33" s="72">
        <s:f>I31+I32</s:f>
        <s:v>435850.8043833333</s:v>
      </s:c>
      <s:c r="J33" s="72">
        <s:f>J31+J32</s:f>
        <s:v>436321.6060833333</s:v>
      </s:c>
      <s:c r="K33" s="72">
        <s:f>K31+K32</s:f>
        <s:v>436792.40778333327</s:v>
      </s:c>
      <s:c r="L33" s="72">
        <s:f>L31+L32</s:f>
        <s:v>437263.20948333334</s:v>
      </s:c>
      <s:c r="M33" s="72">
        <s:f>M31+M32</s:f>
        <s:v>437734.0111833333</s:v>
      </s:c>
      <s:c r="N33" s="71">
        <s:f>SUM(B33:M33)</s:f>
        <s:v>5162584.2919</s:v>
      </s:c>
      <s:c r="O33" s="83">
        <s:f>SUM(B33:D33)</s:f>
        <s:v>1269522.4441</s:v>
      </s:c>
      <s:c r="P33" s="83">
        <s:f>SUM(E33:G33)</s:f>
        <s:v>1273719.8062</s:v>
      </s:c>
      <s:c r="Q33" s="83">
        <s:f>SUM(H33:J33)</s:f>
        <s:v>1307552.41315</s:v>
      </s:c>
      <s:c r="R33" s="83">
        <s:f>SUM(K33:M33)</s:f>
        <s:v>1311789.62845</s:v>
      </s:c>
    </s:row>
    <s:row r="34">
      <s:c r="A34" s="15" t="inlineStr">
        <s:is>
          <s:t>Month-over-month growth %</s:t>
        </s:is>
      </s:c>
      <s:c r="B34" s="82" t="str">
        <s:f>"—"</s:f>
        <s:v>—</s:v>
      </s:c>
      <s:c r="C34" s="80">
        <s:f>IFERROR(C33/B33-1,0)</s:f>
        <s:v>0.0012660976303926486</s:v>
      </s:c>
      <s:c r="D34" s="80">
        <s:f>IFERROR(D33/C33-1,0)</s:f>
        <s:v>0.00108170716421907</s:v>
      </s:c>
      <s:c r="E34" s="80">
        <s:f>IFERROR(E33/D33-1,0)</s:f>
        <s:v>0.0010805383381573552</s:v>
      </s:c>
      <s:c r="F34" s="80">
        <s:f>IFERROR(F33/E33-1,0)</s:f>
        <s:v>0.001079372035291959</s:v>
      </s:c>
      <s:c r="G34" s="80">
        <s:f>IFERROR(G33/F33-1,0)</s:f>
        <s:v>0.0010782082474616317</s:v>
      </s:c>
      <s:c r="H34" s="80">
        <s:f>IFERROR(H33/G33-1,0)</s:f>
        <s:v>0.02434870492355712</s:v>
      </s:c>
      <s:c r="I34" s="80">
        <s:f>IFERROR(I33/H33-1,0)</s:f>
        <s:v>0.0010813581172730569</s:v>
      </s:c>
      <s:c r="J34" s="80">
        <s:f>IFERROR(J33/I33-1,0)</s:f>
        <s:v>0.001080190044999707</s:v>
      </s:c>
      <s:c r="K34" s="80">
        <s:f>IFERROR(K33/J33-1,0)</s:f>
        <s:v>0.0010790244934835158</s:v>
      </s:c>
      <s:c r="L34" s="80">
        <s:f>IFERROR(L33/K33-1,0)</s:f>
        <s:v>0.0010778614545736698</s:v>
      </s:c>
      <s:c r="M34" s="80">
        <s:f>IFERROR(M33/L33-1,0)</s:f>
        <s:v>0.0010767009201535505</s:v>
      </s:c>
    </s:row>
    <s:row r="35">
      <s:c r="A35" s="15" t="inlineStr">
        <s:is>
          <s:t>Revenue per day</s:t>
        </s:is>
      </s:c>
      <s:c r="B35" s="16">
        <s:f>B33/DAY(EOMONTH(B3,0))</s:f>
        <s:v>13634.34834301075</s:v>
      </s:c>
      <s:c r="C35" s="16">
        <s:f>C33/DAY(EOMONTH(C3,0))</s:f>
        <s:v>15114.28334047619</s:v>
      </s:c>
      <s:c r="D35" s="16">
        <s:f>D33/DAY(EOMONTH(D3,0))</s:f>
        <s:v>13666.377804301077</s:v>
      </s:c>
      <s:c r="E35" s="16">
        <s:f>E33/DAY(EOMONTH(E3,0))</s:f>
        <s:v>14137.18301111111</s:v>
      </s:c>
      <s:c r="F35" s="16">
        <s:f>F33/DAY(EOMONTH(F3,0))</s:f>
        <s:v>13695.911894623654</s:v>
      </s:c>
      <s:c r="G35" s="16">
        <s:f>G33/DAY(EOMONTH(G3,0))</s:f>
        <s:v>14167.701571111109</s:v>
      </s:c>
      <s:c r="H35" s="16">
        <s:f>H33/DAY(EOMONTH(H3,0))</s:f>
        <s:v>14044.516215591397</s:v>
      </s:c>
      <s:c r="I35" s="16">
        <s:f>I33/DAY(EOMONTH(I3,0))</s:f>
        <s:v>14059.7033672043</s:v>
      </s:c>
      <s:c r="J35" s="16">
        <s:f>J33/DAY(EOMONTH(J3,0))</s:f>
        <s:v>14544.05353611111</s:v>
      </s:c>
      <s:c r="K35" s="16">
        <s:f>K33/DAY(EOMONTH(K3,0))</s:f>
        <s:v>14090.077670430106</s:v>
      </s:c>
      <s:c r="L35" s="16">
        <s:f>L33/DAY(EOMONTH(L3,0))</s:f>
        <s:v>14575.440316111111</s:v>
      </s:c>
      <s:c r="M35" s="16">
        <s:f>M33/DAY(EOMONTH(M3,0))</s:f>
        <s:v>14120.451973655912</s:v>
      </s:c>
      <s:c r="N35" s="71">
        <s:f>N33/365</s:f>
        <s:v>14144.066553150684</s:v>
      </s:c>
    </s:row>
    <s:row r="36">
      <s:c r="A36" s="15" t="inlineStr">
        <s:is>
          <s:t>Monthly recurring revenue (MRR)</s:t>
        </s:is>
      </s:c>
      <s:c r="B36" s="72">
        <s:f>B29</s:f>
        <s:v>419212.21333333326</s:v>
      </s:c>
      <s:c r="C36" s="72">
        <s:f>C29</s:f>
        <s:v>419760.8333333333</s:v>
      </s:c>
      <s:c r="D36" s="72">
        <s:f>D29</s:f>
        <s:v>420230.11333333334</s:v>
      </s:c>
      <s:c r="E36" s="72">
        <s:f>E29</s:f>
        <s:v>420699.3933333333</s:v>
      </s:c>
      <s:c r="F36" s="72">
        <s:f>F29</s:f>
        <s:v>421168.6733333333</s:v>
      </s:c>
      <s:c r="G36" s="72">
        <s:f>G29</s:f>
        <s:v>421637.9533333333</s:v>
      </s:c>
      <s:c r="H36" s="72">
        <s:f>H29</s:f>
        <s:v>432298.2633333333</s:v>
      </s:c>
      <s:c r="I36" s="72">
        <s:f>I29</s:f>
        <s:v>432780.9233333333</s:v>
      </s:c>
      <s:c r="J36" s="72">
        <s:f>J29</s:f>
        <s:v>433263.5833333333</s:v>
      </s:c>
      <s:c r="K36" s="72">
        <s:f>K29</s:f>
        <s:v>433746.2433333333</s:v>
      </s:c>
      <s:c r="L36" s="72">
        <s:f>L29</s:f>
        <s:v>434228.9033333333</s:v>
      </s:c>
      <s:c r="M36" s="72">
        <s:f>M29</s:f>
        <s:v>434711.5633333333</s:v>
      </s:c>
      <s:c r="N36" s="71">
        <s:f>M36</s:f>
        <s:v>434711.5633333333</s:v>
      </s:c>
    </s:row>
    <s:row r="37">
      <s:c r="A37" s="15" t="inlineStr">
        <s:is>
          <s:t>Annualized recurring run rate (ARR)</s:t>
        </s:is>
      </s:c>
      <s:c r="B37" s="16">
        <s:f>B36*12</s:f>
        <s:v>5030546.559999999</s:v>
      </s:c>
      <s:c r="C37" s="16">
        <s:f>C36*12</s:f>
        <s:v>5037130</s:v>
      </s:c>
      <s:c r="D37" s="16">
        <s:f>D36*12</s:f>
        <s:v>5042761.36</s:v>
      </s:c>
      <s:c r="E37" s="16">
        <s:f>E36*12</s:f>
        <s:v>5048392.72</s:v>
      </s:c>
      <s:c r="F37" s="16">
        <s:f>F36*12</s:f>
        <s:v>5054024.079999999</s:v>
      </s:c>
      <s:c r="G37" s="16">
        <s:f>G36*12</s:f>
        <s:v>5059655.4399999995</s:v>
      </s:c>
      <s:c r="H37" s="16">
        <s:f>H36*12</s:f>
        <s:v>5187579.16</s:v>
      </s:c>
      <s:c r="I37" s="16">
        <s:f>I36*12</s:f>
        <s:v>5193371.079999999</s:v>
      </s:c>
      <s:c r="J37" s="16">
        <s:f>J36*12</s:f>
        <s:v>5199163</s:v>
      </s:c>
      <s:c r="K37" s="16">
        <s:f>K36*12</s:f>
        <s:v>5204954.92</s:v>
      </s:c>
      <s:c r="L37" s="16">
        <s:f>L36*12</s:f>
        <s:v>5210746.84</s:v>
      </s:c>
      <s:c r="M37" s="16">
        <s:f>M36*12</s:f>
        <s:v>5216538.76</s:v>
      </s:c>
      <s:c r="N37" s="71">
        <s:f>M37</s:f>
        <s:v>5216538.76</s:v>
      </s:c>
    </s:row>
    <s:row r="38">
      <s:c r="A38" s="15" t="inlineStr">
        <s:is>
          <s:t>% revenue — Residential</s:t>
        </s:is>
      </s:c>
      <s:c r="B38" s="80">
        <s:f>IFERROR(B10/B33,0)</s:f>
        <s:v>0.7550349429742303</s:v>
      </s:c>
      <s:c r="C38" s="80">
        <s:f>IFERROR(C10/C33,0)</s:f>
        <s:v>0.7544307530194488</s:v>
      </s:c>
      <s:c r="D38" s="80">
        <s:f>IFERROR(D10/D33,0)</s:f>
        <s:v>0.7539657320898662</s:v>
      </s:c>
      <s:c r="E38" s="80">
        <s:f>IFERROR(E10/E33,0)</s:f>
        <s:v>0.7535017150214581</s:v>
      </s:c>
      <s:c r="F38" s="80">
        <s:f>IFERROR(F10/F33,0)</s:f>
        <s:v>0.7530386985671103</s:v>
      </s:c>
      <s:c r="G38" s="80">
        <s:f>IFERROR(G10/G33,0)</s:f>
        <s:v>0.7525766794936979</s:v>
      </s:c>
      <s:c r="H38" s="80">
        <s:f>IFERROR(H10/H33,0)</s:f>
        <s:v>0.7551145250289618</s:v>
      </s:c>
      <s:c r="I38" s="80">
        <s:f>IFERROR(I10/I33,0)</s:f>
        <s:v>0.7546491134706068</s:v>
      </s:c>
      <s:c r="J38" s="80">
        <s:f>IFERROR(J10/J33,0)</s:f>
        <s:v>0.7541847062931938</s:v>
      </s:c>
      <s:c r="K38" s="80">
        <s:f>IFERROR(K10/K33,0)</s:f>
        <s:v>0.7537213002489724</s:v>
      </s:c>
      <s:c r="L38" s="80">
        <s:f>IFERROR(L10/L33,0)</s:f>
        <s:v>0.7532588921041793</s:v>
      </s:c>
      <s:c r="M38" s="80">
        <s:f>IFERROR(M10/M33,0)</s:f>
        <s:v>0.7527974786389638</s:v>
      </s:c>
      <s:c r="N38" s="93">
        <s:f>IFERROR(N10/N33,0)</s:f>
        <s:v>0.7538561484615826</s:v>
      </s:c>
    </s:row>
    <s:row r="39">
      <s:c r="A39" s="15" t="inlineStr">
        <s:is>
          <s:t>% revenue — Business</s:t>
        </s:is>
      </s:c>
      <s:c r="B39" s="80">
        <s:f>IFERROR(B16/B33,0)</s:f>
        <s:v>0.10633274085119324</s:v>
      </s:c>
      <s:c r="C39" s="80">
        <s:f>IFERROR(C16/C33,0)</s:f>
        <s:v>0.10711223090593797</s:v>
      </s:c>
      <s:c r="D39" s="80">
        <s:f>IFERROR(D16/D33,0)</s:f>
        <s:v>0.10772685994957597</s:v>
      </s:c>
      <s:c r="E39" s="80">
        <s:f>IFERROR(E16/E33,0)</s:f>
        <s:v>0.10834016216641042</s:v>
      </s:c>
      <s:c r="F39" s="80">
        <s:f>IFERROR(F16/F33,0)</s:f>
        <s:v>0.10895214184822812</s:v>
      </s:c>
      <s:c r="G39" s="80">
        <s:f>IFERROR(G16/G33,0)</s:f>
        <s:v>0.10956280326832604</s:v>
      </s:c>
      <s:c r="H39" s="80">
        <s:f>IFERROR(H16/H33,0)</s:f>
        <s:v>0.11030189364238883</s:v>
      </s:c>
      <s:c r="I39" s="80">
        <s:f>IFERROR(I16/I33,0)</s:f>
        <s:v>0.11091268104551547</s:v>
      </s:c>
      <s:c r="J39" s="80">
        <s:f>IFERROR(J16/J33,0)</s:f>
        <s:v>0.1115221503395055</s:v>
      </s:c>
      <s:c r="K39" s="80">
        <s:f>IFERROR(K16/K33,0)</s:f>
        <s:v>0.11213030578657608</s:v>
      </s:c>
      <s:c r="L39" s="80">
        <s:f>IFERROR(L16/L33,0)</s:f>
        <s:v>0.11273715163058774</s:v>
      </s:c>
      <s:c r="M39" s="80">
        <s:f>IFERROR(M16/M33,0)</s:f>
        <s:v>0.11334269209714323</s:v>
      </s:c>
      <s:c r="N39" s="93">
        <s:f>IFERROR(N16/N33,0)</s:f>
        <s:v>0.109944622577989</s:v>
      </s:c>
    </s:row>
    <s:row r="40">
      <s:c r="A40" s="15" t="inlineStr">
        <s:is>
          <s:t>% revenue — Dark Fiber</s:t>
        </s:is>
      </s:c>
      <s:c r="B40" s="80">
        <s:f>IFERROR(B23/B33,0)</s:f>
        <s:v>0.003773675984272543</s:v>
      </s:c>
      <s:c r="C40" s="80">
        <s:f>IFERROR(C23/C33,0)</s:f>
        <s:v>0.003768904183616489</s:v>
      </s:c>
      <s:c r="D40" s="80">
        <s:f>IFERROR(D23/D33,0)</s:f>
        <s:v>0.003764831738153249</s:v>
      </s:c>
      <s:c r="E40" s="80">
        <s:f>IFERROR(E23/E33,0)</s:f>
        <s:v>0.003760768084057507</s:v>
      </s:c>
      <s:c r="F40" s="80">
        <s:f>IFERROR(F23/F33,0)</s:f>
        <s:v>0.0037567131928924863</s:v>
      </s:c>
      <s:c r="G40" s="80">
        <s:f>IFERROR(G23/G33,0)</s:f>
        <s:v>0.003752667036343923</s:v>
      </s:c>
      <s:c r="H40" s="80">
        <s:f>IFERROR(H23/H33,0)</s:f>
        <s:v>0.003663466374591618</s:v>
      </s:c>
      <s:c r="I40" s="80">
        <s:f>IFERROR(I23/I33,0)</s:f>
        <s:v>0.003659509134683593</s:v>
      </s:c>
      <s:c r="J40" s="80">
        <s:f>IFERROR(J23/J33,0)</s:f>
        <s:v>0.0036555604346931426</s:v>
      </s:c>
      <s:c r="K40" s="80">
        <s:f>IFERROR(K23/K33,0)</s:f>
        <s:v>0.003651620247005723</s:v>
      </s:c>
      <s:c r="L40" s="80">
        <s:f>IFERROR(L23/L33,0)</s:f>
        <s:v>0.0036476885441257202</s:v>
      </s:c>
      <s:c r="M40" s="80">
        <s:f>IFERROR(M23/M33,0)</s:f>
        <s:v>0.0036437652986758126</s:v>
      </s:c>
      <s:c r="N40" s="93">
        <s:f>IFERROR(N23/N33,0)</s:f>
        <s:v>0.0037074455191037385</s:v>
      </s:c>
    </s:row>
    <s:row r="41">
      <s:c r="A41" s="15" t="inlineStr">
        <s:is>
          <s:t>% revenue — Project</s:t>
        </s:is>
      </s:c>
      <s:c r="B41" s="80">
        <s:f>IFERROR(B26/B33,0)</s:f>
        <s:v>0.13485864019030405</s:v>
      </s:c>
      <s:c r="C41" s="80">
        <s:f>IFERROR(C26/C33,0)</s:f>
        <s:v>0.1346881118909968</s:v>
      </s:c>
      <s:c r="D41" s="80">
        <s:f>IFERROR(D26/D33,0)</s:f>
        <s:v>0.1345425762224045</s:v>
      </s:c>
      <s:c r="E41" s="80">
        <s:f>IFERROR(E26/E33,0)</s:f>
        <s:v>0.1343973547280739</s:v>
      </s:c>
      <s:c r="F41" s="80">
        <s:f>IFERROR(F26/F33,0)</s:f>
        <s:v>0.1342524463917691</s:v>
      </s:c>
      <s:c r="G41" s="80">
        <s:f>IFERROR(G26/G33,0)</s:f>
        <s:v>0.13410785020163235</s:v>
      </s:c>
      <s:c r="H41" s="80">
        <s:f>IFERROR(H26/H33,0)</s:f>
        <s:v>0.13092011495405784</s:v>
      </s:c>
      <s:c r="I41" s="80">
        <s:f>IFERROR(I26/I33,0)</s:f>
        <s:v>0.13077869634919423</s:v>
      </s:c>
      <s:c r="J41" s="80">
        <s:f>IFERROR(J26/J33,0)</s:f>
        <s:v>0.1306375829326076</s:v>
      </s:c>
      <s:c r="K41" s="80">
        <s:f>IFERROR(K26/K33,0)</s:f>
        <s:v>0.13049677371744592</s:v>
      </s:c>
      <s:c r="L41" s="80">
        <s:f>IFERROR(L26/L33,0)</s:f>
        <s:v>0.13035626772110726</s:v>
      </s:c>
      <s:c r="M41" s="80">
        <s:f>IFERROR(M26/M33,0)</s:f>
        <s:v>0.13021606396521712</s:v>
      </s:c>
      <s:c r="N41" s="93">
        <s:f>IFERROR(N26/N33,0)</s:f>
        <s:v>0.1324917834413248</s:v>
      </s:c>
    </s:row>
  </s:sheetData>
  <s:mergeCells count="7">
    <s:mergeCell ref="A18:R18"/>
    <s:mergeCell ref="A25:R25"/>
    <s:mergeCell ref="A2:R2"/>
    <s:mergeCell ref="A28:R28"/>
    <s:mergeCell ref="A1:R1"/>
    <s:mergeCell ref="A6:R6"/>
    <s:mergeCell ref="A12:R12"/>
  </s:mergeCells>
  <s:conditionalFormatting sqref="C34:M34">
    <s:cfRule type="cellIs" priority="1" operator="greaterThan" dxfId="4">
      <s:formula>0</s:formula>
    </s:cfRule>
    <s:cfRule type="cellIs" priority="2" operator="lessThan" dxfId="5">
      <s:formula>0</s:formula>
    </s:cfRule>
  </s:conditionalFormatting>
  <s:pageMargins left="0.75" right="0.75" top="1" bottom="1" header="0.5" footer="0.5"/>
  <s:pageSetup orientation="landscape" fitToWidth="1"/>
</s:worksheet>
</file>

<file path=xl/worksheets/sheet8.xml><?xml version="1.0" encoding="utf-8"?>
<s:worksheet xmlns:s="http://schemas.openxmlformats.org/spreadsheetml/2006/main">
  <s:sheetPr>
    <s:tabColor rgb="001F3864"/>
    <s:outlinePr summaryBelow="1" summaryRight="1"/>
    <s:pageSetUpPr/>
  </s:sheetPr>
  <s:dimension ref="A1:N58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8" customWidth="1" min="1" max="1"/>
    <s:col width="12" customWidth="1" min="2" max="2"/>
    <s:col width="12" customWidth="1" min="3" max="3"/>
    <s:col width="12" customWidth="1" min="4" max="4"/>
    <s:col width="12" customWidth="1" min="5" max="5"/>
    <s:col width="12" customWidth="1" min="6" max="6"/>
    <s:col width="12" customWidth="1" min="7" max="7"/>
    <s:col width="12" customWidth="1" min="8" max="8"/>
    <s:col width="12" customWidth="1" min="9" max="9"/>
    <s:col width="12" customWidth="1" min="10" max="10"/>
    <s:col width="12" customWidth="1" min="11" max="11"/>
    <s:col width="12" customWidth="1" min="12" max="12"/>
    <s:col width="12" customWidth="1" min="13" max="13"/>
    <s:col width="12" customWidth="1" min="14" max="14"/>
  </s:cols>
  <s:sheetData>
    <s:row r="1" ht="30" customHeight="1">
      <s:c r="A1" s="1" t="inlineStr">
        <s:is>
          <s:t>SCENARIO ANALYSIS — 2027 (Conservative / Base / Aggressive)</s:t>
        </s:is>
      </s:c>
    </s:row>
    <s:row r="2">
      <s:c r="A2" s="2" t="inlineStr">
        <s:is>
          <s:t>Three independent projections, each hard-wired to its own multiplier row on Key Assumptions (rows 8-10). Independent of the active-scenario dropdown.</s:t>
        </s:is>
      </s:c>
    </s:row>
    <s:row r="3">
      <s:c r="A3" s="7" t="inlineStr">
        <s:is>
          <s:t>Scenario multipliers are edited on Key Assumptions rows 8-10. Dark fiber scaled by the DF-recurring multiplier (timing effects are modeled in the main Dark Fiber Forecast).</s:t>
        </s:is>
      </s:c>
      <s:c r="B3" s="86" t="n"/>
      <s:c r="C3" s="86" t="n"/>
      <s:c r="D3" s="86" t="n"/>
      <s:c r="E3" s="86" t="n"/>
      <s:c r="F3" s="86" t="n"/>
      <s:c r="G3" s="86" t="n"/>
      <s:c r="H3" s="86" t="n"/>
      <s:c r="I3" s="86" t="n"/>
      <s:c r="J3" s="86" t="n"/>
      <s:c r="K3" s="86" t="n"/>
      <s:c r="L3" s="86" t="n"/>
      <s:c r="M3" s="86" t="n"/>
      <s:c r="N3" s="87" t="n"/>
    </s:row>
    <s:row r="5">
      <s:c r="A5" s="94" t="inlineStr">
        <s:is>
          <s:t>CONSERVATIVE SCENARIO</s:t>
        </s:is>
      </s:c>
    </s:row>
    <s:row r="6">
      <s:c r="A6" s="64" t="inlineStr">
        <s:is>
          <s:t>Metric</s:t>
        </s:is>
      </s:c>
      <s:c r="B6" s="65" t="n">
        <s:v>46388</s:v>
      </s:c>
      <s:c r="C6" s="65" t="n">
        <s:v>46419</s:v>
      </s:c>
      <s:c r="D6" s="65" t="n">
        <s:v>46447</s:v>
      </s:c>
      <s:c r="E6" s="65" t="n">
        <s:v>46478</s:v>
      </s:c>
      <s:c r="F6" s="65" t="n">
        <s:v>46508</s:v>
      </s:c>
      <s:c r="G6" s="65" t="n">
        <s:v>46539</s:v>
      </s:c>
      <s:c r="H6" s="65" t="n">
        <s:v>46569</s:v>
      </s:c>
      <s:c r="I6" s="65" t="n">
        <s:v>46600</s:v>
      </s:c>
      <s:c r="J6" s="65" t="n">
        <s:v>46631</s:v>
      </s:c>
      <s:c r="K6" s="65" t="n">
        <s:v>46661</s:v>
      </s:c>
      <s:c r="L6" s="65" t="n">
        <s:v>46692</s:v>
      </s:c>
      <s:c r="M6" s="65" t="n">
        <s:v>46722</s:v>
      </s:c>
      <s:c r="N6" s="25" t="inlineStr">
        <s:is>
          <s:t>FY 2027</s:t>
        </s:is>
      </s:c>
    </s:row>
    <s:row r="7">
      <s:c r="A7" s="15" t="inlineStr">
        <s:is>
          <s:t>Residential beginning subs</s:t>
        </s:is>
      </s:c>
      <s:c r="B7" s="67">
        <s:f>'Key Assumptions'!$B$16</s:f>
        <s:v>4048</s:v>
      </s:c>
      <s:c r="C7" s="68">
        <s:f>B8</s:f>
        <s:v>4029</s:v>
      </s:c>
      <s:c r="D7" s="68">
        <s:f>C8</s:f>
        <s:v>4010</s:v>
      </s:c>
      <s:c r="E7" s="68">
        <s:f>D8</s:f>
        <s:v>3992</s:v>
      </s:c>
      <s:c r="F7" s="68">
        <s:f>E8</s:f>
        <s:v>3974</s:v>
      </s:c>
      <s:c r="G7" s="68">
        <s:f>F8</s:f>
        <s:v>3956</s:v>
      </s:c>
      <s:c r="H7" s="68">
        <s:f>G8</s:f>
        <s:v>3939</s:v>
      </s:c>
      <s:c r="I7" s="68">
        <s:f>H8</s:f>
        <s:v>3922</s:v>
      </s:c>
      <s:c r="J7" s="68">
        <s:f>I8</s:f>
        <s:v>3905</s:v>
      </s:c>
      <s:c r="K7" s="68">
        <s:f>J8</s:f>
        <s:v>3889</s:v>
      </s:c>
      <s:c r="L7" s="68">
        <s:f>K8</s:f>
        <s:v>3873</s:v>
      </s:c>
      <s:c r="M7" s="68">
        <s:f>L8</s:f>
        <s:v>3857</s:v>
      </s:c>
    </s:row>
    <s:row r="8">
      <s:c r="A8" s="15" t="inlineStr">
        <s:is>
          <s:t>Residential ending subs</s:t>
        </s:is>
      </s:c>
      <s:c r="B8" s="68">
        <s:f>MAX(0,B7+ROUND('Key Assumptions'!$B$17*'Key Assumptions'!$B$9,0)+'Key Assumptions'!$B$20-ROUND(B7*'Key Assumptions'!$B$18*'Key Assumptions'!$C$9,0)-'Key Assumptions'!$B$19)</s:f>
        <s:v>4029</s:v>
      </s:c>
      <s:c r="C8" s="68">
        <s:f>MAX(0,C7+ROUND('Key Assumptions'!$B$17*'Key Assumptions'!$B$9,0)+'Key Assumptions'!$B$20-ROUND(C7*'Key Assumptions'!$B$18*'Key Assumptions'!$C$9,0)-'Key Assumptions'!$B$19)</s:f>
        <s:v>4010</s:v>
      </s:c>
      <s:c r="D8" s="68">
        <s:f>MAX(0,D7+ROUND('Key Assumptions'!$B$17*'Key Assumptions'!$B$9,0)+'Key Assumptions'!$B$20-ROUND(D7*'Key Assumptions'!$B$18*'Key Assumptions'!$C$9,0)-'Key Assumptions'!$B$19)</s:f>
        <s:v>3992</s:v>
      </s:c>
      <s:c r="E8" s="68">
        <s:f>MAX(0,E7+ROUND('Key Assumptions'!$B$17*'Key Assumptions'!$B$9,0)+'Key Assumptions'!$B$20-ROUND(E7*'Key Assumptions'!$B$18*'Key Assumptions'!$C$9,0)-'Key Assumptions'!$B$19)</s:f>
        <s:v>3974</s:v>
      </s:c>
      <s:c r="F8" s="68">
        <s:f>MAX(0,F7+ROUND('Key Assumptions'!$B$17*'Key Assumptions'!$B$9,0)+'Key Assumptions'!$B$20-ROUND(F7*'Key Assumptions'!$B$18*'Key Assumptions'!$C$9,0)-'Key Assumptions'!$B$19)</s:f>
        <s:v>3956</s:v>
      </s:c>
      <s:c r="G8" s="68">
        <s:f>MAX(0,G7+ROUND('Key Assumptions'!$B$17*'Key Assumptions'!$B$9,0)+'Key Assumptions'!$B$20-ROUND(G7*'Key Assumptions'!$B$18*'Key Assumptions'!$C$9,0)-'Key Assumptions'!$B$19)</s:f>
        <s:v>3939</s:v>
      </s:c>
      <s:c r="H8" s="68">
        <s:f>MAX(0,H7+ROUND('Key Assumptions'!$B$17*'Key Assumptions'!$B$9,0)+'Key Assumptions'!$B$20-ROUND(H7*'Key Assumptions'!$B$18*'Key Assumptions'!$C$9,0)-'Key Assumptions'!$B$19)</s:f>
        <s:v>3922</s:v>
      </s:c>
      <s:c r="I8" s="68">
        <s:f>MAX(0,I7+ROUND('Key Assumptions'!$B$17*'Key Assumptions'!$B$9,0)+'Key Assumptions'!$B$20-ROUND(I7*'Key Assumptions'!$B$18*'Key Assumptions'!$C$9,0)-'Key Assumptions'!$B$19)</s:f>
        <s:v>3905</s:v>
      </s:c>
      <s:c r="J8" s="68">
        <s:f>MAX(0,J7+ROUND('Key Assumptions'!$B$17*'Key Assumptions'!$B$9,0)+'Key Assumptions'!$B$20-ROUND(J7*'Key Assumptions'!$B$18*'Key Assumptions'!$C$9,0)-'Key Assumptions'!$B$19)</s:f>
        <s:v>3889</s:v>
      </s:c>
      <s:c r="K8" s="68">
        <s:f>MAX(0,K7+ROUND('Key Assumptions'!$B$17*'Key Assumptions'!$B$9,0)+'Key Assumptions'!$B$20-ROUND(K7*'Key Assumptions'!$B$18*'Key Assumptions'!$C$9,0)-'Key Assumptions'!$B$19)</s:f>
        <s:v>3873</s:v>
      </s:c>
      <s:c r="L8" s="68">
        <s:f>MAX(0,L7+ROUND('Key Assumptions'!$B$17*'Key Assumptions'!$B$9,0)+'Key Assumptions'!$B$20-ROUND(L7*'Key Assumptions'!$B$18*'Key Assumptions'!$C$9,0)-'Key Assumptions'!$B$19)</s:f>
        <s:v>3857</s:v>
      </s:c>
      <s:c r="M8" s="68">
        <s:f>MAX(0,M7+ROUND('Key Assumptions'!$B$17*'Key Assumptions'!$B$9,0)+'Key Assumptions'!$B$20-ROUND(M7*'Key Assumptions'!$B$18*'Key Assumptions'!$C$9,0)-'Key Assumptions'!$B$19)</s:f>
        <s:v>3842</s:v>
      </s:c>
    </s:row>
    <s:row r="9">
      <s:c r="A9" s="15" t="inlineStr">
        <s:is>
          <s:t>Residential avg subs</s:t>
        </s:is>
      </s:c>
      <s:c r="B9" s="68">
        <s:f>(B7+B8)/2</s:f>
        <s:v>4038.5</s:v>
      </s:c>
      <s:c r="C9" s="68">
        <s:f>(C7+C8)/2</s:f>
        <s:v>4019.5</s:v>
      </s:c>
      <s:c r="D9" s="68">
        <s:f>(D7+D8)/2</s:f>
        <s:v>4001</s:v>
      </s:c>
      <s:c r="E9" s="68">
        <s:f>(E7+E8)/2</s:f>
        <s:v>3983</s:v>
      </s:c>
      <s:c r="F9" s="68">
        <s:f>(F7+F8)/2</s:f>
        <s:v>3965</s:v>
      </s:c>
      <s:c r="G9" s="68">
        <s:f>(G7+G8)/2</s:f>
        <s:v>3947.5</s:v>
      </s:c>
      <s:c r="H9" s="68">
        <s:f>(H7+H8)/2</s:f>
        <s:v>3930.5</s:v>
      </s:c>
      <s:c r="I9" s="68">
        <s:f>(I7+I8)/2</s:f>
        <s:v>3913.5</s:v>
      </s:c>
      <s:c r="J9" s="68">
        <s:f>(J7+J8)/2</s:f>
        <s:v>3897</s:v>
      </s:c>
      <s:c r="K9" s="68">
        <s:f>(K7+K8)/2</s:f>
        <s:v>3881</s:v>
      </s:c>
      <s:c r="L9" s="68">
        <s:f>(L7+L8)/2</s:f>
        <s:v>3865</s:v>
      </s:c>
      <s:c r="M9" s="68">
        <s:f>(M7+M8)/2</s:f>
        <s:v>3849.5</s:v>
      </s:c>
    </s:row>
    <s:row r="10">
      <s:c r="A10" s="3" t="inlineStr">
        <s:is>
          <s:t>Residential net revenue</s:t>
        </s:is>
      </s:c>
      <s:c r="B10" s="16">
        <s:f>(B9*('Key Assumptions'!$B$21*IF(1&gt;='Key Assumptions'!$B$22,1+'Key Assumptions'!$B$23,1)*'Key Assumptions'!$D$9)+B9*'Key Assumptions'!$B$30+'Key Assumptions'!$B$29)*(1-'Key Assumptions'!$B$27)+(ROUND('Key Assumptions'!$B$17*'Key Assumptions'!$B$9,0)*'Key Assumptions'!$B$24+B9*'Key Assumptions'!$B$26*'Key Assumptions'!$B$25)-((B9*('Key Assumptions'!$B$21*IF(1&gt;='Key Assumptions'!$B$22,1+'Key Assumptions'!$B$23,1)*'Key Assumptions'!$D$9)+B9*'Key Assumptions'!$B$30+'Key Assumptions'!$B$29)+(ROUND('Key Assumptions'!$B$17*'Key Assumptions'!$B$9,0)*'Key Assumptions'!$B$24+B9*'Key Assumptions'!$B$26*'Key Assumptions'!$B$25))*'Key Assumptions'!$B$28</s:f>
        <s:v>308769.24613333336</s:v>
      </s:c>
      <s:c r="C10" s="16">
        <s:f>(C9*('Key Assumptions'!$B$21*IF(2&gt;='Key Assumptions'!$B$22,1+'Key Assumptions'!$B$23,1)*'Key Assumptions'!$D$9)+C9*'Key Assumptions'!$B$30+'Key Assumptions'!$B$29)*(1-'Key Assumptions'!$B$27)+(ROUND('Key Assumptions'!$B$17*'Key Assumptions'!$B$9,0)*'Key Assumptions'!$B$24+C9*'Key Assumptions'!$B$26*'Key Assumptions'!$B$25)-((C9*('Key Assumptions'!$B$21*IF(2&gt;='Key Assumptions'!$B$22,1+'Key Assumptions'!$B$23,1)*'Key Assumptions'!$D$9)+C9*'Key Assumptions'!$B$30+'Key Assumptions'!$B$29)+(ROUND('Key Assumptions'!$B$17*'Key Assumptions'!$B$9,0)*'Key Assumptions'!$B$24+C9*'Key Assumptions'!$B$26*'Key Assumptions'!$B$25))*'Key Assumptions'!$B$28</s:f>
        <s:v>307400.81293333333</s:v>
      </s:c>
      <s:c r="D10" s="16">
        <s:f>(D9*('Key Assumptions'!$B$21*IF(3&gt;='Key Assumptions'!$B$22,1+'Key Assumptions'!$B$23,1)*'Key Assumptions'!$D$9)+D9*'Key Assumptions'!$B$30+'Key Assumptions'!$B$29)*(1-'Key Assumptions'!$B$27)+(ROUND('Key Assumptions'!$B$17*'Key Assumptions'!$B$9,0)*'Key Assumptions'!$B$24+D9*'Key Assumptions'!$B$26*'Key Assumptions'!$B$25)-((D9*('Key Assumptions'!$B$21*IF(3&gt;='Key Assumptions'!$B$22,1+'Key Assumptions'!$B$23,1)*'Key Assumptions'!$D$9)+D9*'Key Assumptions'!$B$30+'Key Assumptions'!$B$29)+(ROUND('Key Assumptions'!$B$17*'Key Assumptions'!$B$9,0)*'Key Assumptions'!$B$24+D9*'Key Assumptions'!$B$26*'Key Assumptions'!$B$25))*'Key Assumptions'!$B$28</s:f>
        <s:v>306068.3911333333</s:v>
      </s:c>
      <s:c r="E10" s="16">
        <s:f>(E9*('Key Assumptions'!$B$21*IF(4&gt;='Key Assumptions'!$B$22,1+'Key Assumptions'!$B$23,1)*'Key Assumptions'!$D$9)+E9*'Key Assumptions'!$B$30+'Key Assumptions'!$B$29)*(1-'Key Assumptions'!$B$27)+(ROUND('Key Assumptions'!$B$17*'Key Assumptions'!$B$9,0)*'Key Assumptions'!$B$24+E9*'Key Assumptions'!$B$26*'Key Assumptions'!$B$25)-((E9*('Key Assumptions'!$B$21*IF(4&gt;='Key Assumptions'!$B$22,1+'Key Assumptions'!$B$23,1)*'Key Assumptions'!$D$9)+E9*'Key Assumptions'!$B$30+'Key Assumptions'!$B$29)+(ROUND('Key Assumptions'!$B$17*'Key Assumptions'!$B$9,0)*'Key Assumptions'!$B$24+E9*'Key Assumptions'!$B$26*'Key Assumptions'!$B$25))*'Key Assumptions'!$B$28</s:f>
        <s:v>304771.9807333333</s:v>
      </s:c>
      <s:c r="F10" s="16">
        <s:f>(F9*('Key Assumptions'!$B$21*IF(5&gt;='Key Assumptions'!$B$22,1+'Key Assumptions'!$B$23,1)*'Key Assumptions'!$D$9)+F9*'Key Assumptions'!$B$30+'Key Assumptions'!$B$29)*(1-'Key Assumptions'!$B$27)+(ROUND('Key Assumptions'!$B$17*'Key Assumptions'!$B$9,0)*'Key Assumptions'!$B$24+F9*'Key Assumptions'!$B$26*'Key Assumptions'!$B$25)-((F9*('Key Assumptions'!$B$21*IF(5&gt;='Key Assumptions'!$B$22,1+'Key Assumptions'!$B$23,1)*'Key Assumptions'!$D$9)+F9*'Key Assumptions'!$B$30+'Key Assumptions'!$B$29)+(ROUND('Key Assumptions'!$B$17*'Key Assumptions'!$B$9,0)*'Key Assumptions'!$B$24+F9*'Key Assumptions'!$B$26*'Key Assumptions'!$B$25))*'Key Assumptions'!$B$28</s:f>
        <s:v>303475.57033333334</s:v>
      </s:c>
      <s:c r="G10" s="16">
        <s:f>(G9*('Key Assumptions'!$B$21*IF(6&gt;='Key Assumptions'!$B$22,1+'Key Assumptions'!$B$23,1)*'Key Assumptions'!$D$9)+G9*'Key Assumptions'!$B$30+'Key Assumptions'!$B$29)*(1-'Key Assumptions'!$B$27)+(ROUND('Key Assumptions'!$B$17*'Key Assumptions'!$B$9,0)*'Key Assumptions'!$B$24+G9*'Key Assumptions'!$B$26*'Key Assumptions'!$B$25)-((G9*('Key Assumptions'!$B$21*IF(6&gt;='Key Assumptions'!$B$22,1+'Key Assumptions'!$B$23,1)*'Key Assumptions'!$D$9)+G9*'Key Assumptions'!$B$30+'Key Assumptions'!$B$29)+(ROUND('Key Assumptions'!$B$17*'Key Assumptions'!$B$9,0)*'Key Assumptions'!$B$24+G9*'Key Assumptions'!$B$26*'Key Assumptions'!$B$25))*'Key Assumptions'!$B$28</s:f>
        <s:v>302215.17133333324</s:v>
      </s:c>
      <s:c r="H10" s="16">
        <s:f>(H9*('Key Assumptions'!$B$21*IF(7&gt;='Key Assumptions'!$B$22,1+'Key Assumptions'!$B$23,1)*'Key Assumptions'!$D$9)+H9*'Key Assumptions'!$B$30+'Key Assumptions'!$B$29)*(1-'Key Assumptions'!$B$27)+(ROUND('Key Assumptions'!$B$17*'Key Assumptions'!$B$9,0)*'Key Assumptions'!$B$24+H9*'Key Assumptions'!$B$26*'Key Assumptions'!$B$25)-((H9*('Key Assumptions'!$B$21*IF(7&gt;='Key Assumptions'!$B$22,1+'Key Assumptions'!$B$23,1)*'Key Assumptions'!$D$9)+H9*'Key Assumptions'!$B$30+'Key Assumptions'!$B$29)+(ROUND('Key Assumptions'!$B$17*'Key Assumptions'!$B$9,0)*'Key Assumptions'!$B$24+H9*'Key Assumptions'!$B$26*'Key Assumptions'!$B$25))*'Key Assumptions'!$B$28</s:f>
        <s:v>309200.80427233333</s:v>
      </s:c>
      <s:c r="I10" s="16">
        <s:f>(I9*('Key Assumptions'!$B$21*IF(8&gt;='Key Assumptions'!$B$22,1+'Key Assumptions'!$B$23,1)*'Key Assumptions'!$D$9)+I9*'Key Assumptions'!$B$30+'Key Assumptions'!$B$29)*(1-'Key Assumptions'!$B$27)+(ROUND('Key Assumptions'!$B$17*'Key Assumptions'!$B$9,0)*'Key Assumptions'!$B$24+I9*'Key Assumptions'!$B$26*'Key Assumptions'!$B$25)-((I9*('Key Assumptions'!$B$21*IF(8&gt;='Key Assumptions'!$B$22,1+'Key Assumptions'!$B$23,1)*'Key Assumptions'!$D$9)+I9*'Key Assumptions'!$B$30+'Key Assumptions'!$B$29)+(ROUND('Key Assumptions'!$B$17*'Key Assumptions'!$B$9,0)*'Key Assumptions'!$B$24+I9*'Key Assumptions'!$B$26*'Key Assumptions'!$B$25))*'Key Assumptions'!$B$28</s:f>
        <s:v>307940.9071063333</s:v>
      </s:c>
      <s:c r="J10" s="16">
        <s:f>(J9*('Key Assumptions'!$B$21*IF(9&gt;='Key Assumptions'!$B$22,1+'Key Assumptions'!$B$23,1)*'Key Assumptions'!$D$9)+J9*'Key Assumptions'!$B$30+'Key Assumptions'!$B$29)*(1-'Key Assumptions'!$B$27)+(ROUND('Key Assumptions'!$B$17*'Key Assumptions'!$B$9,0)*'Key Assumptions'!$B$24+J9*'Key Assumptions'!$B$26*'Key Assumptions'!$B$25)-((J9*('Key Assumptions'!$B$21*IF(9&gt;='Key Assumptions'!$B$22,1+'Key Assumptions'!$B$23,1)*'Key Assumptions'!$D$9)+J9*'Key Assumptions'!$B$30+'Key Assumptions'!$B$29)+(ROUND('Key Assumptions'!$B$17*'Key Assumptions'!$B$9,0)*'Key Assumptions'!$B$24+J9*'Key Assumptions'!$B$26*'Key Assumptions'!$B$25))*'Key Assumptions'!$B$28</s:f>
        <s:v>306718.0657393332</s:v>
      </s:c>
      <s:c r="K10" s="16">
        <s:f>(K9*('Key Assumptions'!$B$21*IF(10&gt;='Key Assumptions'!$B$22,1+'Key Assumptions'!$B$23,1)*'Key Assumptions'!$D$9)+K9*'Key Assumptions'!$B$30+'Key Assumptions'!$B$29)*(1-'Key Assumptions'!$B$27)+(ROUND('Key Assumptions'!$B$17*'Key Assumptions'!$B$9,0)*'Key Assumptions'!$B$24+K9*'Key Assumptions'!$B$26*'Key Assumptions'!$B$25)-((K9*('Key Assumptions'!$B$21*IF(10&gt;='Key Assumptions'!$B$22,1+'Key Assumptions'!$B$23,1)*'Key Assumptions'!$D$9)+K9*'Key Assumptions'!$B$30+'Key Assumptions'!$B$29)+(ROUND('Key Assumptions'!$B$17*'Key Assumptions'!$B$9,0)*'Key Assumptions'!$B$24+K9*'Key Assumptions'!$B$26*'Key Assumptions'!$B$25))*'Key Assumptions'!$B$28</s:f>
        <s:v>305532.28017133335</s:v>
      </s:c>
      <s:c r="L10" s="16">
        <s:f>(L9*('Key Assumptions'!$B$21*IF(11&gt;='Key Assumptions'!$B$22,1+'Key Assumptions'!$B$23,1)*'Key Assumptions'!$D$9)+L9*'Key Assumptions'!$B$30+'Key Assumptions'!$B$29)*(1-'Key Assumptions'!$B$27)+(ROUND('Key Assumptions'!$B$17*'Key Assumptions'!$B$9,0)*'Key Assumptions'!$B$24+L9*'Key Assumptions'!$B$26*'Key Assumptions'!$B$25)-((L9*('Key Assumptions'!$B$21*IF(11&gt;='Key Assumptions'!$B$22,1+'Key Assumptions'!$B$23,1)*'Key Assumptions'!$D$9)+L9*'Key Assumptions'!$B$30+'Key Assumptions'!$B$29)+(ROUND('Key Assumptions'!$B$17*'Key Assumptions'!$B$9,0)*'Key Assumptions'!$B$24+L9*'Key Assumptions'!$B$26*'Key Assumptions'!$B$25))*'Key Assumptions'!$B$28</s:f>
        <s:v>304346.4946033333</s:v>
      </s:c>
      <s:c r="M10" s="16">
        <s:f>(M9*('Key Assumptions'!$B$21*IF(12&gt;='Key Assumptions'!$B$22,1+'Key Assumptions'!$B$23,1)*'Key Assumptions'!$D$9)+M9*'Key Assumptions'!$B$30+'Key Assumptions'!$B$29)*(1-'Key Assumptions'!$B$27)+(ROUND('Key Assumptions'!$B$17*'Key Assumptions'!$B$9,0)*'Key Assumptions'!$B$24+M9*'Key Assumptions'!$B$26*'Key Assumptions'!$B$25)-((M9*('Key Assumptions'!$B$21*IF(12&gt;='Key Assumptions'!$B$22,1+'Key Assumptions'!$B$23,1)*'Key Assumptions'!$D$9)+M9*'Key Assumptions'!$B$30+'Key Assumptions'!$B$29)+(ROUND('Key Assumptions'!$B$17*'Key Assumptions'!$B$9,0)*'Key Assumptions'!$B$24+M9*'Key Assumptions'!$B$26*'Key Assumptions'!$B$25))*'Key Assumptions'!$B$28</s:f>
        <s:v>303197.7648343333</s:v>
      </s:c>
      <s:c r="N10" s="71">
        <s:f>SUM(B10:M10)</s:f>
        <s:v>3669637.4893269995</s:v>
      </s:c>
    </s:row>
    <s:row r="11">
      <s:c r="A11" s="15" t="inlineStr">
        <s:is>
          <s:t>Business beginning cust</s:t>
        </s:is>
      </s:c>
      <s:c r="B11" s="67">
        <s:f>'Key Assumptions'!$B$35</s:f>
        <s:v>249</s:v>
      </s:c>
      <s:c r="C11" s="68">
        <s:f>B12</s:f>
        <s:v>250</s:v>
      </s:c>
      <s:c r="D11" s="68">
        <s:f>C12</s:f>
        <s:v>251</s:v>
      </s:c>
      <s:c r="E11" s="68">
        <s:f>D12</s:f>
        <s:v>252</s:v>
      </s:c>
      <s:c r="F11" s="68">
        <s:f>E12</s:f>
        <s:v>253</s:v>
      </s:c>
      <s:c r="G11" s="68">
        <s:f>F12</s:f>
        <s:v>254</s:v>
      </s:c>
      <s:c r="H11" s="68">
        <s:f>G12</s:f>
        <s:v>255</s:v>
      </s:c>
      <s:c r="I11" s="68">
        <s:f>H12</s:f>
        <s:v>256</s:v>
      </s:c>
      <s:c r="J11" s="68">
        <s:f>I12</s:f>
        <s:v>257</s:v>
      </s:c>
      <s:c r="K11" s="68">
        <s:f>J12</s:f>
        <s:v>258</s:v>
      </s:c>
      <s:c r="L11" s="68">
        <s:f>K12</s:f>
        <s:v>259</s:v>
      </s:c>
      <s:c r="M11" s="68">
        <s:f>L12</s:f>
        <s:v>260</s:v>
      </s:c>
    </s:row>
    <s:row r="12">
      <s:c r="A12" s="15" t="inlineStr">
        <s:is>
          <s:t>Business ending cust</s:t>
        </s:is>
      </s:c>
      <s:c r="B12" s="68">
        <s:f>MAX(0,B11+ROUND(('Key Assumptions'!$B$36+'Key Assumptions'!$B$37)*'Key Assumptions'!$E$9,0)+'Key Assumptions'!$B$40-ROUND(B11*'Key Assumptions'!$B$38*'Key Assumptions'!$F$9,0)-'Key Assumptions'!$B$39)</s:f>
        <s:v>250</s:v>
      </s:c>
      <s:c r="C12" s="68">
        <s:f>MAX(0,C11+ROUND(('Key Assumptions'!$B$36+'Key Assumptions'!$B$37)*'Key Assumptions'!$E$9,0)+'Key Assumptions'!$B$40-ROUND(C11*'Key Assumptions'!$B$38*'Key Assumptions'!$F$9,0)-'Key Assumptions'!$B$39)</s:f>
        <s:v>251</s:v>
      </s:c>
      <s:c r="D12" s="68">
        <s:f>MAX(0,D11+ROUND(('Key Assumptions'!$B$36+'Key Assumptions'!$B$37)*'Key Assumptions'!$E$9,0)+'Key Assumptions'!$B$40-ROUND(D11*'Key Assumptions'!$B$38*'Key Assumptions'!$F$9,0)-'Key Assumptions'!$B$39)</s:f>
        <s:v>252</s:v>
      </s:c>
      <s:c r="E12" s="68">
        <s:f>MAX(0,E11+ROUND(('Key Assumptions'!$B$36+'Key Assumptions'!$B$37)*'Key Assumptions'!$E$9,0)+'Key Assumptions'!$B$40-ROUND(E11*'Key Assumptions'!$B$38*'Key Assumptions'!$F$9,0)-'Key Assumptions'!$B$39)</s:f>
        <s:v>253</s:v>
      </s:c>
      <s:c r="F12" s="68">
        <s:f>MAX(0,F11+ROUND(('Key Assumptions'!$B$36+'Key Assumptions'!$B$37)*'Key Assumptions'!$E$9,0)+'Key Assumptions'!$B$40-ROUND(F11*'Key Assumptions'!$B$38*'Key Assumptions'!$F$9,0)-'Key Assumptions'!$B$39)</s:f>
        <s:v>254</s:v>
      </s:c>
      <s:c r="G12" s="68">
        <s:f>MAX(0,G11+ROUND(('Key Assumptions'!$B$36+'Key Assumptions'!$B$37)*'Key Assumptions'!$E$9,0)+'Key Assumptions'!$B$40-ROUND(G11*'Key Assumptions'!$B$38*'Key Assumptions'!$F$9,0)-'Key Assumptions'!$B$39)</s:f>
        <s:v>255</s:v>
      </s:c>
      <s:c r="H12" s="68">
        <s:f>MAX(0,H11+ROUND(('Key Assumptions'!$B$36+'Key Assumptions'!$B$37)*'Key Assumptions'!$E$9,0)+'Key Assumptions'!$B$40-ROUND(H11*'Key Assumptions'!$B$38*'Key Assumptions'!$F$9,0)-'Key Assumptions'!$B$39)</s:f>
        <s:v>256</s:v>
      </s:c>
      <s:c r="I12" s="68">
        <s:f>MAX(0,I11+ROUND(('Key Assumptions'!$B$36+'Key Assumptions'!$B$37)*'Key Assumptions'!$E$9,0)+'Key Assumptions'!$B$40-ROUND(I11*'Key Assumptions'!$B$38*'Key Assumptions'!$F$9,0)-'Key Assumptions'!$B$39)</s:f>
        <s:v>257</s:v>
      </s:c>
      <s:c r="J12" s="68">
        <s:f>MAX(0,J11+ROUND(('Key Assumptions'!$B$36+'Key Assumptions'!$B$37)*'Key Assumptions'!$E$9,0)+'Key Assumptions'!$B$40-ROUND(J11*'Key Assumptions'!$B$38*'Key Assumptions'!$F$9,0)-'Key Assumptions'!$B$39)</s:f>
        <s:v>258</s:v>
      </s:c>
      <s:c r="K12" s="68">
        <s:f>MAX(0,K11+ROUND(('Key Assumptions'!$B$36+'Key Assumptions'!$B$37)*'Key Assumptions'!$E$9,0)+'Key Assumptions'!$B$40-ROUND(K11*'Key Assumptions'!$B$38*'Key Assumptions'!$F$9,0)-'Key Assumptions'!$B$39)</s:f>
        <s:v>259</s:v>
      </s:c>
      <s:c r="L12" s="68">
        <s:f>MAX(0,L11+ROUND(('Key Assumptions'!$B$36+'Key Assumptions'!$B$37)*'Key Assumptions'!$E$9,0)+'Key Assumptions'!$B$40-ROUND(L11*'Key Assumptions'!$B$38*'Key Assumptions'!$F$9,0)-'Key Assumptions'!$B$39)</s:f>
        <s:v>260</s:v>
      </s:c>
      <s:c r="M12" s="68">
        <s:f>MAX(0,M11+ROUND(('Key Assumptions'!$B$36+'Key Assumptions'!$B$37)*'Key Assumptions'!$E$9,0)+'Key Assumptions'!$B$40-ROUND(M11*'Key Assumptions'!$B$38*'Key Assumptions'!$F$9,0)-'Key Assumptions'!$B$39)</s:f>
        <s:v>261</s:v>
      </s:c>
    </s:row>
    <s:row r="13">
      <s:c r="A13" s="15" t="inlineStr">
        <s:is>
          <s:t>Business avg cust</s:t>
        </s:is>
      </s:c>
      <s:c r="B13" s="68">
        <s:f>(B11+B12)/2</s:f>
        <s:v>249.5</s:v>
      </s:c>
      <s:c r="C13" s="68">
        <s:f>(C11+C12)/2</s:f>
        <s:v>250.5</s:v>
      </s:c>
      <s:c r="D13" s="68">
        <s:f>(D11+D12)/2</s:f>
        <s:v>251.5</s:v>
      </s:c>
      <s:c r="E13" s="68">
        <s:f>(E11+E12)/2</s:f>
        <s:v>252.5</s:v>
      </s:c>
      <s:c r="F13" s="68">
        <s:f>(F11+F12)/2</s:f>
        <s:v>253.5</s:v>
      </s:c>
      <s:c r="G13" s="68">
        <s:f>(G11+G12)/2</s:f>
        <s:v>254.5</s:v>
      </s:c>
      <s:c r="H13" s="68">
        <s:f>(H11+H12)/2</s:f>
        <s:v>255.5</s:v>
      </s:c>
      <s:c r="I13" s="68">
        <s:f>(I11+I12)/2</s:f>
        <s:v>256.5</s:v>
      </s:c>
      <s:c r="J13" s="68">
        <s:f>(J11+J12)/2</s:f>
        <s:v>257.5</s:v>
      </s:c>
      <s:c r="K13" s="68">
        <s:f>(K11+K12)/2</s:f>
        <s:v>258.5</s:v>
      </s:c>
      <s:c r="L13" s="68">
        <s:f>(L11+L12)/2</s:f>
        <s:v>259.5</s:v>
      </s:c>
      <s:c r="M13" s="68">
        <s:f>(M11+M12)/2</s:f>
        <s:v>260.5</s:v>
      </s:c>
    </s:row>
    <s:row r="14">
      <s:c r="A14" s="15" t="inlineStr">
        <s:is>
          <s:t>Enterprise beginning</s:t>
        </s:is>
      </s:c>
      <s:c r="B14" s="67">
        <s:f>'Key Assumptions'!$B$57</s:f>
        <s:v>0</s:v>
      </s:c>
      <s:c r="C14" s="68">
        <s:f>B15</s:f>
        <s:v>1</s:v>
      </s:c>
      <s:c r="D14" s="68">
        <s:f>C15</s:f>
        <s:v>2</s:v>
      </s:c>
      <s:c r="E14" s="68">
        <s:f>D15</s:f>
        <s:v>3</s:v>
      </s:c>
      <s:c r="F14" s="68">
        <s:f>E15</s:f>
        <s:v>4</s:v>
      </s:c>
      <s:c r="G14" s="68">
        <s:f>F15</s:f>
        <s:v>5</s:v>
      </s:c>
      <s:c r="H14" s="68">
        <s:f>G15</s:f>
        <s:v>6</s:v>
      </s:c>
      <s:c r="I14" s="68">
        <s:f>H15</s:f>
        <s:v>7</s:v>
      </s:c>
      <s:c r="J14" s="68">
        <s:f>I15</s:f>
        <s:v>8</s:v>
      </s:c>
      <s:c r="K14" s="68">
        <s:f>J15</s:f>
        <s:v>9</s:v>
      </s:c>
      <s:c r="L14" s="68">
        <s:f>K15</s:f>
        <s:v>10</s:v>
      </s:c>
      <s:c r="M14" s="68">
        <s:f>L15</s:f>
        <s:v>11</s:v>
      </s:c>
    </s:row>
    <s:row r="15">
      <s:c r="A15" s="15" t="inlineStr">
        <s:is>
          <s:t>Enterprise ending</s:t>
        </s:is>
      </s:c>
      <s:c r="B15" s="68">
        <s:f>MAX(0,B14+ROUND('Key Assumptions'!$B$37*'Key Assumptions'!$E$9,0)-ROUND(B14*'Key Assumptions'!$B$38*'Key Assumptions'!$F$9,0))</s:f>
        <s:v>1</s:v>
      </s:c>
      <s:c r="C15" s="68">
        <s:f>MAX(0,C14+ROUND('Key Assumptions'!$B$37*'Key Assumptions'!$E$9,0)-ROUND(C14*'Key Assumptions'!$B$38*'Key Assumptions'!$F$9,0))</s:f>
        <s:v>2</s:v>
      </s:c>
      <s:c r="D15" s="68">
        <s:f>MAX(0,D14+ROUND('Key Assumptions'!$B$37*'Key Assumptions'!$E$9,0)-ROUND(D14*'Key Assumptions'!$B$38*'Key Assumptions'!$F$9,0))</s:f>
        <s:v>3</s:v>
      </s:c>
      <s:c r="E15" s="68">
        <s:f>MAX(0,E14+ROUND('Key Assumptions'!$B$37*'Key Assumptions'!$E$9,0)-ROUND(E14*'Key Assumptions'!$B$38*'Key Assumptions'!$F$9,0))</s:f>
        <s:v>4</s:v>
      </s:c>
      <s:c r="F15" s="68">
        <s:f>MAX(0,F14+ROUND('Key Assumptions'!$B$37*'Key Assumptions'!$E$9,0)-ROUND(F14*'Key Assumptions'!$B$38*'Key Assumptions'!$F$9,0))</s:f>
        <s:v>5</s:v>
      </s:c>
      <s:c r="G15" s="68">
        <s:f>MAX(0,G14+ROUND('Key Assumptions'!$B$37*'Key Assumptions'!$E$9,0)-ROUND(G14*'Key Assumptions'!$B$38*'Key Assumptions'!$F$9,0))</s:f>
        <s:v>6</s:v>
      </s:c>
      <s:c r="H15" s="68">
        <s:f>MAX(0,H14+ROUND('Key Assumptions'!$B$37*'Key Assumptions'!$E$9,0)-ROUND(H14*'Key Assumptions'!$B$38*'Key Assumptions'!$F$9,0))</s:f>
        <s:v>7</s:v>
      </s:c>
      <s:c r="I15" s="68">
        <s:f>MAX(0,I14+ROUND('Key Assumptions'!$B$37*'Key Assumptions'!$E$9,0)-ROUND(I14*'Key Assumptions'!$B$38*'Key Assumptions'!$F$9,0))</s:f>
        <s:v>8</s:v>
      </s:c>
      <s:c r="J15" s="68">
        <s:f>MAX(0,J14+ROUND('Key Assumptions'!$B$37*'Key Assumptions'!$E$9,0)-ROUND(J14*'Key Assumptions'!$B$38*'Key Assumptions'!$F$9,0))</s:f>
        <s:v>9</s:v>
      </s:c>
      <s:c r="K15" s="68">
        <s:f>MAX(0,K14+ROUND('Key Assumptions'!$B$37*'Key Assumptions'!$E$9,0)-ROUND(K14*'Key Assumptions'!$B$38*'Key Assumptions'!$F$9,0))</s:f>
        <s:v>10</s:v>
      </s:c>
      <s:c r="L15" s="68">
        <s:f>MAX(0,L14+ROUND('Key Assumptions'!$B$37*'Key Assumptions'!$E$9,0)-ROUND(L14*'Key Assumptions'!$B$38*'Key Assumptions'!$F$9,0))</s:f>
        <s:v>11</s:v>
      </s:c>
      <s:c r="M15" s="68">
        <s:f>MAX(0,M14+ROUND('Key Assumptions'!$B$37*'Key Assumptions'!$E$9,0)-ROUND(M14*'Key Assumptions'!$B$38*'Key Assumptions'!$F$9,0))</s:f>
        <s:v>12</s:v>
      </s:c>
    </s:row>
    <s:row r="16">
      <s:c r="A16" s="15" t="inlineStr">
        <s:is>
          <s:t>Enterprise avg</s:t>
        </s:is>
      </s:c>
      <s:c r="B16" s="68">
        <s:f>(B14+B15)/2</s:f>
        <s:v>0.5</s:v>
      </s:c>
      <s:c r="C16" s="68">
        <s:f>(C14+C15)/2</s:f>
        <s:v>1.5</s:v>
      </s:c>
      <s:c r="D16" s="68">
        <s:f>(D14+D15)/2</s:f>
        <s:v>2.5</s:v>
      </s:c>
      <s:c r="E16" s="68">
        <s:f>(E14+E15)/2</s:f>
        <s:v>3.5</s:v>
      </s:c>
      <s:c r="F16" s="68">
        <s:f>(F14+F15)/2</s:f>
        <s:v>4.5</s:v>
      </s:c>
      <s:c r="G16" s="68">
        <s:f>(G14+G15)/2</s:f>
        <s:v>5.5</s:v>
      </s:c>
      <s:c r="H16" s="68">
        <s:f>(H14+H15)/2</s:f>
        <s:v>6.5</s:v>
      </s:c>
      <s:c r="I16" s="68">
        <s:f>(I14+I15)/2</s:f>
        <s:v>7.5</s:v>
      </s:c>
      <s:c r="J16" s="68">
        <s:f>(J14+J15)/2</s:f>
        <s:v>8.5</s:v>
      </s:c>
      <s:c r="K16" s="68">
        <s:f>(K14+K15)/2</s:f>
        <s:v>9.5</s:v>
      </s:c>
      <s:c r="L16" s="68">
        <s:f>(L14+L15)/2</s:f>
        <s:v>10.5</s:v>
      </s:c>
      <s:c r="M16" s="68">
        <s:f>(M14+M15)/2</s:f>
        <s:v>11.5</s:v>
      </s:c>
    </s:row>
    <s:row r="17">
      <s:c r="A17" s="3" t="inlineStr">
        <s:is>
          <s:t>Business net revenue</s:t>
        </s:is>
      </s:c>
      <s:c r="B17" s="16">
        <s:f>(B13*('Key Assumptions'!$B$41*IF(1&gt;='Key Assumptions'!$B$42,1+'Key Assumptions'!$B$43,1)*'Key Assumptions'!$G$9)+B13*('Key Assumptions'!$B$45+'Key Assumptions'!$B$46+'Key Assumptions'!$B$47+'Key Assumptions'!$B$49)+B16*'Key Assumptions'!$B$48)*(1-'Key Assumptions'!$B$54)+(ROUND(('Key Assumptions'!$B$36+'Key Assumptions'!$B$37)*'Key Assumptions'!$E$9,0)*('Key Assumptions'!$B$44+'Key Assumptions'!$B$50+'Key Assumptions'!$B$51)+'Key Assumptions'!$B$52+'Key Assumptions'!$B$53)-((B13*('Key Assumptions'!$B$41*IF(1&gt;='Key Assumptions'!$B$42,1+'Key Assumptions'!$B$43,1)*'Key Assumptions'!$G$9)+B13*('Key Assumptions'!$B$45+'Key Assumptions'!$B$46+'Key Assumptions'!$B$47+'Key Assumptions'!$B$49)+B16*'Key Assumptions'!$B$48)+(ROUND(('Key Assumptions'!$B$36+'Key Assumptions'!$B$37)*'Key Assumptions'!$E$9,0)*('Key Assumptions'!$B$44+'Key Assumptions'!$B$50+'Key Assumptions'!$B$51)+'Key Assumptions'!$B$52+'Key Assumptions'!$B$53))*'Key Assumptions'!$B$55</s:f>
        <s:v>42859.51012500001</s:v>
      </s:c>
      <s:c r="C17" s="16">
        <s:f>(C13*('Key Assumptions'!$B$41*IF(2&gt;='Key Assumptions'!$B$42,1+'Key Assumptions'!$B$43,1)*'Key Assumptions'!$G$9)+C13*('Key Assumptions'!$B$45+'Key Assumptions'!$B$46+'Key Assumptions'!$B$47+'Key Assumptions'!$B$49)+C16*'Key Assumptions'!$B$48)*(1-'Key Assumptions'!$B$54)+(ROUND(('Key Assumptions'!$B$36+'Key Assumptions'!$B$37)*'Key Assumptions'!$E$9,0)*('Key Assumptions'!$B$44+'Key Assumptions'!$B$50+'Key Assumptions'!$B$51)+'Key Assumptions'!$B$52+'Key Assumptions'!$B$53)-((C13*('Key Assumptions'!$B$41*IF(2&gt;='Key Assumptions'!$B$42,1+'Key Assumptions'!$B$43,1)*'Key Assumptions'!$G$9)+C13*('Key Assumptions'!$B$45+'Key Assumptions'!$B$46+'Key Assumptions'!$B$47+'Key Assumptions'!$B$49)+C16*'Key Assumptions'!$B$48)+(ROUND(('Key Assumptions'!$B$36+'Key Assumptions'!$B$37)*'Key Assumptions'!$E$9,0)*('Key Assumptions'!$B$44+'Key Assumptions'!$B$50+'Key Assumptions'!$B$51)+'Key Assumptions'!$B$52+'Key Assumptions'!$B$53))*'Key Assumptions'!$B$55</s:f>
        <s:v>43009.864875</s:v>
      </s:c>
      <s:c r="D17" s="16">
        <s:f>(D13*('Key Assumptions'!$B$41*IF(3&gt;='Key Assumptions'!$B$42,1+'Key Assumptions'!$B$43,1)*'Key Assumptions'!$G$9)+D13*('Key Assumptions'!$B$45+'Key Assumptions'!$B$46+'Key Assumptions'!$B$47+'Key Assumptions'!$B$49)+D16*'Key Assumptions'!$B$48)*(1-'Key Assumptions'!$B$54)+(ROUND(('Key Assumptions'!$B$36+'Key Assumptions'!$B$37)*'Key Assumptions'!$E$9,0)*('Key Assumptions'!$B$44+'Key Assumptions'!$B$50+'Key Assumptions'!$B$51)+'Key Assumptions'!$B$52+'Key Assumptions'!$B$53)-((D13*('Key Assumptions'!$B$41*IF(3&gt;='Key Assumptions'!$B$42,1+'Key Assumptions'!$B$43,1)*'Key Assumptions'!$G$9)+D13*('Key Assumptions'!$B$45+'Key Assumptions'!$B$46+'Key Assumptions'!$B$47+'Key Assumptions'!$B$49)+D16*'Key Assumptions'!$B$48)+(ROUND(('Key Assumptions'!$B$36+'Key Assumptions'!$B$37)*'Key Assumptions'!$E$9,0)*('Key Assumptions'!$B$44+'Key Assumptions'!$B$50+'Key Assumptions'!$B$51)+'Key Assumptions'!$B$52+'Key Assumptions'!$B$53))*'Key Assumptions'!$B$55</s:f>
        <s:v>43160.21962499999</s:v>
      </s:c>
      <s:c r="E17" s="16">
        <s:f>(E13*('Key Assumptions'!$B$41*IF(4&gt;='Key Assumptions'!$B$42,1+'Key Assumptions'!$B$43,1)*'Key Assumptions'!$G$9)+E13*('Key Assumptions'!$B$45+'Key Assumptions'!$B$46+'Key Assumptions'!$B$47+'Key Assumptions'!$B$49)+E16*'Key Assumptions'!$B$48)*(1-'Key Assumptions'!$B$54)+(ROUND(('Key Assumptions'!$B$36+'Key Assumptions'!$B$37)*'Key Assumptions'!$E$9,0)*('Key Assumptions'!$B$44+'Key Assumptions'!$B$50+'Key Assumptions'!$B$51)+'Key Assumptions'!$B$52+'Key Assumptions'!$B$53)-((E13*('Key Assumptions'!$B$41*IF(4&gt;='Key Assumptions'!$B$42,1+'Key Assumptions'!$B$43,1)*'Key Assumptions'!$G$9)+E13*('Key Assumptions'!$B$45+'Key Assumptions'!$B$46+'Key Assumptions'!$B$47+'Key Assumptions'!$B$49)+E16*'Key Assumptions'!$B$48)+(ROUND(('Key Assumptions'!$B$36+'Key Assumptions'!$B$37)*'Key Assumptions'!$E$9,0)*('Key Assumptions'!$B$44+'Key Assumptions'!$B$50+'Key Assumptions'!$B$51)+'Key Assumptions'!$B$52+'Key Assumptions'!$B$53))*'Key Assumptions'!$B$55</s:f>
        <s:v>43310.57437499999</s:v>
      </s:c>
      <s:c r="F17" s="16">
        <s:f>(F13*('Key Assumptions'!$B$41*IF(5&gt;='Key Assumptions'!$B$42,1+'Key Assumptions'!$B$43,1)*'Key Assumptions'!$G$9)+F13*('Key Assumptions'!$B$45+'Key Assumptions'!$B$46+'Key Assumptions'!$B$47+'Key Assumptions'!$B$49)+F16*'Key Assumptions'!$B$48)*(1-'Key Assumptions'!$B$54)+(ROUND(('Key Assumptions'!$B$36+'Key Assumptions'!$B$37)*'Key Assumptions'!$E$9,0)*('Key Assumptions'!$B$44+'Key Assumptions'!$B$50+'Key Assumptions'!$B$51)+'Key Assumptions'!$B$52+'Key Assumptions'!$B$53)-((F13*('Key Assumptions'!$B$41*IF(5&gt;='Key Assumptions'!$B$42,1+'Key Assumptions'!$B$43,1)*'Key Assumptions'!$G$9)+F13*('Key Assumptions'!$B$45+'Key Assumptions'!$B$46+'Key Assumptions'!$B$47+'Key Assumptions'!$B$49)+F16*'Key Assumptions'!$B$48)+(ROUND(('Key Assumptions'!$B$36+'Key Assumptions'!$B$37)*'Key Assumptions'!$E$9,0)*('Key Assumptions'!$B$44+'Key Assumptions'!$B$50+'Key Assumptions'!$B$51)+'Key Assumptions'!$B$52+'Key Assumptions'!$B$53))*'Key Assumptions'!$B$55</s:f>
        <s:v>43460.929125</s:v>
      </s:c>
      <s:c r="G17" s="16">
        <s:f>(G13*('Key Assumptions'!$B$41*IF(6&gt;='Key Assumptions'!$B$42,1+'Key Assumptions'!$B$43,1)*'Key Assumptions'!$G$9)+G13*('Key Assumptions'!$B$45+'Key Assumptions'!$B$46+'Key Assumptions'!$B$47+'Key Assumptions'!$B$49)+G16*'Key Assumptions'!$B$48)*(1-'Key Assumptions'!$B$54)+(ROUND(('Key Assumptions'!$B$36+'Key Assumptions'!$B$37)*'Key Assumptions'!$E$9,0)*('Key Assumptions'!$B$44+'Key Assumptions'!$B$50+'Key Assumptions'!$B$51)+'Key Assumptions'!$B$52+'Key Assumptions'!$B$53)-((G13*('Key Assumptions'!$B$41*IF(6&gt;='Key Assumptions'!$B$42,1+'Key Assumptions'!$B$43,1)*'Key Assumptions'!$G$9)+G13*('Key Assumptions'!$B$45+'Key Assumptions'!$B$46+'Key Assumptions'!$B$47+'Key Assumptions'!$B$49)+G16*'Key Assumptions'!$B$48)+(ROUND(('Key Assumptions'!$B$36+'Key Assumptions'!$B$37)*'Key Assumptions'!$E$9,0)*('Key Assumptions'!$B$44+'Key Assumptions'!$B$50+'Key Assumptions'!$B$51)+'Key Assumptions'!$B$52+'Key Assumptions'!$B$53))*'Key Assumptions'!$B$55</s:f>
        <s:v>43611.283875</s:v>
      </s:c>
      <s:c r="H17" s="16">
        <s:f>(H13*('Key Assumptions'!$B$41*IF(7&gt;='Key Assumptions'!$B$42,1+'Key Assumptions'!$B$43,1)*'Key Assumptions'!$G$9)+H13*('Key Assumptions'!$B$45+'Key Assumptions'!$B$46+'Key Assumptions'!$B$47+'Key Assumptions'!$B$49)+H16*'Key Assumptions'!$B$48)*(1-'Key Assumptions'!$B$54)+(ROUND(('Key Assumptions'!$B$36+'Key Assumptions'!$B$37)*'Key Assumptions'!$E$9,0)*('Key Assumptions'!$B$44+'Key Assumptions'!$B$50+'Key Assumptions'!$B$51)+'Key Assumptions'!$B$52+'Key Assumptions'!$B$53)-((H13*('Key Assumptions'!$B$41*IF(7&gt;='Key Assumptions'!$B$42,1+'Key Assumptions'!$B$43,1)*'Key Assumptions'!$G$9)+H13*('Key Assumptions'!$B$45+'Key Assumptions'!$B$46+'Key Assumptions'!$B$47+'Key Assumptions'!$B$49)+H16*'Key Assumptions'!$B$48)+(ROUND(('Key Assumptions'!$B$36+'Key Assumptions'!$B$37)*'Key Assumptions'!$E$9,0)*('Key Assumptions'!$B$44+'Key Assumptions'!$B$50+'Key Assumptions'!$B$51)+'Key Assumptions'!$B$52+'Key Assumptions'!$B$53))*'Key Assumptions'!$B$55</s:f>
        <s:v>44841.76551374999</s:v>
      </s:c>
      <s:c r="I17" s="16">
        <s:f>(I13*('Key Assumptions'!$B$41*IF(8&gt;='Key Assumptions'!$B$42,1+'Key Assumptions'!$B$43,1)*'Key Assumptions'!$G$9)+I13*('Key Assumptions'!$B$45+'Key Assumptions'!$B$46+'Key Assumptions'!$B$47+'Key Assumptions'!$B$49)+I16*'Key Assumptions'!$B$48)*(1-'Key Assumptions'!$B$54)+(ROUND(('Key Assumptions'!$B$36+'Key Assumptions'!$B$37)*'Key Assumptions'!$E$9,0)*('Key Assumptions'!$B$44+'Key Assumptions'!$B$50+'Key Assumptions'!$B$51)+'Key Assumptions'!$B$52+'Key Assumptions'!$B$53)-((I13*('Key Assumptions'!$B$41*IF(8&gt;='Key Assumptions'!$B$42,1+'Key Assumptions'!$B$43,1)*'Key Assumptions'!$G$9)+I13*('Key Assumptions'!$B$45+'Key Assumptions'!$B$46+'Key Assumptions'!$B$47+'Key Assumptions'!$B$49)+I16*'Key Assumptions'!$B$48)+(ROUND(('Key Assumptions'!$B$36+'Key Assumptions'!$B$37)*'Key Assumptions'!$E$9,0)*('Key Assumptions'!$B$44+'Key Assumptions'!$B$50+'Key Assumptions'!$B$51)+'Key Assumptions'!$B$52+'Key Assumptions'!$B$53))*'Key Assumptions'!$B$55</s:f>
        <s:v>44996.34776624999</s:v>
      </s:c>
      <s:c r="J17" s="16">
        <s:f>(J13*('Key Assumptions'!$B$41*IF(9&gt;='Key Assumptions'!$B$42,1+'Key Assumptions'!$B$43,1)*'Key Assumptions'!$G$9)+J13*('Key Assumptions'!$B$45+'Key Assumptions'!$B$46+'Key Assumptions'!$B$47+'Key Assumptions'!$B$49)+J16*'Key Assumptions'!$B$48)*(1-'Key Assumptions'!$B$54)+(ROUND(('Key Assumptions'!$B$36+'Key Assumptions'!$B$37)*'Key Assumptions'!$E$9,0)*('Key Assumptions'!$B$44+'Key Assumptions'!$B$50+'Key Assumptions'!$B$51)+'Key Assumptions'!$B$52+'Key Assumptions'!$B$53)-((J13*('Key Assumptions'!$B$41*IF(9&gt;='Key Assumptions'!$B$42,1+'Key Assumptions'!$B$43,1)*'Key Assumptions'!$G$9)+J13*('Key Assumptions'!$B$45+'Key Assumptions'!$B$46+'Key Assumptions'!$B$47+'Key Assumptions'!$B$49)+J16*'Key Assumptions'!$B$48)+(ROUND(('Key Assumptions'!$B$36+'Key Assumptions'!$B$37)*'Key Assumptions'!$E$9,0)*('Key Assumptions'!$B$44+'Key Assumptions'!$B$50+'Key Assumptions'!$B$51)+'Key Assumptions'!$B$52+'Key Assumptions'!$B$53))*'Key Assumptions'!$B$55</s:f>
        <s:v>45150.93001874999</s:v>
      </s:c>
      <s:c r="K17" s="16">
        <s:f>(K13*('Key Assumptions'!$B$41*IF(10&gt;='Key Assumptions'!$B$42,1+'Key Assumptions'!$B$43,1)*'Key Assumptions'!$G$9)+K13*('Key Assumptions'!$B$45+'Key Assumptions'!$B$46+'Key Assumptions'!$B$47+'Key Assumptions'!$B$49)+K16*'Key Assumptions'!$B$48)*(1-'Key Assumptions'!$B$54)+(ROUND(('Key Assumptions'!$B$36+'Key Assumptions'!$B$37)*'Key Assumptions'!$E$9,0)*('Key Assumptions'!$B$44+'Key Assumptions'!$B$50+'Key Assumptions'!$B$51)+'Key Assumptions'!$B$52+'Key Assumptions'!$B$53)-((K13*('Key Assumptions'!$B$41*IF(10&gt;='Key Assumptions'!$B$42,1+'Key Assumptions'!$B$43,1)*'Key Assumptions'!$G$9)+K13*('Key Assumptions'!$B$45+'Key Assumptions'!$B$46+'Key Assumptions'!$B$47+'Key Assumptions'!$B$49)+K16*'Key Assumptions'!$B$48)+(ROUND(('Key Assumptions'!$B$36+'Key Assumptions'!$B$37)*'Key Assumptions'!$E$9,0)*('Key Assumptions'!$B$44+'Key Assumptions'!$B$50+'Key Assumptions'!$B$51)+'Key Assumptions'!$B$52+'Key Assumptions'!$B$53))*'Key Assumptions'!$B$55</s:f>
        <s:v>45305.51227125</s:v>
      </s:c>
      <s:c r="L17" s="16">
        <s:f>(L13*('Key Assumptions'!$B$41*IF(11&gt;='Key Assumptions'!$B$42,1+'Key Assumptions'!$B$43,1)*'Key Assumptions'!$G$9)+L13*('Key Assumptions'!$B$45+'Key Assumptions'!$B$46+'Key Assumptions'!$B$47+'Key Assumptions'!$B$49)+L16*'Key Assumptions'!$B$48)*(1-'Key Assumptions'!$B$54)+(ROUND(('Key Assumptions'!$B$36+'Key Assumptions'!$B$37)*'Key Assumptions'!$E$9,0)*('Key Assumptions'!$B$44+'Key Assumptions'!$B$50+'Key Assumptions'!$B$51)+'Key Assumptions'!$B$52+'Key Assumptions'!$B$53)-((L13*('Key Assumptions'!$B$41*IF(11&gt;='Key Assumptions'!$B$42,1+'Key Assumptions'!$B$43,1)*'Key Assumptions'!$G$9)+L13*('Key Assumptions'!$B$45+'Key Assumptions'!$B$46+'Key Assumptions'!$B$47+'Key Assumptions'!$B$49)+L16*'Key Assumptions'!$B$48)+(ROUND(('Key Assumptions'!$B$36+'Key Assumptions'!$B$37)*'Key Assumptions'!$E$9,0)*('Key Assumptions'!$B$44+'Key Assumptions'!$B$50+'Key Assumptions'!$B$51)+'Key Assumptions'!$B$52+'Key Assumptions'!$B$53))*'Key Assumptions'!$B$55</s:f>
        <s:v>45460.09452375</s:v>
      </s:c>
      <s:c r="M17" s="16">
        <s:f>(M13*('Key Assumptions'!$B$41*IF(12&gt;='Key Assumptions'!$B$42,1+'Key Assumptions'!$B$43,1)*'Key Assumptions'!$G$9)+M13*('Key Assumptions'!$B$45+'Key Assumptions'!$B$46+'Key Assumptions'!$B$47+'Key Assumptions'!$B$49)+M16*'Key Assumptions'!$B$48)*(1-'Key Assumptions'!$B$54)+(ROUND(('Key Assumptions'!$B$36+'Key Assumptions'!$B$37)*'Key Assumptions'!$E$9,0)*('Key Assumptions'!$B$44+'Key Assumptions'!$B$50+'Key Assumptions'!$B$51)+'Key Assumptions'!$B$52+'Key Assumptions'!$B$53)-((M13*('Key Assumptions'!$B$41*IF(12&gt;='Key Assumptions'!$B$42,1+'Key Assumptions'!$B$43,1)*'Key Assumptions'!$G$9)+M13*('Key Assumptions'!$B$45+'Key Assumptions'!$B$46+'Key Assumptions'!$B$47+'Key Assumptions'!$B$49)+M16*'Key Assumptions'!$B$48)+(ROUND(('Key Assumptions'!$B$36+'Key Assumptions'!$B$37)*'Key Assumptions'!$E$9,0)*('Key Assumptions'!$B$44+'Key Assumptions'!$B$50+'Key Assumptions'!$B$51)+'Key Assumptions'!$B$52+'Key Assumptions'!$B$53))*'Key Assumptions'!$B$55</s:f>
        <s:v>45614.676776249995</s:v>
      </s:c>
      <s:c r="N17" s="71">
        <s:f>SUM(B17:M17)</s:f>
        <s:v>530781.70887</s:v>
      </s:c>
    </s:row>
    <s:row r="18">
      <s:c r="A18" s="3" t="inlineStr">
        <s:is>
          <s:t>Dark fiber net revenue</s:t>
        </s:is>
      </s:c>
      <s:c r="B18" s="92">
        <s:f>'Dark Fiber Forecast'!Q43*'Key Assumptions'!$H$9</s:f>
        <s:v>1435.5</s:v>
      </s:c>
      <s:c r="C18" s="92">
        <s:f>'Dark Fiber Forecast'!R43*'Key Assumptions'!$H$9</s:f>
        <s:v>1435.5</s:v>
      </s:c>
      <s:c r="D18" s="92">
        <s:f>'Dark Fiber Forecast'!S43*'Key Assumptions'!$H$9</s:f>
        <s:v>1435.5</s:v>
      </s:c>
      <s:c r="E18" s="92">
        <s:f>'Dark Fiber Forecast'!T43*'Key Assumptions'!$H$9</s:f>
        <s:v>1435.5</s:v>
      </s:c>
      <s:c r="F18" s="92">
        <s:f>'Dark Fiber Forecast'!U43*'Key Assumptions'!$H$9</s:f>
        <s:v>1435.5</s:v>
      </s:c>
      <s:c r="G18" s="92">
        <s:f>'Dark Fiber Forecast'!V43*'Key Assumptions'!$H$9</s:f>
        <s:v>1435.5</s:v>
      </s:c>
      <s:c r="H18" s="92">
        <s:f>'Dark Fiber Forecast'!W43*'Key Assumptions'!$H$9</s:f>
        <s:v>1435.5</s:v>
      </s:c>
      <s:c r="I18" s="92">
        <s:f>'Dark Fiber Forecast'!X43*'Key Assumptions'!$H$9</s:f>
        <s:v>1435.5</s:v>
      </s:c>
      <s:c r="J18" s="92">
        <s:f>'Dark Fiber Forecast'!Y43*'Key Assumptions'!$H$9</s:f>
        <s:v>1435.5</s:v>
      </s:c>
      <s:c r="K18" s="92">
        <s:f>'Dark Fiber Forecast'!Z43*'Key Assumptions'!$H$9</s:f>
        <s:v>1435.5</s:v>
      </s:c>
      <s:c r="L18" s="92">
        <s:f>'Dark Fiber Forecast'!AA43*'Key Assumptions'!$H$9</s:f>
        <s:v>1435.5</s:v>
      </s:c>
      <s:c r="M18" s="92">
        <s:f>'Dark Fiber Forecast'!AB43*'Key Assumptions'!$H$9</s:f>
        <s:v>1435.5</s:v>
      </s:c>
      <s:c r="N18" s="71">
        <s:f>SUM(B18:M18)</s:f>
        <s:v>17226</s:v>
      </s:c>
    </s:row>
    <s:row r="19">
      <s:c r="A19" s="3" t="inlineStr">
        <s:is>
          <s:t>TOTAL NET REVENUE</s:t>
        </s:is>
      </s:c>
      <s:c r="B19" s="95">
        <s:f>B10+B17+B18+IF(1&gt;='Key Assumptions'!$B$94,'Key Assumptions'!$B$93,0)</s:f>
        <s:v>410064.2562583334</s:v>
      </s:c>
      <s:c r="C19" s="95">
        <s:f>C10+C17+C18+IF(2&gt;='Key Assumptions'!$B$94,'Key Assumptions'!$B$93,0)</s:f>
        <s:v>408846.1778083333</s:v>
      </s:c>
      <s:c r="D19" s="95">
        <s:f>D10+D17+D18+IF(3&gt;='Key Assumptions'!$B$94,'Key Assumptions'!$B$93,0)</s:f>
        <s:v>407664.1107583333</s:v>
      </s:c>
      <s:c r="E19" s="95">
        <s:f>E10+E17+E18+IF(4&gt;='Key Assumptions'!$B$94,'Key Assumptions'!$B$93,0)</s:f>
        <s:v>406518.05510833324</s:v>
      </s:c>
      <s:c r="F19" s="95">
        <s:f>F10+F17+F18+IF(5&gt;='Key Assumptions'!$B$94,'Key Assumptions'!$B$93,0)</s:f>
        <s:v>405371.99945833336</s:v>
      </s:c>
      <s:c r="G19" s="95">
        <s:f>G10+G17+G18+IF(6&gt;='Key Assumptions'!$B$94,'Key Assumptions'!$B$93,0)</s:f>
        <s:v>404261.95520833327</s:v>
      </s:c>
      <s:c r="H19" s="95">
        <s:f>H10+H17+H18+IF(7&gt;='Key Assumptions'!$B$94,'Key Assumptions'!$B$93,0)</s:f>
        <s:v>412478.0697860833</s:v>
      </s:c>
      <s:c r="I19" s="95">
        <s:f>I10+I17+I18+IF(8&gt;='Key Assumptions'!$B$94,'Key Assumptions'!$B$93,0)</s:f>
        <s:v>411372.7548725833</s:v>
      </s:c>
      <s:c r="J19" s="95">
        <s:f>J10+J17+J18+IF(9&gt;='Key Assumptions'!$B$94,'Key Assumptions'!$B$93,0)</s:f>
        <s:v>410304.4957580832</s:v>
      </s:c>
      <s:c r="K19" s="95">
        <s:f>K10+K17+K18+IF(10&gt;='Key Assumptions'!$B$94,'Key Assumptions'!$B$93,0)</s:f>
        <s:v>409273.29244258336</s:v>
      </s:c>
      <s:c r="L19" s="95">
        <s:f>L10+L17+L18+IF(11&gt;='Key Assumptions'!$B$94,'Key Assumptions'!$B$93,0)</s:f>
        <s:v>408242.0891270833</s:v>
      </s:c>
      <s:c r="M19" s="95">
        <s:f>M10+M17+M18+IF(12&gt;='Key Assumptions'!$B$94,'Key Assumptions'!$B$93,0)</s:f>
        <s:v>407247.94161058334</s:v>
      </s:c>
      <s:c r="N19" s="95">
        <s:f>SUM(B19:M19)</s:f>
        <s:v>4901645.198197</s:v>
      </s:c>
    </s:row>
    <s:row r="21">
      <s:c r="A21" s="96" t="inlineStr">
        <s:is>
          <s:t>BASE SCENARIO</s:t>
        </s:is>
      </s:c>
    </s:row>
    <s:row r="22">
      <s:c r="A22" s="64" t="inlineStr">
        <s:is>
          <s:t>Metric</s:t>
        </s:is>
      </s:c>
      <s:c r="B22" s="65" t="n">
        <s:v>46388</s:v>
      </s:c>
      <s:c r="C22" s="65" t="n">
        <s:v>46419</s:v>
      </s:c>
      <s:c r="D22" s="65" t="n">
        <s:v>46447</s:v>
      </s:c>
      <s:c r="E22" s="65" t="n">
        <s:v>46478</s:v>
      </s:c>
      <s:c r="F22" s="65" t="n">
        <s:v>46508</s:v>
      </s:c>
      <s:c r="G22" s="65" t="n">
        <s:v>46539</s:v>
      </s:c>
      <s:c r="H22" s="65" t="n">
        <s:v>46569</s:v>
      </s:c>
      <s:c r="I22" s="65" t="n">
        <s:v>46600</s:v>
      </s:c>
      <s:c r="J22" s="65" t="n">
        <s:v>46631</s:v>
      </s:c>
      <s:c r="K22" s="65" t="n">
        <s:v>46661</s:v>
      </s:c>
      <s:c r="L22" s="65" t="n">
        <s:v>46692</s:v>
      </s:c>
      <s:c r="M22" s="65" t="n">
        <s:v>46722</s:v>
      </s:c>
      <s:c r="N22" s="25" t="inlineStr">
        <s:is>
          <s:t>FY 2027</s:t>
        </s:is>
      </s:c>
    </s:row>
    <s:row r="23">
      <s:c r="A23" s="15" t="inlineStr">
        <s:is>
          <s:t>Residential beginning subs</s:t>
        </s:is>
      </s:c>
      <s:c r="B23" s="67">
        <s:f>'Key Assumptions'!$B$16</s:f>
        <s:v>4048</s:v>
      </s:c>
      <s:c r="C23" s="68">
        <s:f>B24</s:f>
        <s:v>4050</s:v>
      </s:c>
      <s:c r="D23" s="68">
        <s:f>C24</s:f>
        <s:v>4052</s:v>
      </s:c>
      <s:c r="E23" s="68">
        <s:f>D24</s:f>
        <s:v>4054</s:v>
      </s:c>
      <s:c r="F23" s="68">
        <s:f>E24</s:f>
        <s:v>4056</s:v>
      </s:c>
      <s:c r="G23" s="68">
        <s:f>F24</s:f>
        <s:v>4058</s:v>
      </s:c>
      <s:c r="H23" s="68">
        <s:f>G24</s:f>
        <s:v>4060</s:v>
      </s:c>
      <s:c r="I23" s="68">
        <s:f>H24</s:f>
        <s:v>4062</s:v>
      </s:c>
      <s:c r="J23" s="68">
        <s:f>I24</s:f>
        <s:v>4064</s:v>
      </s:c>
      <s:c r="K23" s="68">
        <s:f>J24</s:f>
        <s:v>4066</s:v>
      </s:c>
      <s:c r="L23" s="68">
        <s:f>K24</s:f>
        <s:v>4068</s:v>
      </s:c>
      <s:c r="M23" s="68">
        <s:f>L24</s:f>
        <s:v>4070</s:v>
      </s:c>
    </s:row>
    <s:row r="24">
      <s:c r="A24" s="15" t="inlineStr">
        <s:is>
          <s:t>Residential ending subs</s:t>
        </s:is>
      </s:c>
      <s:c r="B24" s="68">
        <s:f>MAX(0,B23+ROUND('Key Assumptions'!$B$17*'Key Assumptions'!$B$8,0)+'Key Assumptions'!$B$20-ROUND(B23*'Key Assumptions'!$B$18*'Key Assumptions'!$C$8,0)-'Key Assumptions'!$B$19)</s:f>
        <s:v>4050</s:v>
      </s:c>
      <s:c r="C24" s="68">
        <s:f>MAX(0,C23+ROUND('Key Assumptions'!$B$17*'Key Assumptions'!$B$8,0)+'Key Assumptions'!$B$20-ROUND(C23*'Key Assumptions'!$B$18*'Key Assumptions'!$C$8,0)-'Key Assumptions'!$B$19)</s:f>
        <s:v>4052</s:v>
      </s:c>
      <s:c r="D24" s="68">
        <s:f>MAX(0,D23+ROUND('Key Assumptions'!$B$17*'Key Assumptions'!$B$8,0)+'Key Assumptions'!$B$20-ROUND(D23*'Key Assumptions'!$B$18*'Key Assumptions'!$C$8,0)-'Key Assumptions'!$B$19)</s:f>
        <s:v>4054</s:v>
      </s:c>
      <s:c r="E24" s="68">
        <s:f>MAX(0,E23+ROUND('Key Assumptions'!$B$17*'Key Assumptions'!$B$8,0)+'Key Assumptions'!$B$20-ROUND(E23*'Key Assumptions'!$B$18*'Key Assumptions'!$C$8,0)-'Key Assumptions'!$B$19)</s:f>
        <s:v>4056</s:v>
      </s:c>
      <s:c r="F24" s="68">
        <s:f>MAX(0,F23+ROUND('Key Assumptions'!$B$17*'Key Assumptions'!$B$8,0)+'Key Assumptions'!$B$20-ROUND(F23*'Key Assumptions'!$B$18*'Key Assumptions'!$C$8,0)-'Key Assumptions'!$B$19)</s:f>
        <s:v>4058</s:v>
      </s:c>
      <s:c r="G24" s="68">
        <s:f>MAX(0,G23+ROUND('Key Assumptions'!$B$17*'Key Assumptions'!$B$8,0)+'Key Assumptions'!$B$20-ROUND(G23*'Key Assumptions'!$B$18*'Key Assumptions'!$C$8,0)-'Key Assumptions'!$B$19)</s:f>
        <s:v>4060</s:v>
      </s:c>
      <s:c r="H24" s="68">
        <s:f>MAX(0,H23+ROUND('Key Assumptions'!$B$17*'Key Assumptions'!$B$8,0)+'Key Assumptions'!$B$20-ROUND(H23*'Key Assumptions'!$B$18*'Key Assumptions'!$C$8,0)-'Key Assumptions'!$B$19)</s:f>
        <s:v>4062</s:v>
      </s:c>
      <s:c r="I24" s="68">
        <s:f>MAX(0,I23+ROUND('Key Assumptions'!$B$17*'Key Assumptions'!$B$8,0)+'Key Assumptions'!$B$20-ROUND(I23*'Key Assumptions'!$B$18*'Key Assumptions'!$C$8,0)-'Key Assumptions'!$B$19)</s:f>
        <s:v>4064</s:v>
      </s:c>
      <s:c r="J24" s="68">
        <s:f>MAX(0,J23+ROUND('Key Assumptions'!$B$17*'Key Assumptions'!$B$8,0)+'Key Assumptions'!$B$20-ROUND(J23*'Key Assumptions'!$B$18*'Key Assumptions'!$C$8,0)-'Key Assumptions'!$B$19)</s:f>
        <s:v>4066</s:v>
      </s:c>
      <s:c r="K24" s="68">
        <s:f>MAX(0,K23+ROUND('Key Assumptions'!$B$17*'Key Assumptions'!$B$8,0)+'Key Assumptions'!$B$20-ROUND(K23*'Key Assumptions'!$B$18*'Key Assumptions'!$C$8,0)-'Key Assumptions'!$B$19)</s:f>
        <s:v>4068</s:v>
      </s:c>
      <s:c r="L24" s="68">
        <s:f>MAX(0,L23+ROUND('Key Assumptions'!$B$17*'Key Assumptions'!$B$8,0)+'Key Assumptions'!$B$20-ROUND(L23*'Key Assumptions'!$B$18*'Key Assumptions'!$C$8,0)-'Key Assumptions'!$B$19)</s:f>
        <s:v>4070</s:v>
      </s:c>
      <s:c r="M24" s="68">
        <s:f>MAX(0,M23+ROUND('Key Assumptions'!$B$17*'Key Assumptions'!$B$8,0)+'Key Assumptions'!$B$20-ROUND(M23*'Key Assumptions'!$B$18*'Key Assumptions'!$C$8,0)-'Key Assumptions'!$B$19)</s:f>
        <s:v>4072</s:v>
      </s:c>
    </s:row>
    <s:row r="25">
      <s:c r="A25" s="15" t="inlineStr">
        <s:is>
          <s:t>Residential avg subs</s:t>
        </s:is>
      </s:c>
      <s:c r="B25" s="68">
        <s:f>(B23+B24)/2</s:f>
        <s:v>4049</s:v>
      </s:c>
      <s:c r="C25" s="68">
        <s:f>(C23+C24)/2</s:f>
        <s:v>4051</s:v>
      </s:c>
      <s:c r="D25" s="68">
        <s:f>(D23+D24)/2</s:f>
        <s:v>4053</s:v>
      </s:c>
      <s:c r="E25" s="68">
        <s:f>(E23+E24)/2</s:f>
        <s:v>4055</s:v>
      </s:c>
      <s:c r="F25" s="68">
        <s:f>(F23+F24)/2</s:f>
        <s:v>4057</s:v>
      </s:c>
      <s:c r="G25" s="68">
        <s:f>(G23+G24)/2</s:f>
        <s:v>4059</s:v>
      </s:c>
      <s:c r="H25" s="68">
        <s:f>(H23+H24)/2</s:f>
        <s:v>4061</s:v>
      </s:c>
      <s:c r="I25" s="68">
        <s:f>(I23+I24)/2</s:f>
        <s:v>4063</s:v>
      </s:c>
      <s:c r="J25" s="68">
        <s:f>(J23+J24)/2</s:f>
        <s:v>4065</s:v>
      </s:c>
      <s:c r="K25" s="68">
        <s:f>(K23+K24)/2</s:f>
        <s:v>4067</s:v>
      </s:c>
      <s:c r="L25" s="68">
        <s:f>(L23+L24)/2</s:f>
        <s:v>4069</s:v>
      </s:c>
      <s:c r="M25" s="68">
        <s:f>(M23+M24)/2</s:f>
        <s:v>4071</s:v>
      </s:c>
    </s:row>
    <s:row r="26">
      <s:c r="A26" s="3" t="inlineStr">
        <s:is>
          <s:t>Residential net revenue</s:t>
        </s:is>
      </s:c>
      <s:c r="B26" s="16">
        <s:f>(B25*('Key Assumptions'!$B$21*IF(1&gt;='Key Assumptions'!$B$22,1+'Key Assumptions'!$B$23,1)*'Key Assumptions'!$D$8)+B25*'Key Assumptions'!$B$30+'Key Assumptions'!$B$29)*(1-'Key Assumptions'!$B$27)+(ROUND('Key Assumptions'!$B$17*'Key Assumptions'!$B$8,0)*'Key Assumptions'!$B$24+B25*'Key Assumptions'!$B$26*'Key Assumptions'!$B$25)-((B25*('Key Assumptions'!$B$21*IF(1&gt;='Key Assumptions'!$B$22,1+'Key Assumptions'!$B$23,1)*'Key Assumptions'!$D$8)+B25*'Key Assumptions'!$B$30+'Key Assumptions'!$B$29)+(ROUND('Key Assumptions'!$B$17*'Key Assumptions'!$B$8,0)*'Key Assumptions'!$B$24+B25*'Key Assumptions'!$B$26*'Key Assumptions'!$B$25))*'Key Assumptions'!$B$28</s:f>
        <s:v>319126.6921333333</s:v>
      </s:c>
      <s:c r="C26" s="16">
        <s:f>(C25*('Key Assumptions'!$B$21*IF(2&gt;='Key Assumptions'!$B$22,1+'Key Assumptions'!$B$23,1)*'Key Assumptions'!$D$8)+C25*'Key Assumptions'!$B$30+'Key Assumptions'!$B$29)*(1-'Key Assumptions'!$B$27)+(ROUND('Key Assumptions'!$B$17*'Key Assumptions'!$B$8,0)*'Key Assumptions'!$B$24+C25*'Key Assumptions'!$B$26*'Key Assumptions'!$B$25)-((C25*('Key Assumptions'!$B$21*IF(2&gt;='Key Assumptions'!$B$22,1+'Key Assumptions'!$B$23,1)*'Key Assumptions'!$D$8)+C25*'Key Assumptions'!$B$30+'Key Assumptions'!$B$29)+(ROUND('Key Assumptions'!$B$17*'Key Assumptions'!$B$8,0)*'Key Assumptions'!$B$24+C25*'Key Assumptions'!$B$26*'Key Assumptions'!$B$25))*'Key Assumptions'!$B$28</s:f>
        <s:v>319275.04453333333</s:v>
      </s:c>
      <s:c r="D26" s="16">
        <s:f>(D25*('Key Assumptions'!$B$21*IF(3&gt;='Key Assumptions'!$B$22,1+'Key Assumptions'!$B$23,1)*'Key Assumptions'!$D$8)+D25*'Key Assumptions'!$B$30+'Key Assumptions'!$B$29)*(1-'Key Assumptions'!$B$27)+(ROUND('Key Assumptions'!$B$17*'Key Assumptions'!$B$8,0)*'Key Assumptions'!$B$24+D25*'Key Assumptions'!$B$26*'Key Assumptions'!$B$25)-((D25*('Key Assumptions'!$B$21*IF(3&gt;='Key Assumptions'!$B$22,1+'Key Assumptions'!$B$23,1)*'Key Assumptions'!$D$8)+D25*'Key Assumptions'!$B$30+'Key Assumptions'!$B$29)+(ROUND('Key Assumptions'!$B$17*'Key Assumptions'!$B$8,0)*'Key Assumptions'!$B$24+D25*'Key Assumptions'!$B$26*'Key Assumptions'!$B$25))*'Key Assumptions'!$B$28</s:f>
        <s:v>319423.3969333333</s:v>
      </s:c>
      <s:c r="E26" s="16">
        <s:f>(E25*('Key Assumptions'!$B$21*IF(4&gt;='Key Assumptions'!$B$22,1+'Key Assumptions'!$B$23,1)*'Key Assumptions'!$D$8)+E25*'Key Assumptions'!$B$30+'Key Assumptions'!$B$29)*(1-'Key Assumptions'!$B$27)+(ROUND('Key Assumptions'!$B$17*'Key Assumptions'!$B$8,0)*'Key Assumptions'!$B$24+E25*'Key Assumptions'!$B$26*'Key Assumptions'!$B$25)-((E25*('Key Assumptions'!$B$21*IF(4&gt;='Key Assumptions'!$B$22,1+'Key Assumptions'!$B$23,1)*'Key Assumptions'!$D$8)+E25*'Key Assumptions'!$B$30+'Key Assumptions'!$B$29)+(ROUND('Key Assumptions'!$B$17*'Key Assumptions'!$B$8,0)*'Key Assumptions'!$B$24+E25*'Key Assumptions'!$B$26*'Key Assumptions'!$B$25))*'Key Assumptions'!$B$28</s:f>
        <s:v>319571.7493333333</s:v>
      </s:c>
      <s:c r="F26" s="16">
        <s:f>(F25*('Key Assumptions'!$B$21*IF(5&gt;='Key Assumptions'!$B$22,1+'Key Assumptions'!$B$23,1)*'Key Assumptions'!$D$8)+F25*'Key Assumptions'!$B$30+'Key Assumptions'!$B$29)*(1-'Key Assumptions'!$B$27)+(ROUND('Key Assumptions'!$B$17*'Key Assumptions'!$B$8,0)*'Key Assumptions'!$B$24+F25*'Key Assumptions'!$B$26*'Key Assumptions'!$B$25)-((F25*('Key Assumptions'!$B$21*IF(5&gt;='Key Assumptions'!$B$22,1+'Key Assumptions'!$B$23,1)*'Key Assumptions'!$D$8)+F25*'Key Assumptions'!$B$30+'Key Assumptions'!$B$29)+(ROUND('Key Assumptions'!$B$17*'Key Assumptions'!$B$8,0)*'Key Assumptions'!$B$24+F25*'Key Assumptions'!$B$26*'Key Assumptions'!$B$25))*'Key Assumptions'!$B$28</s:f>
        <s:v>319720.10173333326</s:v>
      </s:c>
      <s:c r="G26" s="16">
        <s:f>(G25*('Key Assumptions'!$B$21*IF(6&gt;='Key Assumptions'!$B$22,1+'Key Assumptions'!$B$23,1)*'Key Assumptions'!$D$8)+G25*'Key Assumptions'!$B$30+'Key Assumptions'!$B$29)*(1-'Key Assumptions'!$B$27)+(ROUND('Key Assumptions'!$B$17*'Key Assumptions'!$B$8,0)*'Key Assumptions'!$B$24+G25*'Key Assumptions'!$B$26*'Key Assumptions'!$B$25)-((G25*('Key Assumptions'!$B$21*IF(6&gt;='Key Assumptions'!$B$22,1+'Key Assumptions'!$B$23,1)*'Key Assumptions'!$D$8)+G25*'Key Assumptions'!$B$30+'Key Assumptions'!$B$29)+(ROUND('Key Assumptions'!$B$17*'Key Assumptions'!$B$8,0)*'Key Assumptions'!$B$24+G25*'Key Assumptions'!$B$26*'Key Assumptions'!$B$25))*'Key Assumptions'!$B$28</s:f>
        <s:v>319868.45413333335</s:v>
      </s:c>
      <s:c r="H26" s="16">
        <s:f>(H25*('Key Assumptions'!$B$21*IF(7&gt;='Key Assumptions'!$B$22,1+'Key Assumptions'!$B$23,1)*'Key Assumptions'!$D$8)+H25*'Key Assumptions'!$B$30+'Key Assumptions'!$B$29)*(1-'Key Assumptions'!$B$27)+(ROUND('Key Assumptions'!$B$17*'Key Assumptions'!$B$8,0)*'Key Assumptions'!$B$24+H25*'Key Assumptions'!$B$26*'Key Assumptions'!$B$25)-((H25*('Key Assumptions'!$B$21*IF(7&gt;='Key Assumptions'!$B$22,1+'Key Assumptions'!$B$23,1)*'Key Assumptions'!$D$8)+H25*'Key Assumptions'!$B$30+'Key Assumptions'!$B$29)+(ROUND('Key Assumptions'!$B$17*'Key Assumptions'!$B$8,0)*'Key Assumptions'!$B$24+H25*'Key Assumptions'!$B$26*'Key Assumptions'!$B$25))*'Key Assumptions'!$B$28</s:f>
        <s:v>328761.76393333334</s:v>
      </s:c>
      <s:c r="I26" s="16">
        <s:f>(I25*('Key Assumptions'!$B$21*IF(8&gt;='Key Assumptions'!$B$22,1+'Key Assumptions'!$B$23,1)*'Key Assumptions'!$D$8)+I25*'Key Assumptions'!$B$30+'Key Assumptions'!$B$29)*(1-'Key Assumptions'!$B$27)+(ROUND('Key Assumptions'!$B$17*'Key Assumptions'!$B$8,0)*'Key Assumptions'!$B$24+I25*'Key Assumptions'!$B$26*'Key Assumptions'!$B$25)-((I25*('Key Assumptions'!$B$21*IF(8&gt;='Key Assumptions'!$B$22,1+'Key Assumptions'!$B$23,1)*'Key Assumptions'!$D$8)+I25*'Key Assumptions'!$B$30+'Key Assumptions'!$B$29)+(ROUND('Key Assumptions'!$B$17*'Key Assumptions'!$B$8,0)*'Key Assumptions'!$B$24+I25*'Key Assumptions'!$B$26*'Key Assumptions'!$B$25))*'Key Assumptions'!$B$28</s:f>
        <s:v>328914.4231333333</s:v>
      </s:c>
      <s:c r="J26" s="16">
        <s:f>(J25*('Key Assumptions'!$B$21*IF(9&gt;='Key Assumptions'!$B$22,1+'Key Assumptions'!$B$23,1)*'Key Assumptions'!$D$8)+J25*'Key Assumptions'!$B$30+'Key Assumptions'!$B$29)*(1-'Key Assumptions'!$B$27)+(ROUND('Key Assumptions'!$B$17*'Key Assumptions'!$B$8,0)*'Key Assumptions'!$B$24+J25*'Key Assumptions'!$B$26*'Key Assumptions'!$B$25)-((J25*('Key Assumptions'!$B$21*IF(9&gt;='Key Assumptions'!$B$22,1+'Key Assumptions'!$B$23,1)*'Key Assumptions'!$D$8)+J25*'Key Assumptions'!$B$30+'Key Assumptions'!$B$29)+(ROUND('Key Assumptions'!$B$17*'Key Assumptions'!$B$8,0)*'Key Assumptions'!$B$24+J25*'Key Assumptions'!$B$26*'Key Assumptions'!$B$25))*'Key Assumptions'!$B$28</s:f>
        <s:v>329067.0823333333</s:v>
      </s:c>
      <s:c r="K26" s="16">
        <s:f>(K25*('Key Assumptions'!$B$21*IF(10&gt;='Key Assumptions'!$B$22,1+'Key Assumptions'!$B$23,1)*'Key Assumptions'!$D$8)+K25*'Key Assumptions'!$B$30+'Key Assumptions'!$B$29)*(1-'Key Assumptions'!$B$27)+(ROUND('Key Assumptions'!$B$17*'Key Assumptions'!$B$8,0)*'Key Assumptions'!$B$24+K25*'Key Assumptions'!$B$26*'Key Assumptions'!$B$25)-((K25*('Key Assumptions'!$B$21*IF(10&gt;='Key Assumptions'!$B$22,1+'Key Assumptions'!$B$23,1)*'Key Assumptions'!$D$8)+K25*'Key Assumptions'!$B$30+'Key Assumptions'!$B$29)+(ROUND('Key Assumptions'!$B$17*'Key Assumptions'!$B$8,0)*'Key Assumptions'!$B$24+K25*'Key Assumptions'!$B$26*'Key Assumptions'!$B$25))*'Key Assumptions'!$B$28</s:f>
        <s:v>329219.7415333333</s:v>
      </s:c>
      <s:c r="L26" s="16">
        <s:f>(L25*('Key Assumptions'!$B$21*IF(11&gt;='Key Assumptions'!$B$22,1+'Key Assumptions'!$B$23,1)*'Key Assumptions'!$D$8)+L25*'Key Assumptions'!$B$30+'Key Assumptions'!$B$29)*(1-'Key Assumptions'!$B$27)+(ROUND('Key Assumptions'!$B$17*'Key Assumptions'!$B$8,0)*'Key Assumptions'!$B$24+L25*'Key Assumptions'!$B$26*'Key Assumptions'!$B$25)-((L25*('Key Assumptions'!$B$21*IF(11&gt;='Key Assumptions'!$B$22,1+'Key Assumptions'!$B$23,1)*'Key Assumptions'!$D$8)+L25*'Key Assumptions'!$B$30+'Key Assumptions'!$B$29)+(ROUND('Key Assumptions'!$B$17*'Key Assumptions'!$B$8,0)*'Key Assumptions'!$B$24+L25*'Key Assumptions'!$B$26*'Key Assumptions'!$B$25))*'Key Assumptions'!$B$28</s:f>
        <s:v>329372.4007333333</s:v>
      </s:c>
      <s:c r="M26" s="16">
        <s:f>(M25*('Key Assumptions'!$B$21*IF(12&gt;='Key Assumptions'!$B$22,1+'Key Assumptions'!$B$23,1)*'Key Assumptions'!$D$8)+M25*'Key Assumptions'!$B$30+'Key Assumptions'!$B$29)*(1-'Key Assumptions'!$B$27)+(ROUND('Key Assumptions'!$B$17*'Key Assumptions'!$B$8,0)*'Key Assumptions'!$B$24+M25*'Key Assumptions'!$B$26*'Key Assumptions'!$B$25)-((M25*('Key Assumptions'!$B$21*IF(12&gt;='Key Assumptions'!$B$22,1+'Key Assumptions'!$B$23,1)*'Key Assumptions'!$D$8)+M25*'Key Assumptions'!$B$30+'Key Assumptions'!$B$29)+(ROUND('Key Assumptions'!$B$17*'Key Assumptions'!$B$8,0)*'Key Assumptions'!$B$24+M25*'Key Assumptions'!$B$26*'Key Assumptions'!$B$25))*'Key Assumptions'!$B$28</s:f>
        <s:v>329525.0599333333</s:v>
      </s:c>
      <s:c r="N26" s="71">
        <s:f>SUM(B26:M26)</s:f>
        <s:v>3891845.9104</s:v>
      </s:c>
    </s:row>
    <s:row r="27">
      <s:c r="A27" s="15" t="inlineStr">
        <s:is>
          <s:t>Business beginning cust</s:t>
        </s:is>
      </s:c>
      <s:c r="B27" s="67">
        <s:f>'Key Assumptions'!$B$35</s:f>
        <s:v>249</s:v>
      </s:c>
      <s:c r="C27" s="68">
        <s:f>B28</s:f>
        <s:v>252</s:v>
      </s:c>
      <s:c r="D27" s="68">
        <s:f>C28</s:f>
        <s:v>254</s:v>
      </s:c>
      <s:c r="E27" s="68">
        <s:f>D28</s:f>
        <s:v>256</s:v>
      </s:c>
      <s:c r="F27" s="68">
        <s:f>E28</s:f>
        <s:v>258</s:v>
      </s:c>
      <s:c r="G27" s="68">
        <s:f>F28</s:f>
        <s:v>260</s:v>
      </s:c>
      <s:c r="H27" s="68">
        <s:f>G28</s:f>
        <s:v>262</s:v>
      </s:c>
      <s:c r="I27" s="68">
        <s:f>H28</s:f>
        <s:v>264</s:v>
      </s:c>
      <s:c r="J27" s="68">
        <s:f>I28</s:f>
        <s:v>266</s:v>
      </s:c>
      <s:c r="K27" s="68">
        <s:f>J28</s:f>
        <s:v>268</s:v>
      </s:c>
      <s:c r="L27" s="68">
        <s:f>K28</s:f>
        <s:v>270</s:v>
      </s:c>
      <s:c r="M27" s="68">
        <s:f>L28</s:f>
        <s:v>272</s:v>
      </s:c>
    </s:row>
    <s:row r="28">
      <s:c r="A28" s="15" t="inlineStr">
        <s:is>
          <s:t>Business ending cust</s:t>
        </s:is>
      </s:c>
      <s:c r="B28" s="68">
        <s:f>MAX(0,B27+ROUND(('Key Assumptions'!$B$36+'Key Assumptions'!$B$37)*'Key Assumptions'!$E$8,0)+'Key Assumptions'!$B$40-ROUND(B27*'Key Assumptions'!$B$38*'Key Assumptions'!$F$8,0)-'Key Assumptions'!$B$39)</s:f>
        <s:v>252</s:v>
      </s:c>
      <s:c r="C28" s="68">
        <s:f>MAX(0,C27+ROUND(('Key Assumptions'!$B$36+'Key Assumptions'!$B$37)*'Key Assumptions'!$E$8,0)+'Key Assumptions'!$B$40-ROUND(C27*'Key Assumptions'!$B$38*'Key Assumptions'!$F$8,0)-'Key Assumptions'!$B$39)</s:f>
        <s:v>254</s:v>
      </s:c>
      <s:c r="D28" s="68">
        <s:f>MAX(0,D27+ROUND(('Key Assumptions'!$B$36+'Key Assumptions'!$B$37)*'Key Assumptions'!$E$8,0)+'Key Assumptions'!$B$40-ROUND(D27*'Key Assumptions'!$B$38*'Key Assumptions'!$F$8,0)-'Key Assumptions'!$B$39)</s:f>
        <s:v>256</s:v>
      </s:c>
      <s:c r="E28" s="68">
        <s:f>MAX(0,E27+ROUND(('Key Assumptions'!$B$36+'Key Assumptions'!$B$37)*'Key Assumptions'!$E$8,0)+'Key Assumptions'!$B$40-ROUND(E27*'Key Assumptions'!$B$38*'Key Assumptions'!$F$8,0)-'Key Assumptions'!$B$39)</s:f>
        <s:v>258</s:v>
      </s:c>
      <s:c r="F28" s="68">
        <s:f>MAX(0,F27+ROUND(('Key Assumptions'!$B$36+'Key Assumptions'!$B$37)*'Key Assumptions'!$E$8,0)+'Key Assumptions'!$B$40-ROUND(F27*'Key Assumptions'!$B$38*'Key Assumptions'!$F$8,0)-'Key Assumptions'!$B$39)</s:f>
        <s:v>260</s:v>
      </s:c>
      <s:c r="G28" s="68">
        <s:f>MAX(0,G27+ROUND(('Key Assumptions'!$B$36+'Key Assumptions'!$B$37)*'Key Assumptions'!$E$8,0)+'Key Assumptions'!$B$40-ROUND(G27*'Key Assumptions'!$B$38*'Key Assumptions'!$F$8,0)-'Key Assumptions'!$B$39)</s:f>
        <s:v>262</s:v>
      </s:c>
      <s:c r="H28" s="68">
        <s:f>MAX(0,H27+ROUND(('Key Assumptions'!$B$36+'Key Assumptions'!$B$37)*'Key Assumptions'!$E$8,0)+'Key Assumptions'!$B$40-ROUND(H27*'Key Assumptions'!$B$38*'Key Assumptions'!$F$8,0)-'Key Assumptions'!$B$39)</s:f>
        <s:v>264</s:v>
      </s:c>
      <s:c r="I28" s="68">
        <s:f>MAX(0,I27+ROUND(('Key Assumptions'!$B$36+'Key Assumptions'!$B$37)*'Key Assumptions'!$E$8,0)+'Key Assumptions'!$B$40-ROUND(I27*'Key Assumptions'!$B$38*'Key Assumptions'!$F$8,0)-'Key Assumptions'!$B$39)</s:f>
        <s:v>266</s:v>
      </s:c>
      <s:c r="J28" s="68">
        <s:f>MAX(0,J27+ROUND(('Key Assumptions'!$B$36+'Key Assumptions'!$B$37)*'Key Assumptions'!$E$8,0)+'Key Assumptions'!$B$40-ROUND(J27*'Key Assumptions'!$B$38*'Key Assumptions'!$F$8,0)-'Key Assumptions'!$B$39)</s:f>
        <s:v>268</s:v>
      </s:c>
      <s:c r="K28" s="68">
        <s:f>MAX(0,K27+ROUND(('Key Assumptions'!$B$36+'Key Assumptions'!$B$37)*'Key Assumptions'!$E$8,0)+'Key Assumptions'!$B$40-ROUND(K27*'Key Assumptions'!$B$38*'Key Assumptions'!$F$8,0)-'Key Assumptions'!$B$39)</s:f>
        <s:v>270</s:v>
      </s:c>
      <s:c r="L28" s="68">
        <s:f>MAX(0,L27+ROUND(('Key Assumptions'!$B$36+'Key Assumptions'!$B$37)*'Key Assumptions'!$E$8,0)+'Key Assumptions'!$B$40-ROUND(L27*'Key Assumptions'!$B$38*'Key Assumptions'!$F$8,0)-'Key Assumptions'!$B$39)</s:f>
        <s:v>272</s:v>
      </s:c>
      <s:c r="M28" s="68">
        <s:f>MAX(0,M27+ROUND(('Key Assumptions'!$B$36+'Key Assumptions'!$B$37)*'Key Assumptions'!$E$8,0)+'Key Assumptions'!$B$40-ROUND(M27*'Key Assumptions'!$B$38*'Key Assumptions'!$F$8,0)-'Key Assumptions'!$B$39)</s:f>
        <s:v>274</s:v>
      </s:c>
    </s:row>
    <s:row r="29">
      <s:c r="A29" s="15" t="inlineStr">
        <s:is>
          <s:t>Business avg cust</s:t>
        </s:is>
      </s:c>
      <s:c r="B29" s="68">
        <s:f>(B27+B28)/2</s:f>
        <s:v>250.5</s:v>
      </s:c>
      <s:c r="C29" s="68">
        <s:f>(C27+C28)/2</s:f>
        <s:v>253</s:v>
      </s:c>
      <s:c r="D29" s="68">
        <s:f>(D27+D28)/2</s:f>
        <s:v>255</s:v>
      </s:c>
      <s:c r="E29" s="68">
        <s:f>(E27+E28)/2</s:f>
        <s:v>257</s:v>
      </s:c>
      <s:c r="F29" s="68">
        <s:f>(F27+F28)/2</s:f>
        <s:v>259</s:v>
      </s:c>
      <s:c r="G29" s="68">
        <s:f>(G27+G28)/2</s:f>
        <s:v>261</s:v>
      </s:c>
      <s:c r="H29" s="68">
        <s:f>(H27+H28)/2</s:f>
        <s:v>263</s:v>
      </s:c>
      <s:c r="I29" s="68">
        <s:f>(I27+I28)/2</s:f>
        <s:v>265</s:v>
      </s:c>
      <s:c r="J29" s="68">
        <s:f>(J27+J28)/2</s:f>
        <s:v>267</s:v>
      </s:c>
      <s:c r="K29" s="68">
        <s:f>(K27+K28)/2</s:f>
        <s:v>269</s:v>
      </s:c>
      <s:c r="L29" s="68">
        <s:f>(L27+L28)/2</s:f>
        <s:v>271</s:v>
      </s:c>
      <s:c r="M29" s="68">
        <s:f>(M27+M28)/2</s:f>
        <s:v>273</s:v>
      </s:c>
    </s:row>
    <s:row r="30">
      <s:c r="A30" s="15" t="inlineStr">
        <s:is>
          <s:t>Enterprise beginning</s:t>
        </s:is>
      </s:c>
      <s:c r="B30" s="67">
        <s:f>'Key Assumptions'!$B$57</s:f>
        <s:v>0</s:v>
      </s:c>
      <s:c r="C30" s="68">
        <s:f>B31</s:f>
        <s:v>1</s:v>
      </s:c>
      <s:c r="D30" s="68">
        <s:f>C31</s:f>
        <s:v>2</s:v>
      </s:c>
      <s:c r="E30" s="68">
        <s:f>D31</s:f>
        <s:v>3</s:v>
      </s:c>
      <s:c r="F30" s="68">
        <s:f>E31</s:f>
        <s:v>4</s:v>
      </s:c>
      <s:c r="G30" s="68">
        <s:f>F31</s:f>
        <s:v>5</s:v>
      </s:c>
      <s:c r="H30" s="68">
        <s:f>G31</s:f>
        <s:v>6</s:v>
      </s:c>
      <s:c r="I30" s="68">
        <s:f>H31</s:f>
        <s:v>7</s:v>
      </s:c>
      <s:c r="J30" s="68">
        <s:f>I31</s:f>
        <s:v>8</s:v>
      </s:c>
      <s:c r="K30" s="68">
        <s:f>J31</s:f>
        <s:v>9</s:v>
      </s:c>
      <s:c r="L30" s="68">
        <s:f>K31</s:f>
        <s:v>10</s:v>
      </s:c>
      <s:c r="M30" s="68">
        <s:f>L31</s:f>
        <s:v>11</s:v>
      </s:c>
    </s:row>
    <s:row r="31">
      <s:c r="A31" s="15" t="inlineStr">
        <s:is>
          <s:t>Enterprise ending</s:t>
        </s:is>
      </s:c>
      <s:c r="B31" s="68">
        <s:f>MAX(0,B30+ROUND('Key Assumptions'!$B$37*'Key Assumptions'!$E$8,0)-ROUND(B30*'Key Assumptions'!$B$38*'Key Assumptions'!$F$8,0))</s:f>
        <s:v>1</s:v>
      </s:c>
      <s:c r="C31" s="68">
        <s:f>MAX(0,C30+ROUND('Key Assumptions'!$B$37*'Key Assumptions'!$E$8,0)-ROUND(C30*'Key Assumptions'!$B$38*'Key Assumptions'!$F$8,0))</s:f>
        <s:v>2</s:v>
      </s:c>
      <s:c r="D31" s="68">
        <s:f>MAX(0,D30+ROUND('Key Assumptions'!$B$37*'Key Assumptions'!$E$8,0)-ROUND(D30*'Key Assumptions'!$B$38*'Key Assumptions'!$F$8,0))</s:f>
        <s:v>3</s:v>
      </s:c>
      <s:c r="E31" s="68">
        <s:f>MAX(0,E30+ROUND('Key Assumptions'!$B$37*'Key Assumptions'!$E$8,0)-ROUND(E30*'Key Assumptions'!$B$38*'Key Assumptions'!$F$8,0))</s:f>
        <s:v>4</s:v>
      </s:c>
      <s:c r="F31" s="68">
        <s:f>MAX(0,F30+ROUND('Key Assumptions'!$B$37*'Key Assumptions'!$E$8,0)-ROUND(F30*'Key Assumptions'!$B$38*'Key Assumptions'!$F$8,0))</s:f>
        <s:v>5</s:v>
      </s:c>
      <s:c r="G31" s="68">
        <s:f>MAX(0,G30+ROUND('Key Assumptions'!$B$37*'Key Assumptions'!$E$8,0)-ROUND(G30*'Key Assumptions'!$B$38*'Key Assumptions'!$F$8,0))</s:f>
        <s:v>6</s:v>
      </s:c>
      <s:c r="H31" s="68">
        <s:f>MAX(0,H30+ROUND('Key Assumptions'!$B$37*'Key Assumptions'!$E$8,0)-ROUND(H30*'Key Assumptions'!$B$38*'Key Assumptions'!$F$8,0))</s:f>
        <s:v>7</s:v>
      </s:c>
      <s:c r="I31" s="68">
        <s:f>MAX(0,I30+ROUND('Key Assumptions'!$B$37*'Key Assumptions'!$E$8,0)-ROUND(I30*'Key Assumptions'!$B$38*'Key Assumptions'!$F$8,0))</s:f>
        <s:v>8</s:v>
      </s:c>
      <s:c r="J31" s="68">
        <s:f>MAX(0,J30+ROUND('Key Assumptions'!$B$37*'Key Assumptions'!$E$8,0)-ROUND(J30*'Key Assumptions'!$B$38*'Key Assumptions'!$F$8,0))</s:f>
        <s:v>9</s:v>
      </s:c>
      <s:c r="K31" s="68">
        <s:f>MAX(0,K30+ROUND('Key Assumptions'!$B$37*'Key Assumptions'!$E$8,0)-ROUND(K30*'Key Assumptions'!$B$38*'Key Assumptions'!$F$8,0))</s:f>
        <s:v>10</s:v>
      </s:c>
      <s:c r="L31" s="68">
        <s:f>MAX(0,L30+ROUND('Key Assumptions'!$B$37*'Key Assumptions'!$E$8,0)-ROUND(L30*'Key Assumptions'!$B$38*'Key Assumptions'!$F$8,0))</s:f>
        <s:v>11</s:v>
      </s:c>
      <s:c r="M31" s="68">
        <s:f>MAX(0,M30+ROUND('Key Assumptions'!$B$37*'Key Assumptions'!$E$8,0)-ROUND(M30*'Key Assumptions'!$B$38*'Key Assumptions'!$F$8,0))</s:f>
        <s:v>12</s:v>
      </s:c>
    </s:row>
    <s:row r="32">
      <s:c r="A32" s="15" t="inlineStr">
        <s:is>
          <s:t>Enterprise avg</s:t>
        </s:is>
      </s:c>
      <s:c r="B32" s="68">
        <s:f>(B30+B31)/2</s:f>
        <s:v>0.5</s:v>
      </s:c>
      <s:c r="C32" s="68">
        <s:f>(C30+C31)/2</s:f>
        <s:v>1.5</s:v>
      </s:c>
      <s:c r="D32" s="68">
        <s:f>(D30+D31)/2</s:f>
        <s:v>2.5</s:v>
      </s:c>
      <s:c r="E32" s="68">
        <s:f>(E30+E31)/2</s:f>
        <s:v>3.5</s:v>
      </s:c>
      <s:c r="F32" s="68">
        <s:f>(F30+F31)/2</s:f>
        <s:v>4.5</s:v>
      </s:c>
      <s:c r="G32" s="68">
        <s:f>(G30+G31)/2</s:f>
        <s:v>5.5</s:v>
      </s:c>
      <s:c r="H32" s="68">
        <s:f>(H30+H31)/2</s:f>
        <s:v>6.5</s:v>
      </s:c>
      <s:c r="I32" s="68">
        <s:f>(I30+I31)/2</s:f>
        <s:v>7.5</s:v>
      </s:c>
      <s:c r="J32" s="68">
        <s:f>(J30+J31)/2</s:f>
        <s:v>8.5</s:v>
      </s:c>
      <s:c r="K32" s="68">
        <s:f>(K30+K31)/2</s:f>
        <s:v>9.5</s:v>
      </s:c>
      <s:c r="L32" s="68">
        <s:f>(L30+L31)/2</s:f>
        <s:v>10.5</s:v>
      </s:c>
      <s:c r="M32" s="68">
        <s:f>(M30+M31)/2</s:f>
        <s:v>11.5</s:v>
      </s:c>
    </s:row>
    <s:row r="33">
      <s:c r="A33" s="3" t="inlineStr">
        <s:is>
          <s:t>Business net revenue</s:t>
        </s:is>
      </s:c>
      <s:c r="B33" s="16">
        <s:f>(B29*('Key Assumptions'!$B$41*IF(1&gt;='Key Assumptions'!$B$42,1+'Key Assumptions'!$B$43,1)*'Key Assumptions'!$G$8)+B29*('Key Assumptions'!$B$45+'Key Assumptions'!$B$46+'Key Assumptions'!$B$47+'Key Assumptions'!$B$49)+B32*'Key Assumptions'!$B$48)*(1-'Key Assumptions'!$B$54)+(ROUND(('Key Assumptions'!$B$36+'Key Assumptions'!$B$37)*'Key Assumptions'!$E$8,0)*('Key Assumptions'!$B$44+'Key Assumptions'!$B$50+'Key Assumptions'!$B$51)+'Key Assumptions'!$B$52+'Key Assumptions'!$B$53)-((B29*('Key Assumptions'!$B$41*IF(1&gt;='Key Assumptions'!$B$42,1+'Key Assumptions'!$B$43,1)*'Key Assumptions'!$G$8)+B29*('Key Assumptions'!$B$45+'Key Assumptions'!$B$46+'Key Assumptions'!$B$47+'Key Assumptions'!$B$49)+B32*'Key Assumptions'!$B$48)+(ROUND(('Key Assumptions'!$B$36+'Key Assumptions'!$B$37)*'Key Assumptions'!$E$8,0)*('Key Assumptions'!$B$44+'Key Assumptions'!$B$50+'Key Assumptions'!$B$51)+'Key Assumptions'!$B$52+'Key Assumptions'!$B$53))*'Key Assumptions'!$B$55</s:f>
        <s:v>44943.106499999994</s:v>
      </s:c>
      <s:c r="C33" s="16">
        <s:f>(C29*('Key Assumptions'!$B$41*IF(2&gt;='Key Assumptions'!$B$42,1+'Key Assumptions'!$B$43,1)*'Key Assumptions'!$G$8)+C29*('Key Assumptions'!$B$45+'Key Assumptions'!$B$46+'Key Assumptions'!$B$47+'Key Assumptions'!$B$49)+C32*'Key Assumptions'!$B$48)*(1-'Key Assumptions'!$B$54)+(ROUND(('Key Assumptions'!$B$36+'Key Assumptions'!$B$37)*'Key Assumptions'!$E$8,0)*('Key Assumptions'!$B$44+'Key Assumptions'!$B$50+'Key Assumptions'!$B$51)+'Key Assumptions'!$B$52+'Key Assumptions'!$B$53)-((C29*('Key Assumptions'!$B$41*IF(2&gt;='Key Assumptions'!$B$42,1+'Key Assumptions'!$B$43,1)*'Key Assumptions'!$G$8)+C29*('Key Assumptions'!$B$45+'Key Assumptions'!$B$46+'Key Assumptions'!$B$47+'Key Assumptions'!$B$49)+C32*'Key Assumptions'!$B$48)+(ROUND(('Key Assumptions'!$B$36+'Key Assumptions'!$B$37)*'Key Assumptions'!$E$8,0)*('Key Assumptions'!$B$44+'Key Assumptions'!$B$50+'Key Assumptions'!$B$51)+'Key Assumptions'!$B$52+'Key Assumptions'!$B$53))*'Key Assumptions'!$B$55</s:f>
        <s:v>45329.888999999996</s:v>
      </s:c>
      <s:c r="D33" s="16">
        <s:f>(D29*('Key Assumptions'!$B$41*IF(3&gt;='Key Assumptions'!$B$42,1+'Key Assumptions'!$B$43,1)*'Key Assumptions'!$G$8)+D29*('Key Assumptions'!$B$45+'Key Assumptions'!$B$46+'Key Assumptions'!$B$47+'Key Assumptions'!$B$49)+D32*'Key Assumptions'!$B$48)*(1-'Key Assumptions'!$B$54)+(ROUND(('Key Assumptions'!$B$36+'Key Assumptions'!$B$37)*'Key Assumptions'!$E$8,0)*('Key Assumptions'!$B$44+'Key Assumptions'!$B$50+'Key Assumptions'!$B$51)+'Key Assumptions'!$B$52+'Key Assumptions'!$B$53)-((D29*('Key Assumptions'!$B$41*IF(3&gt;='Key Assumptions'!$B$42,1+'Key Assumptions'!$B$43,1)*'Key Assumptions'!$G$8)+D29*('Key Assumptions'!$B$45+'Key Assumptions'!$B$46+'Key Assumptions'!$B$47+'Key Assumptions'!$B$49)+D32*'Key Assumptions'!$B$48)+(ROUND(('Key Assumptions'!$B$36+'Key Assumptions'!$B$37)*'Key Assumptions'!$E$8,0)*('Key Assumptions'!$B$44+'Key Assumptions'!$B$50+'Key Assumptions'!$B$51)+'Key Assumptions'!$B$52+'Key Assumptions'!$B$53))*'Key Assumptions'!$B$55</s:f>
        <s:v>45639.315</s:v>
      </s:c>
      <s:c r="E33" s="16">
        <s:f>(E29*('Key Assumptions'!$B$41*IF(4&gt;='Key Assumptions'!$B$42,1+'Key Assumptions'!$B$43,1)*'Key Assumptions'!$G$8)+E29*('Key Assumptions'!$B$45+'Key Assumptions'!$B$46+'Key Assumptions'!$B$47+'Key Assumptions'!$B$49)+E32*'Key Assumptions'!$B$48)*(1-'Key Assumptions'!$B$54)+(ROUND(('Key Assumptions'!$B$36+'Key Assumptions'!$B$37)*'Key Assumptions'!$E$8,0)*('Key Assumptions'!$B$44+'Key Assumptions'!$B$50+'Key Assumptions'!$B$51)+'Key Assumptions'!$B$52+'Key Assumptions'!$B$53)-((E29*('Key Assumptions'!$B$41*IF(4&gt;='Key Assumptions'!$B$42,1+'Key Assumptions'!$B$43,1)*'Key Assumptions'!$G$8)+E29*('Key Assumptions'!$B$45+'Key Assumptions'!$B$46+'Key Assumptions'!$B$47+'Key Assumptions'!$B$49)+E32*'Key Assumptions'!$B$48)+(ROUND(('Key Assumptions'!$B$36+'Key Assumptions'!$B$37)*'Key Assumptions'!$E$8,0)*('Key Assumptions'!$B$44+'Key Assumptions'!$B$50+'Key Assumptions'!$B$51)+'Key Assumptions'!$B$52+'Key Assumptions'!$B$53))*'Key Assumptions'!$B$55</s:f>
        <s:v>45948.741</s:v>
      </s:c>
      <s:c r="F33" s="16">
        <s:f>(F29*('Key Assumptions'!$B$41*IF(5&gt;='Key Assumptions'!$B$42,1+'Key Assumptions'!$B$43,1)*'Key Assumptions'!$G$8)+F29*('Key Assumptions'!$B$45+'Key Assumptions'!$B$46+'Key Assumptions'!$B$47+'Key Assumptions'!$B$49)+F32*'Key Assumptions'!$B$48)*(1-'Key Assumptions'!$B$54)+(ROUND(('Key Assumptions'!$B$36+'Key Assumptions'!$B$37)*'Key Assumptions'!$E$8,0)*('Key Assumptions'!$B$44+'Key Assumptions'!$B$50+'Key Assumptions'!$B$51)+'Key Assumptions'!$B$52+'Key Assumptions'!$B$53)-((F29*('Key Assumptions'!$B$41*IF(5&gt;='Key Assumptions'!$B$42,1+'Key Assumptions'!$B$43,1)*'Key Assumptions'!$G$8)+F29*('Key Assumptions'!$B$45+'Key Assumptions'!$B$46+'Key Assumptions'!$B$47+'Key Assumptions'!$B$49)+F32*'Key Assumptions'!$B$48)+(ROUND(('Key Assumptions'!$B$36+'Key Assumptions'!$B$37)*'Key Assumptions'!$E$8,0)*('Key Assumptions'!$B$44+'Key Assumptions'!$B$50+'Key Assumptions'!$B$51)+'Key Assumptions'!$B$52+'Key Assumptions'!$B$53))*'Key Assumptions'!$B$55</s:f>
        <s:v>46258.167</s:v>
      </s:c>
      <s:c r="G33" s="16">
        <s:f>(G29*('Key Assumptions'!$B$41*IF(6&gt;='Key Assumptions'!$B$42,1+'Key Assumptions'!$B$43,1)*'Key Assumptions'!$G$8)+G29*('Key Assumptions'!$B$45+'Key Assumptions'!$B$46+'Key Assumptions'!$B$47+'Key Assumptions'!$B$49)+G32*'Key Assumptions'!$B$48)*(1-'Key Assumptions'!$B$54)+(ROUND(('Key Assumptions'!$B$36+'Key Assumptions'!$B$37)*'Key Assumptions'!$E$8,0)*('Key Assumptions'!$B$44+'Key Assumptions'!$B$50+'Key Assumptions'!$B$51)+'Key Assumptions'!$B$52+'Key Assumptions'!$B$53)-((G29*('Key Assumptions'!$B$41*IF(6&gt;='Key Assumptions'!$B$42,1+'Key Assumptions'!$B$43,1)*'Key Assumptions'!$G$8)+G29*('Key Assumptions'!$B$45+'Key Assumptions'!$B$46+'Key Assumptions'!$B$47+'Key Assumptions'!$B$49)+G32*'Key Assumptions'!$B$48)+(ROUND(('Key Assumptions'!$B$36+'Key Assumptions'!$B$37)*'Key Assumptions'!$E$8,0)*('Key Assumptions'!$B$44+'Key Assumptions'!$B$50+'Key Assumptions'!$B$51)+'Key Assumptions'!$B$52+'Key Assumptions'!$B$53))*'Key Assumptions'!$B$55</s:f>
        <s:v>46567.59300000001</s:v>
      </s:c>
      <s:c r="H33" s="16">
        <s:f>(H29*('Key Assumptions'!$B$41*IF(7&gt;='Key Assumptions'!$B$42,1+'Key Assumptions'!$B$43,1)*'Key Assumptions'!$G$8)+H29*('Key Assumptions'!$B$45+'Key Assumptions'!$B$46+'Key Assumptions'!$B$47+'Key Assumptions'!$B$49)+H32*'Key Assumptions'!$B$48)*(1-'Key Assumptions'!$B$54)+(ROUND(('Key Assumptions'!$B$36+'Key Assumptions'!$B$37)*'Key Assumptions'!$E$8,0)*('Key Assumptions'!$B$44+'Key Assumptions'!$B$50+'Key Assumptions'!$B$51)+'Key Assumptions'!$B$52+'Key Assumptions'!$B$53)-((H29*('Key Assumptions'!$B$41*IF(7&gt;='Key Assumptions'!$B$42,1+'Key Assumptions'!$B$43,1)*'Key Assumptions'!$G$8)+H29*('Key Assumptions'!$B$45+'Key Assumptions'!$B$46+'Key Assumptions'!$B$47+'Key Assumptions'!$B$49)+H32*'Key Assumptions'!$B$48)+(ROUND(('Key Assumptions'!$B$36+'Key Assumptions'!$B$37)*'Key Assumptions'!$E$8,0)*('Key Assumptions'!$B$44+'Key Assumptions'!$B$50+'Key Assumptions'!$B$51)+'Key Assumptions'!$B$52+'Key Assumptions'!$B$53))*'Key Assumptions'!$B$55</s:f>
        <s:v>48023.23875</s:v>
      </s:c>
      <s:c r="I33" s="16">
        <s:f>(I29*('Key Assumptions'!$B$41*IF(8&gt;='Key Assumptions'!$B$42,1+'Key Assumptions'!$B$43,1)*'Key Assumptions'!$G$8)+I29*('Key Assumptions'!$B$45+'Key Assumptions'!$B$46+'Key Assumptions'!$B$47+'Key Assumptions'!$B$49)+I32*'Key Assumptions'!$B$48)*(1-'Key Assumptions'!$B$54)+(ROUND(('Key Assumptions'!$B$36+'Key Assumptions'!$B$37)*'Key Assumptions'!$E$8,0)*('Key Assumptions'!$B$44+'Key Assumptions'!$B$50+'Key Assumptions'!$B$51)+'Key Assumptions'!$B$52+'Key Assumptions'!$B$53)-((I29*('Key Assumptions'!$B$41*IF(8&gt;='Key Assumptions'!$B$42,1+'Key Assumptions'!$B$43,1)*'Key Assumptions'!$G$8)+I29*('Key Assumptions'!$B$45+'Key Assumptions'!$B$46+'Key Assumptions'!$B$47+'Key Assumptions'!$B$49)+I32*'Key Assumptions'!$B$48)+(ROUND(('Key Assumptions'!$B$36+'Key Assumptions'!$B$37)*'Key Assumptions'!$E$8,0)*('Key Assumptions'!$B$44+'Key Assumptions'!$B$50+'Key Assumptions'!$B$51)+'Key Assumptions'!$B$52+'Key Assumptions'!$B$53))*'Key Assumptions'!$B$55</s:f>
        <s:v>48341.38125</s:v>
      </s:c>
      <s:c r="J33" s="16">
        <s:f>(J29*('Key Assumptions'!$B$41*IF(9&gt;='Key Assumptions'!$B$42,1+'Key Assumptions'!$B$43,1)*'Key Assumptions'!$G$8)+J29*('Key Assumptions'!$B$45+'Key Assumptions'!$B$46+'Key Assumptions'!$B$47+'Key Assumptions'!$B$49)+J32*'Key Assumptions'!$B$48)*(1-'Key Assumptions'!$B$54)+(ROUND(('Key Assumptions'!$B$36+'Key Assumptions'!$B$37)*'Key Assumptions'!$E$8,0)*('Key Assumptions'!$B$44+'Key Assumptions'!$B$50+'Key Assumptions'!$B$51)+'Key Assumptions'!$B$52+'Key Assumptions'!$B$53)-((J29*('Key Assumptions'!$B$41*IF(9&gt;='Key Assumptions'!$B$42,1+'Key Assumptions'!$B$43,1)*'Key Assumptions'!$G$8)+J29*('Key Assumptions'!$B$45+'Key Assumptions'!$B$46+'Key Assumptions'!$B$47+'Key Assumptions'!$B$49)+J32*'Key Assumptions'!$B$48)+(ROUND(('Key Assumptions'!$B$36+'Key Assumptions'!$B$37)*'Key Assumptions'!$E$8,0)*('Key Assumptions'!$B$44+'Key Assumptions'!$B$50+'Key Assumptions'!$B$51)+'Key Assumptions'!$B$52+'Key Assumptions'!$B$53))*'Key Assumptions'!$B$55</s:f>
        <s:v>48659.52374999999</s:v>
      </s:c>
      <s:c r="K33" s="16">
        <s:f>(K29*('Key Assumptions'!$B$41*IF(10&gt;='Key Assumptions'!$B$42,1+'Key Assumptions'!$B$43,1)*'Key Assumptions'!$G$8)+K29*('Key Assumptions'!$B$45+'Key Assumptions'!$B$46+'Key Assumptions'!$B$47+'Key Assumptions'!$B$49)+K32*'Key Assumptions'!$B$48)*(1-'Key Assumptions'!$B$54)+(ROUND(('Key Assumptions'!$B$36+'Key Assumptions'!$B$37)*'Key Assumptions'!$E$8,0)*('Key Assumptions'!$B$44+'Key Assumptions'!$B$50+'Key Assumptions'!$B$51)+'Key Assumptions'!$B$52+'Key Assumptions'!$B$53)-((K29*('Key Assumptions'!$B$41*IF(10&gt;='Key Assumptions'!$B$42,1+'Key Assumptions'!$B$43,1)*'Key Assumptions'!$G$8)+K29*('Key Assumptions'!$B$45+'Key Assumptions'!$B$46+'Key Assumptions'!$B$47+'Key Assumptions'!$B$49)+K32*'Key Assumptions'!$B$48)+(ROUND(('Key Assumptions'!$B$36+'Key Assumptions'!$B$37)*'Key Assumptions'!$E$8,0)*('Key Assumptions'!$B$44+'Key Assumptions'!$B$50+'Key Assumptions'!$B$51)+'Key Assumptions'!$B$52+'Key Assumptions'!$B$53))*'Key Assumptions'!$B$55</s:f>
        <s:v>48977.666249999995</s:v>
      </s:c>
      <s:c r="L33" s="16">
        <s:f>(L29*('Key Assumptions'!$B$41*IF(11&gt;='Key Assumptions'!$B$42,1+'Key Assumptions'!$B$43,1)*'Key Assumptions'!$G$8)+L29*('Key Assumptions'!$B$45+'Key Assumptions'!$B$46+'Key Assumptions'!$B$47+'Key Assumptions'!$B$49)+L32*'Key Assumptions'!$B$48)*(1-'Key Assumptions'!$B$54)+(ROUND(('Key Assumptions'!$B$36+'Key Assumptions'!$B$37)*'Key Assumptions'!$E$8,0)*('Key Assumptions'!$B$44+'Key Assumptions'!$B$50+'Key Assumptions'!$B$51)+'Key Assumptions'!$B$52+'Key Assumptions'!$B$53)-((L29*('Key Assumptions'!$B$41*IF(11&gt;='Key Assumptions'!$B$42,1+'Key Assumptions'!$B$43,1)*'Key Assumptions'!$G$8)+L29*('Key Assumptions'!$B$45+'Key Assumptions'!$B$46+'Key Assumptions'!$B$47+'Key Assumptions'!$B$49)+L32*'Key Assumptions'!$B$48)+(ROUND(('Key Assumptions'!$B$36+'Key Assumptions'!$B$37)*'Key Assumptions'!$E$8,0)*('Key Assumptions'!$B$44+'Key Assumptions'!$B$50+'Key Assumptions'!$B$51)+'Key Assumptions'!$B$52+'Key Assumptions'!$B$53))*'Key Assumptions'!$B$55</s:f>
        <s:v>49295.808750000004</s:v>
      </s:c>
      <s:c r="M33" s="16">
        <s:f>(M29*('Key Assumptions'!$B$41*IF(12&gt;='Key Assumptions'!$B$42,1+'Key Assumptions'!$B$43,1)*'Key Assumptions'!$G$8)+M29*('Key Assumptions'!$B$45+'Key Assumptions'!$B$46+'Key Assumptions'!$B$47+'Key Assumptions'!$B$49)+M32*'Key Assumptions'!$B$48)*(1-'Key Assumptions'!$B$54)+(ROUND(('Key Assumptions'!$B$36+'Key Assumptions'!$B$37)*'Key Assumptions'!$E$8,0)*('Key Assumptions'!$B$44+'Key Assumptions'!$B$50+'Key Assumptions'!$B$51)+'Key Assumptions'!$B$52+'Key Assumptions'!$B$53)-((M29*('Key Assumptions'!$B$41*IF(12&gt;='Key Assumptions'!$B$42,1+'Key Assumptions'!$B$43,1)*'Key Assumptions'!$G$8)+M29*('Key Assumptions'!$B$45+'Key Assumptions'!$B$46+'Key Assumptions'!$B$47+'Key Assumptions'!$B$49)+M32*'Key Assumptions'!$B$48)+(ROUND(('Key Assumptions'!$B$36+'Key Assumptions'!$B$37)*'Key Assumptions'!$E$8,0)*('Key Assumptions'!$B$44+'Key Assumptions'!$B$50+'Key Assumptions'!$B$51)+'Key Assumptions'!$B$52+'Key Assumptions'!$B$53))*'Key Assumptions'!$B$55</s:f>
        <s:v>49613.95125</s:v>
      </s:c>
      <s:c r="N33" s="71">
        <s:f>SUM(B33:M33)</s:f>
        <s:v>567598.3815</s:v>
      </s:c>
    </s:row>
    <s:row r="34">
      <s:c r="A34" s="3" t="inlineStr">
        <s:is>
          <s:t>Dark fiber net revenue</s:t>
        </s:is>
      </s:c>
      <s:c r="B34" s="92">
        <s:f>'Dark Fiber Forecast'!Q43*'Key Assumptions'!$H$8</s:f>
        <s:v>1595</s:v>
      </s:c>
      <s:c r="C34" s="92">
        <s:f>'Dark Fiber Forecast'!R43*'Key Assumptions'!$H$8</s:f>
        <s:v>1595</s:v>
      </s:c>
      <s:c r="D34" s="92">
        <s:f>'Dark Fiber Forecast'!S43*'Key Assumptions'!$H$8</s:f>
        <s:v>1595</s:v>
      </s:c>
      <s:c r="E34" s="92">
        <s:f>'Dark Fiber Forecast'!T43*'Key Assumptions'!$H$8</s:f>
        <s:v>1595</s:v>
      </s:c>
      <s:c r="F34" s="92">
        <s:f>'Dark Fiber Forecast'!U43*'Key Assumptions'!$H$8</s:f>
        <s:v>1595</s:v>
      </s:c>
      <s:c r="G34" s="92">
        <s:f>'Dark Fiber Forecast'!V43*'Key Assumptions'!$H$8</s:f>
        <s:v>1595</s:v>
      </s:c>
      <s:c r="H34" s="92">
        <s:f>'Dark Fiber Forecast'!W43*'Key Assumptions'!$H$8</s:f>
        <s:v>1595</s:v>
      </s:c>
      <s:c r="I34" s="92">
        <s:f>'Dark Fiber Forecast'!X43*'Key Assumptions'!$H$8</s:f>
        <s:v>1595</s:v>
      </s:c>
      <s:c r="J34" s="92">
        <s:f>'Dark Fiber Forecast'!Y43*'Key Assumptions'!$H$8</s:f>
        <s:v>1595</s:v>
      </s:c>
      <s:c r="K34" s="92">
        <s:f>'Dark Fiber Forecast'!Z43*'Key Assumptions'!$H$8</s:f>
        <s:v>1595</s:v>
      </s:c>
      <s:c r="L34" s="92">
        <s:f>'Dark Fiber Forecast'!AA43*'Key Assumptions'!$H$8</s:f>
        <s:v>1595</s:v>
      </s:c>
      <s:c r="M34" s="92">
        <s:f>'Dark Fiber Forecast'!AB43*'Key Assumptions'!$H$8</s:f>
        <s:v>1595</s:v>
      </s:c>
      <s:c r="N34" s="71">
        <s:f>SUM(B34:M34)</s:f>
        <s:v>19140</s:v>
      </s:c>
    </s:row>
    <s:row r="35">
      <s:c r="A35" s="3" t="inlineStr">
        <s:is>
          <s:t>TOTAL NET REVENUE</s:t>
        </s:is>
      </s:c>
      <s:c r="B35" s="97">
        <s:f>B26+B33+B34+IF(1&gt;='Key Assumptions'!$B$94,'Key Assumptions'!$B$93,0)</s:f>
        <s:v>422664.7986333333</s:v>
      </s:c>
      <s:c r="C35" s="97">
        <s:f>C26+C33+C34+IF(2&gt;='Key Assumptions'!$B$94,'Key Assumptions'!$B$93,0)</s:f>
        <s:v>423199.93353333336</s:v>
      </s:c>
      <s:c r="D35" s="97">
        <s:f>D26+D33+D34+IF(3&gt;='Key Assumptions'!$B$94,'Key Assumptions'!$B$93,0)</s:f>
        <s:v>423657.7119333333</s:v>
      </s:c>
      <s:c r="E35" s="97">
        <s:f>E26+E33+E34+IF(4&gt;='Key Assumptions'!$B$94,'Key Assumptions'!$B$93,0)</s:f>
        <s:v>424115.49033333326</s:v>
      </s:c>
      <s:c r="F35" s="97">
        <s:f>F26+F33+F34+IF(5&gt;='Key Assumptions'!$B$94,'Key Assumptions'!$B$93,0)</s:f>
        <s:v>424573.2687333333</s:v>
      </s:c>
      <s:c r="G35" s="97">
        <s:f>G26+G33+G34+IF(6&gt;='Key Assumptions'!$B$94,'Key Assumptions'!$B$93,0)</s:f>
        <s:v>425031.04713333334</s:v>
      </s:c>
      <s:c r="H35" s="97">
        <s:f>H26+H33+H34+IF(7&gt;='Key Assumptions'!$B$94,'Key Assumptions'!$B$93,0)</s:f>
        <s:v>435380.00268333335</s:v>
      </s:c>
      <s:c r="I35" s="97">
        <s:f>I26+I33+I34+IF(8&gt;='Key Assumptions'!$B$94,'Key Assumptions'!$B$93,0)</s:f>
        <s:v>435850.80438333325</s:v>
      </s:c>
      <s:c r="J35" s="97">
        <s:f>J26+J33+J34+IF(9&gt;='Key Assumptions'!$B$94,'Key Assumptions'!$B$93,0)</s:f>
        <s:v>436321.6060833333</s:v>
      </s:c>
      <s:c r="K35" s="97">
        <s:f>K26+K33+K34+IF(10&gt;='Key Assumptions'!$B$94,'Key Assumptions'!$B$93,0)</s:f>
        <s:v>436792.4077833333</s:v>
      </s:c>
      <s:c r="L35" s="97">
        <s:f>L26+L33+L34+IF(11&gt;='Key Assumptions'!$B$94,'Key Assumptions'!$B$93,0)</s:f>
        <s:v>437263.20948333334</s:v>
      </s:c>
      <s:c r="M35" s="97">
        <s:f>M26+M33+M34+IF(12&gt;='Key Assumptions'!$B$94,'Key Assumptions'!$B$93,0)</s:f>
        <s:v>437734.0111833333</s:v>
      </s:c>
      <s:c r="N35" s="97">
        <s:f>SUM(B35:M35)</s:f>
        <s:v>5162584.2919</s:v>
      </s:c>
    </s:row>
    <s:row r="37">
      <s:c r="A37" s="98" t="inlineStr">
        <s:is>
          <s:t>AGGRESSIVE SCENARIO</s:t>
        </s:is>
      </s:c>
    </s:row>
    <s:row r="38">
      <s:c r="A38" s="64" t="inlineStr">
        <s:is>
          <s:t>Metric</s:t>
        </s:is>
      </s:c>
      <s:c r="B38" s="65" t="n">
        <s:v>46388</s:v>
      </s:c>
      <s:c r="C38" s="65" t="n">
        <s:v>46419</s:v>
      </s:c>
      <s:c r="D38" s="65" t="n">
        <s:v>46447</s:v>
      </s:c>
      <s:c r="E38" s="65" t="n">
        <s:v>46478</s:v>
      </s:c>
      <s:c r="F38" s="65" t="n">
        <s:v>46508</s:v>
      </s:c>
      <s:c r="G38" s="65" t="n">
        <s:v>46539</s:v>
      </s:c>
      <s:c r="H38" s="65" t="n">
        <s:v>46569</s:v>
      </s:c>
      <s:c r="I38" s="65" t="n">
        <s:v>46600</s:v>
      </s:c>
      <s:c r="J38" s="65" t="n">
        <s:v>46631</s:v>
      </s:c>
      <s:c r="K38" s="65" t="n">
        <s:v>46661</s:v>
      </s:c>
      <s:c r="L38" s="65" t="n">
        <s:v>46692</s:v>
      </s:c>
      <s:c r="M38" s="65" t="n">
        <s:v>46722</s:v>
      </s:c>
      <s:c r="N38" s="25" t="inlineStr">
        <s:is>
          <s:t>FY 2027</s:t>
        </s:is>
      </s:c>
    </s:row>
    <s:row r="39">
      <s:c r="A39" s="15" t="inlineStr">
        <s:is>
          <s:t>Residential beginning subs</s:t>
        </s:is>
      </s:c>
      <s:c r="B39" s="67">
        <s:f>'Key Assumptions'!$B$16</s:f>
        <s:v>4048</s:v>
      </s:c>
      <s:c r="C39" s="68">
        <s:f>B40</s:f>
        <s:v>4068</s:v>
      </s:c>
      <s:c r="D39" s="68">
        <s:f>C40</s:f>
        <s:v>4088</s:v>
      </s:c>
      <s:c r="E39" s="68">
        <s:f>D40</s:f>
        <s:v>4108</s:v>
      </s:c>
      <s:c r="F39" s="68">
        <s:f>E40</s:f>
        <s:v>4128</s:v>
      </s:c>
      <s:c r="G39" s="68">
        <s:f>F40</s:f>
        <s:v>4147</s:v>
      </s:c>
      <s:c r="H39" s="68">
        <s:f>G40</s:f>
        <s:v>4166</s:v>
      </s:c>
      <s:c r="I39" s="68">
        <s:f>H40</s:f>
        <s:v>4185</s:v>
      </s:c>
      <s:c r="J39" s="68">
        <s:f>I40</s:f>
        <s:v>4204</s:v>
      </s:c>
      <s:c r="K39" s="68">
        <s:f>J40</s:f>
        <s:v>4222</s:v>
      </s:c>
      <s:c r="L39" s="68">
        <s:f>K40</s:f>
        <s:v>4240</s:v>
      </s:c>
      <s:c r="M39" s="68">
        <s:f>L40</s:f>
        <s:v>4258</s:v>
      </s:c>
    </s:row>
    <s:row r="40">
      <s:c r="A40" s="15" t="inlineStr">
        <s:is>
          <s:t>Residential ending subs</s:t>
        </s:is>
      </s:c>
      <s:c r="B40" s="68">
        <s:f>MAX(0,B39+ROUND('Key Assumptions'!$B$17*'Key Assumptions'!$B$10,0)+'Key Assumptions'!$B$20-ROUND(B39*'Key Assumptions'!$B$18*'Key Assumptions'!$C$10,0)-'Key Assumptions'!$B$19)</s:f>
        <s:v>4068</s:v>
      </s:c>
      <s:c r="C40" s="68">
        <s:f>MAX(0,C39+ROUND('Key Assumptions'!$B$17*'Key Assumptions'!$B$10,0)+'Key Assumptions'!$B$20-ROUND(C39*'Key Assumptions'!$B$18*'Key Assumptions'!$C$10,0)-'Key Assumptions'!$B$19)</s:f>
        <s:v>4088</s:v>
      </s:c>
      <s:c r="D40" s="68">
        <s:f>MAX(0,D39+ROUND('Key Assumptions'!$B$17*'Key Assumptions'!$B$10,0)+'Key Assumptions'!$B$20-ROUND(D39*'Key Assumptions'!$B$18*'Key Assumptions'!$C$10,0)-'Key Assumptions'!$B$19)</s:f>
        <s:v>4108</s:v>
      </s:c>
      <s:c r="E40" s="68">
        <s:f>MAX(0,E39+ROUND('Key Assumptions'!$B$17*'Key Assumptions'!$B$10,0)+'Key Assumptions'!$B$20-ROUND(E39*'Key Assumptions'!$B$18*'Key Assumptions'!$C$10,0)-'Key Assumptions'!$B$19)</s:f>
        <s:v>4128</s:v>
      </s:c>
      <s:c r="F40" s="68">
        <s:f>MAX(0,F39+ROUND('Key Assumptions'!$B$17*'Key Assumptions'!$B$10,0)+'Key Assumptions'!$B$20-ROUND(F39*'Key Assumptions'!$B$18*'Key Assumptions'!$C$10,0)-'Key Assumptions'!$B$19)</s:f>
        <s:v>4147</s:v>
      </s:c>
      <s:c r="G40" s="68">
        <s:f>MAX(0,G39+ROUND('Key Assumptions'!$B$17*'Key Assumptions'!$B$10,0)+'Key Assumptions'!$B$20-ROUND(G39*'Key Assumptions'!$B$18*'Key Assumptions'!$C$10,0)-'Key Assumptions'!$B$19)</s:f>
        <s:v>4166</s:v>
      </s:c>
      <s:c r="H40" s="68">
        <s:f>MAX(0,H39+ROUND('Key Assumptions'!$B$17*'Key Assumptions'!$B$10,0)+'Key Assumptions'!$B$20-ROUND(H39*'Key Assumptions'!$B$18*'Key Assumptions'!$C$10,0)-'Key Assumptions'!$B$19)</s:f>
        <s:v>4185</s:v>
      </s:c>
      <s:c r="I40" s="68">
        <s:f>MAX(0,I39+ROUND('Key Assumptions'!$B$17*'Key Assumptions'!$B$10,0)+'Key Assumptions'!$B$20-ROUND(I39*'Key Assumptions'!$B$18*'Key Assumptions'!$C$10,0)-'Key Assumptions'!$B$19)</s:f>
        <s:v>4204</s:v>
      </s:c>
      <s:c r="J40" s="68">
        <s:f>MAX(0,J39+ROUND('Key Assumptions'!$B$17*'Key Assumptions'!$B$10,0)+'Key Assumptions'!$B$20-ROUND(J39*'Key Assumptions'!$B$18*'Key Assumptions'!$C$10,0)-'Key Assumptions'!$B$19)</s:f>
        <s:v>4222</s:v>
      </s:c>
      <s:c r="K40" s="68">
        <s:f>MAX(0,K39+ROUND('Key Assumptions'!$B$17*'Key Assumptions'!$B$10,0)+'Key Assumptions'!$B$20-ROUND(K39*'Key Assumptions'!$B$18*'Key Assumptions'!$C$10,0)-'Key Assumptions'!$B$19)</s:f>
        <s:v>4240</s:v>
      </s:c>
      <s:c r="L40" s="68">
        <s:f>MAX(0,L39+ROUND('Key Assumptions'!$B$17*'Key Assumptions'!$B$10,0)+'Key Assumptions'!$B$20-ROUND(L39*'Key Assumptions'!$B$18*'Key Assumptions'!$C$10,0)-'Key Assumptions'!$B$19)</s:f>
        <s:v>4258</s:v>
      </s:c>
      <s:c r="M40" s="68">
        <s:f>MAX(0,M39+ROUND('Key Assumptions'!$B$17*'Key Assumptions'!$B$10,0)+'Key Assumptions'!$B$20-ROUND(M39*'Key Assumptions'!$B$18*'Key Assumptions'!$C$10,0)-'Key Assumptions'!$B$19)</s:f>
        <s:v>4276</s:v>
      </s:c>
    </s:row>
    <s:row r="41">
      <s:c r="A41" s="15" t="inlineStr">
        <s:is>
          <s:t>Residential avg subs</s:t>
        </s:is>
      </s:c>
      <s:c r="B41" s="68">
        <s:f>(B39+B40)/2</s:f>
        <s:v>4058</s:v>
      </s:c>
      <s:c r="C41" s="68">
        <s:f>(C39+C40)/2</s:f>
        <s:v>4078</s:v>
      </s:c>
      <s:c r="D41" s="68">
        <s:f>(D39+D40)/2</s:f>
        <s:v>4098</s:v>
      </s:c>
      <s:c r="E41" s="68">
        <s:f>(E39+E40)/2</s:f>
        <s:v>4118</s:v>
      </s:c>
      <s:c r="F41" s="68">
        <s:f>(F39+F40)/2</s:f>
        <s:v>4137.5</s:v>
      </s:c>
      <s:c r="G41" s="68">
        <s:f>(G39+G40)/2</s:f>
        <s:v>4156.5</s:v>
      </s:c>
      <s:c r="H41" s="68">
        <s:f>(H39+H40)/2</s:f>
        <s:v>4175.5</s:v>
      </s:c>
      <s:c r="I41" s="68">
        <s:f>(I39+I40)/2</s:f>
        <s:v>4194.5</s:v>
      </s:c>
      <s:c r="J41" s="68">
        <s:f>(J39+J40)/2</s:f>
        <s:v>4213</s:v>
      </s:c>
      <s:c r="K41" s="68">
        <s:f>(K39+K40)/2</s:f>
        <s:v>4231</s:v>
      </s:c>
      <s:c r="L41" s="68">
        <s:f>(L39+L40)/2</s:f>
        <s:v>4249</s:v>
      </s:c>
      <s:c r="M41" s="68">
        <s:f>(M39+M40)/2</s:f>
        <s:v>4267</s:v>
      </s:c>
    </s:row>
    <s:row r="42">
      <s:c r="A42" s="3" t="inlineStr">
        <s:is>
          <s:t>Residential net revenue</s:t>
        </s:is>
      </s:c>
      <s:c r="B42" s="16">
        <s:f>(B41*('Key Assumptions'!$B$21*IF(1&gt;='Key Assumptions'!$B$22,1+'Key Assumptions'!$B$23,1)*'Key Assumptions'!$D$10)+B41*'Key Assumptions'!$B$30+'Key Assumptions'!$B$29)*(1-'Key Assumptions'!$B$27)+(ROUND('Key Assumptions'!$B$17*'Key Assumptions'!$B$10,0)*'Key Assumptions'!$B$24+B41*'Key Assumptions'!$B$26*'Key Assumptions'!$B$25)-((B41*('Key Assumptions'!$B$21*IF(1&gt;='Key Assumptions'!$B$22,1+'Key Assumptions'!$B$23,1)*'Key Assumptions'!$D$10)+B41*'Key Assumptions'!$B$30+'Key Assumptions'!$B$29)+(ROUND('Key Assumptions'!$B$17*'Key Assumptions'!$B$10,0)*'Key Assumptions'!$B$24+B41*'Key Assumptions'!$B$26*'Key Assumptions'!$B$25))*'Key Assumptions'!$B$28</s:f>
        <s:v>329414.8651333333</s:v>
      </s:c>
      <s:c r="C42" s="16">
        <s:f>(C41*('Key Assumptions'!$B$21*IF(2&gt;='Key Assumptions'!$B$22,1+'Key Assumptions'!$B$23,1)*'Key Assumptions'!$D$10)+C41*'Key Assumptions'!$B$30+'Key Assumptions'!$B$29)*(1-'Key Assumptions'!$B$27)+(ROUND('Key Assumptions'!$B$17*'Key Assumptions'!$B$10,0)*'Key Assumptions'!$B$24+C41*'Key Assumptions'!$B$26*'Key Assumptions'!$B$25)-((C41*('Key Assumptions'!$B$21*IF(2&gt;='Key Assumptions'!$B$22,1+'Key Assumptions'!$B$23,1)*'Key Assumptions'!$D$10)+C41*'Key Assumptions'!$B$30+'Key Assumptions'!$B$29)+(ROUND('Key Assumptions'!$B$17*'Key Assumptions'!$B$10,0)*'Key Assumptions'!$B$24+C41*'Key Assumptions'!$B$26*'Key Assumptions'!$B$25))*'Key Assumptions'!$B$28</s:f>
        <s:v>330941.4571333333</s:v>
      </s:c>
      <s:c r="D42" s="16">
        <s:f>(D41*('Key Assumptions'!$B$21*IF(3&gt;='Key Assumptions'!$B$22,1+'Key Assumptions'!$B$23,1)*'Key Assumptions'!$D$10)+D41*'Key Assumptions'!$B$30+'Key Assumptions'!$B$29)*(1-'Key Assumptions'!$B$27)+(ROUND('Key Assumptions'!$B$17*'Key Assumptions'!$B$10,0)*'Key Assumptions'!$B$24+D41*'Key Assumptions'!$B$26*'Key Assumptions'!$B$25)-((D41*('Key Assumptions'!$B$21*IF(3&gt;='Key Assumptions'!$B$22,1+'Key Assumptions'!$B$23,1)*'Key Assumptions'!$D$10)+D41*'Key Assumptions'!$B$30+'Key Assumptions'!$B$29)+(ROUND('Key Assumptions'!$B$17*'Key Assumptions'!$B$10,0)*'Key Assumptions'!$B$24+D41*'Key Assumptions'!$B$26*'Key Assumptions'!$B$25))*'Key Assumptions'!$B$28</s:f>
        <s:v>332468.0491333333</s:v>
      </s:c>
      <s:c r="E42" s="16">
        <s:f>(E41*('Key Assumptions'!$B$21*IF(4&gt;='Key Assumptions'!$B$22,1+'Key Assumptions'!$B$23,1)*'Key Assumptions'!$D$10)+E41*'Key Assumptions'!$B$30+'Key Assumptions'!$B$29)*(1-'Key Assumptions'!$B$27)+(ROUND('Key Assumptions'!$B$17*'Key Assumptions'!$B$10,0)*'Key Assumptions'!$B$24+E41*'Key Assumptions'!$B$26*'Key Assumptions'!$B$25)-((E41*('Key Assumptions'!$B$21*IF(4&gt;='Key Assumptions'!$B$22,1+'Key Assumptions'!$B$23,1)*'Key Assumptions'!$D$10)+E41*'Key Assumptions'!$B$30+'Key Assumptions'!$B$29)+(ROUND('Key Assumptions'!$B$17*'Key Assumptions'!$B$10,0)*'Key Assumptions'!$B$24+E41*'Key Assumptions'!$B$26*'Key Assumptions'!$B$25))*'Key Assumptions'!$B$28</s:f>
        <s:v>333994.6411333334</s:v>
      </s:c>
      <s:c r="F42" s="16">
        <s:f>(F41*('Key Assumptions'!$B$21*IF(5&gt;='Key Assumptions'!$B$22,1+'Key Assumptions'!$B$23,1)*'Key Assumptions'!$D$10)+F41*'Key Assumptions'!$B$30+'Key Assumptions'!$B$29)*(1-'Key Assumptions'!$B$27)+(ROUND('Key Assumptions'!$B$17*'Key Assumptions'!$B$10,0)*'Key Assumptions'!$B$24+F41*'Key Assumptions'!$B$26*'Key Assumptions'!$B$25)-((F41*('Key Assumptions'!$B$21*IF(5&gt;='Key Assumptions'!$B$22,1+'Key Assumptions'!$B$23,1)*'Key Assumptions'!$D$10)+F41*'Key Assumptions'!$B$30+'Key Assumptions'!$B$29)+(ROUND('Key Assumptions'!$B$17*'Key Assumptions'!$B$10,0)*'Key Assumptions'!$B$24+F41*'Key Assumptions'!$B$26*'Key Assumptions'!$B$25))*'Key Assumptions'!$B$28</s:f>
        <s:v>335483.0683333333</s:v>
      </s:c>
      <s:c r="G42" s="16">
        <s:f>(G41*('Key Assumptions'!$B$21*IF(6&gt;='Key Assumptions'!$B$22,1+'Key Assumptions'!$B$23,1)*'Key Assumptions'!$D$10)+G41*'Key Assumptions'!$B$30+'Key Assumptions'!$B$29)*(1-'Key Assumptions'!$B$27)+(ROUND('Key Assumptions'!$B$17*'Key Assumptions'!$B$10,0)*'Key Assumptions'!$B$24+G41*'Key Assumptions'!$B$26*'Key Assumptions'!$B$25)-((G41*('Key Assumptions'!$B$21*IF(6&gt;='Key Assumptions'!$B$22,1+'Key Assumptions'!$B$23,1)*'Key Assumptions'!$D$10)+G41*'Key Assumptions'!$B$30+'Key Assumptions'!$B$29)+(ROUND('Key Assumptions'!$B$17*'Key Assumptions'!$B$10,0)*'Key Assumptions'!$B$24+G41*'Key Assumptions'!$B$26*'Key Assumptions'!$B$25))*'Key Assumptions'!$B$28</s:f>
        <s:v>336933.3307333333</s:v>
      </s:c>
      <s:c r="H42" s="16">
        <s:f>(H41*('Key Assumptions'!$B$21*IF(7&gt;='Key Assumptions'!$B$22,1+'Key Assumptions'!$B$23,1)*'Key Assumptions'!$D$10)+H41*'Key Assumptions'!$B$30+'Key Assumptions'!$B$29)*(1-'Key Assumptions'!$B$27)+(ROUND('Key Assumptions'!$B$17*'Key Assumptions'!$B$10,0)*'Key Assumptions'!$B$24+H41*'Key Assumptions'!$B$26*'Key Assumptions'!$B$25)-((H41*('Key Assumptions'!$B$21*IF(7&gt;='Key Assumptions'!$B$22,1+'Key Assumptions'!$B$23,1)*'Key Assumptions'!$D$10)+H41*'Key Assumptions'!$B$30+'Key Assumptions'!$B$29)+(ROUND('Key Assumptions'!$B$17*'Key Assumptions'!$B$10,0)*'Key Assumptions'!$B$24+H41*'Key Assumptions'!$B$26*'Key Assumptions'!$B$25))*'Key Assumptions'!$B$28</s:f>
        <s:v>347644.8604843333</s:v>
      </s:c>
      <s:c r="I42" s="16">
        <s:f>(I41*('Key Assumptions'!$B$21*IF(8&gt;='Key Assumptions'!$B$22,1+'Key Assumptions'!$B$23,1)*'Key Assumptions'!$D$10)+I41*'Key Assumptions'!$B$30+'Key Assumptions'!$B$29)*(1-'Key Assumptions'!$B$27)+(ROUND('Key Assumptions'!$B$17*'Key Assumptions'!$B$10,0)*'Key Assumptions'!$B$24+I41*'Key Assumptions'!$B$26*'Key Assumptions'!$B$25)-((I41*('Key Assumptions'!$B$21*IF(8&gt;='Key Assumptions'!$B$22,1+'Key Assumptions'!$B$23,1)*'Key Assumptions'!$D$10)+I41*'Key Assumptions'!$B$30+'Key Assumptions'!$B$29)+(ROUND('Key Assumptions'!$B$17*'Key Assumptions'!$B$10,0)*'Key Assumptions'!$B$24+I41*'Key Assumptions'!$B$26*'Key Assumptions'!$B$25))*'Key Assumptions'!$B$28</s:f>
        <s:v>349137.26492233336</s:v>
      </s:c>
      <s:c r="J42" s="16">
        <s:f>(J41*('Key Assumptions'!$B$21*IF(9&gt;='Key Assumptions'!$B$22,1+'Key Assumptions'!$B$23,1)*'Key Assumptions'!$D$10)+J41*'Key Assumptions'!$B$30+'Key Assumptions'!$B$29)*(1-'Key Assumptions'!$B$27)+(ROUND('Key Assumptions'!$B$17*'Key Assumptions'!$B$10,0)*'Key Assumptions'!$B$24+J41*'Key Assumptions'!$B$26*'Key Assumptions'!$B$25)-((J41*('Key Assumptions'!$B$21*IF(9&gt;='Key Assumptions'!$B$22,1+'Key Assumptions'!$B$23,1)*'Key Assumptions'!$D$10)+J41*'Key Assumptions'!$B$30+'Key Assumptions'!$B$29)+(ROUND('Key Assumptions'!$B$17*'Key Assumptions'!$B$10,0)*'Key Assumptions'!$B$24+J41*'Key Assumptions'!$B$26*'Key Assumptions'!$B$25))*'Key Assumptions'!$B$28</s:f>
        <s:v>350590.3955593333</s:v>
      </s:c>
      <s:c r="K42" s="16">
        <s:f>(K41*('Key Assumptions'!$B$21*IF(10&gt;='Key Assumptions'!$B$22,1+'Key Assumptions'!$B$23,1)*'Key Assumptions'!$D$10)+K41*'Key Assumptions'!$B$30+'Key Assumptions'!$B$29)*(1-'Key Assumptions'!$B$27)+(ROUND('Key Assumptions'!$B$17*'Key Assumptions'!$B$10,0)*'Key Assumptions'!$B$24+K41*'Key Assumptions'!$B$26*'Key Assumptions'!$B$25)-((K41*('Key Assumptions'!$B$21*IF(10&gt;='Key Assumptions'!$B$22,1+'Key Assumptions'!$B$23,1)*'Key Assumptions'!$D$10)+K41*'Key Assumptions'!$B$30+'Key Assumptions'!$B$29)+(ROUND('Key Assumptions'!$B$17*'Key Assumptions'!$B$10,0)*'Key Assumptions'!$B$24+K41*'Key Assumptions'!$B$26*'Key Assumptions'!$B$25))*'Key Assumptions'!$B$28</s:f>
        <s:v>352004.2523953334</s:v>
      </s:c>
      <s:c r="L42" s="16">
        <s:f>(L41*('Key Assumptions'!$B$21*IF(11&gt;='Key Assumptions'!$B$22,1+'Key Assumptions'!$B$23,1)*'Key Assumptions'!$D$10)+L41*'Key Assumptions'!$B$30+'Key Assumptions'!$B$29)*(1-'Key Assumptions'!$B$27)+(ROUND('Key Assumptions'!$B$17*'Key Assumptions'!$B$10,0)*'Key Assumptions'!$B$24+L41*'Key Assumptions'!$B$26*'Key Assumptions'!$B$25)-((L41*('Key Assumptions'!$B$21*IF(11&gt;='Key Assumptions'!$B$22,1+'Key Assumptions'!$B$23,1)*'Key Assumptions'!$D$10)+L41*'Key Assumptions'!$B$30+'Key Assumptions'!$B$29)+(ROUND('Key Assumptions'!$B$17*'Key Assumptions'!$B$10,0)*'Key Assumptions'!$B$24+L41*'Key Assumptions'!$B$26*'Key Assumptions'!$B$25))*'Key Assumptions'!$B$28</s:f>
        <s:v>353418.1092313333</s:v>
      </s:c>
      <s:c r="M42" s="16">
        <s:f>(M41*('Key Assumptions'!$B$21*IF(12&gt;='Key Assumptions'!$B$22,1+'Key Assumptions'!$B$23,1)*'Key Assumptions'!$D$10)+M41*'Key Assumptions'!$B$30+'Key Assumptions'!$B$29)*(1-'Key Assumptions'!$B$27)+(ROUND('Key Assumptions'!$B$17*'Key Assumptions'!$B$10,0)*'Key Assumptions'!$B$24+M41*'Key Assumptions'!$B$26*'Key Assumptions'!$B$25)-((M41*('Key Assumptions'!$B$21*IF(12&gt;='Key Assumptions'!$B$22,1+'Key Assumptions'!$B$23,1)*'Key Assumptions'!$D$10)+M41*'Key Assumptions'!$B$30+'Key Assumptions'!$B$29)+(ROUND('Key Assumptions'!$B$17*'Key Assumptions'!$B$10,0)*'Key Assumptions'!$B$24+M41*'Key Assumptions'!$B$26*'Key Assumptions'!$B$25))*'Key Assumptions'!$B$28</s:f>
        <s:v>354831.9660673333</s:v>
      </s:c>
      <s:c r="N42" s="71">
        <s:f>SUM(B42:M42)</s:f>
        <s:v>4106862.26026</s:v>
      </s:c>
    </s:row>
    <s:row r="43">
      <s:c r="A43" s="15" t="inlineStr">
        <s:is>
          <s:t>Business beginning cust</s:t>
        </s:is>
      </s:c>
      <s:c r="B43" s="67">
        <s:f>'Key Assumptions'!$B$35</s:f>
        <s:v>249</s:v>
      </s:c>
      <s:c r="C43" s="68">
        <s:f>B44</s:f>
        <s:v>253</s:v>
      </s:c>
      <s:c r="D43" s="68">
        <s:f>C44</s:f>
        <s:v>257</s:v>
      </s:c>
      <s:c r="E43" s="68">
        <s:f>D44</s:f>
        <s:v>261</s:v>
      </s:c>
      <s:c r="F43" s="68">
        <s:f>E44</s:f>
        <s:v>265</s:v>
      </s:c>
      <s:c r="G43" s="68">
        <s:f>F44</s:f>
        <s:v>269</s:v>
      </s:c>
      <s:c r="H43" s="68">
        <s:f>G44</s:f>
        <s:v>273</s:v>
      </s:c>
      <s:c r="I43" s="68">
        <s:f>H44</s:f>
        <s:v>277</s:v>
      </s:c>
      <s:c r="J43" s="68">
        <s:f>I44</s:f>
        <s:v>281</s:v>
      </s:c>
      <s:c r="K43" s="68">
        <s:f>J44</s:f>
        <s:v>285</s:v>
      </s:c>
      <s:c r="L43" s="68">
        <s:f>K44</s:f>
        <s:v>289</s:v>
      </s:c>
      <s:c r="M43" s="68">
        <s:f>L44</s:f>
        <s:v>293</s:v>
      </s:c>
    </s:row>
    <s:row r="44">
      <s:c r="A44" s="15" t="inlineStr">
        <s:is>
          <s:t>Business ending cust</s:t>
        </s:is>
      </s:c>
      <s:c r="B44" s="68">
        <s:f>MAX(0,B43+ROUND(('Key Assumptions'!$B$36+'Key Assumptions'!$B$37)*'Key Assumptions'!$E$10,0)+'Key Assumptions'!$B$40-ROUND(B43*'Key Assumptions'!$B$38*'Key Assumptions'!$F$10,0)-'Key Assumptions'!$B$39)</s:f>
        <s:v>253</s:v>
      </s:c>
      <s:c r="C44" s="68">
        <s:f>MAX(0,C43+ROUND(('Key Assumptions'!$B$36+'Key Assumptions'!$B$37)*'Key Assumptions'!$E$10,0)+'Key Assumptions'!$B$40-ROUND(C43*'Key Assumptions'!$B$38*'Key Assumptions'!$F$10,0)-'Key Assumptions'!$B$39)</s:f>
        <s:v>257</s:v>
      </s:c>
      <s:c r="D44" s="68">
        <s:f>MAX(0,D43+ROUND(('Key Assumptions'!$B$36+'Key Assumptions'!$B$37)*'Key Assumptions'!$E$10,0)+'Key Assumptions'!$B$40-ROUND(D43*'Key Assumptions'!$B$38*'Key Assumptions'!$F$10,0)-'Key Assumptions'!$B$39)</s:f>
        <s:v>261</s:v>
      </s:c>
      <s:c r="E44" s="68">
        <s:f>MAX(0,E43+ROUND(('Key Assumptions'!$B$36+'Key Assumptions'!$B$37)*'Key Assumptions'!$E$10,0)+'Key Assumptions'!$B$40-ROUND(E43*'Key Assumptions'!$B$38*'Key Assumptions'!$F$10,0)-'Key Assumptions'!$B$39)</s:f>
        <s:v>265</s:v>
      </s:c>
      <s:c r="F44" s="68">
        <s:f>MAX(0,F43+ROUND(('Key Assumptions'!$B$36+'Key Assumptions'!$B$37)*'Key Assumptions'!$E$10,0)+'Key Assumptions'!$B$40-ROUND(F43*'Key Assumptions'!$B$38*'Key Assumptions'!$F$10,0)-'Key Assumptions'!$B$39)</s:f>
        <s:v>269</s:v>
      </s:c>
      <s:c r="G44" s="68">
        <s:f>MAX(0,G43+ROUND(('Key Assumptions'!$B$36+'Key Assumptions'!$B$37)*'Key Assumptions'!$E$10,0)+'Key Assumptions'!$B$40-ROUND(G43*'Key Assumptions'!$B$38*'Key Assumptions'!$F$10,0)-'Key Assumptions'!$B$39)</s:f>
        <s:v>273</s:v>
      </s:c>
      <s:c r="H44" s="68">
        <s:f>MAX(0,H43+ROUND(('Key Assumptions'!$B$36+'Key Assumptions'!$B$37)*'Key Assumptions'!$E$10,0)+'Key Assumptions'!$B$40-ROUND(H43*'Key Assumptions'!$B$38*'Key Assumptions'!$F$10,0)-'Key Assumptions'!$B$39)</s:f>
        <s:v>277</s:v>
      </s:c>
      <s:c r="I44" s="68">
        <s:f>MAX(0,I43+ROUND(('Key Assumptions'!$B$36+'Key Assumptions'!$B$37)*'Key Assumptions'!$E$10,0)+'Key Assumptions'!$B$40-ROUND(I43*'Key Assumptions'!$B$38*'Key Assumptions'!$F$10,0)-'Key Assumptions'!$B$39)</s:f>
        <s:v>281</s:v>
      </s:c>
      <s:c r="J44" s="68">
        <s:f>MAX(0,J43+ROUND(('Key Assumptions'!$B$36+'Key Assumptions'!$B$37)*'Key Assumptions'!$E$10,0)+'Key Assumptions'!$B$40-ROUND(J43*'Key Assumptions'!$B$38*'Key Assumptions'!$F$10,0)-'Key Assumptions'!$B$39)</s:f>
        <s:v>285</s:v>
      </s:c>
      <s:c r="K44" s="68">
        <s:f>MAX(0,K43+ROUND(('Key Assumptions'!$B$36+'Key Assumptions'!$B$37)*'Key Assumptions'!$E$10,0)+'Key Assumptions'!$B$40-ROUND(K43*'Key Assumptions'!$B$38*'Key Assumptions'!$F$10,0)-'Key Assumptions'!$B$39)</s:f>
        <s:v>289</s:v>
      </s:c>
      <s:c r="L44" s="68">
        <s:f>MAX(0,L43+ROUND(('Key Assumptions'!$B$36+'Key Assumptions'!$B$37)*'Key Assumptions'!$E$10,0)+'Key Assumptions'!$B$40-ROUND(L43*'Key Assumptions'!$B$38*'Key Assumptions'!$F$10,0)-'Key Assumptions'!$B$39)</s:f>
        <s:v>293</s:v>
      </s:c>
      <s:c r="M44" s="68">
        <s:f>MAX(0,M43+ROUND(('Key Assumptions'!$B$36+'Key Assumptions'!$B$37)*'Key Assumptions'!$E$10,0)+'Key Assumptions'!$B$40-ROUND(M43*'Key Assumptions'!$B$38*'Key Assumptions'!$F$10,0)-'Key Assumptions'!$B$39)</s:f>
        <s:v>297</s:v>
      </s:c>
    </s:row>
    <s:row r="45">
      <s:c r="A45" s="15" t="inlineStr">
        <s:is>
          <s:t>Business avg cust</s:t>
        </s:is>
      </s:c>
      <s:c r="B45" s="68">
        <s:f>(B43+B44)/2</s:f>
        <s:v>251</s:v>
      </s:c>
      <s:c r="C45" s="68">
        <s:f>(C43+C44)/2</s:f>
        <s:v>255</s:v>
      </s:c>
      <s:c r="D45" s="68">
        <s:f>(D43+D44)/2</s:f>
        <s:v>259</s:v>
      </s:c>
      <s:c r="E45" s="68">
        <s:f>(E43+E44)/2</s:f>
        <s:v>263</s:v>
      </s:c>
      <s:c r="F45" s="68">
        <s:f>(F43+F44)/2</s:f>
        <s:v>267</s:v>
      </s:c>
      <s:c r="G45" s="68">
        <s:f>(G43+G44)/2</s:f>
        <s:v>271</s:v>
      </s:c>
      <s:c r="H45" s="68">
        <s:f>(H43+H44)/2</s:f>
        <s:v>275</s:v>
      </s:c>
      <s:c r="I45" s="68">
        <s:f>(I43+I44)/2</s:f>
        <s:v>279</s:v>
      </s:c>
      <s:c r="J45" s="68">
        <s:f>(J43+J44)/2</s:f>
        <s:v>283</s:v>
      </s:c>
      <s:c r="K45" s="68">
        <s:f>(K43+K44)/2</s:f>
        <s:v>287</s:v>
      </s:c>
      <s:c r="L45" s="68">
        <s:f>(L43+L44)/2</s:f>
        <s:v>291</s:v>
      </s:c>
      <s:c r="M45" s="68">
        <s:f>(M43+M44)/2</s:f>
        <s:v>295</s:v>
      </s:c>
    </s:row>
    <s:row r="46">
      <s:c r="A46" s="15" t="inlineStr">
        <s:is>
          <s:t>Enterprise beginning</s:t>
        </s:is>
      </s:c>
      <s:c r="B46" s="67">
        <s:f>'Key Assumptions'!$B$57</s:f>
        <s:v>0</s:v>
      </s:c>
      <s:c r="C46" s="68">
        <s:f>B47</s:f>
        <s:v>1</s:v>
      </s:c>
      <s:c r="D46" s="68">
        <s:f>C47</s:f>
        <s:v>2</s:v>
      </s:c>
      <s:c r="E46" s="68">
        <s:f>D47</s:f>
        <s:v>3</s:v>
      </s:c>
      <s:c r="F46" s="68">
        <s:f>E47</s:f>
        <s:v>4</s:v>
      </s:c>
      <s:c r="G46" s="68">
        <s:f>F47</s:f>
        <s:v>5</s:v>
      </s:c>
      <s:c r="H46" s="68">
        <s:f>G47</s:f>
        <s:v>6</s:v>
      </s:c>
      <s:c r="I46" s="68">
        <s:f>H47</s:f>
        <s:v>7</s:v>
      </s:c>
      <s:c r="J46" s="68">
        <s:f>I47</s:f>
        <s:v>8</s:v>
      </s:c>
      <s:c r="K46" s="68">
        <s:f>J47</s:f>
        <s:v>9</s:v>
      </s:c>
      <s:c r="L46" s="68">
        <s:f>K47</s:f>
        <s:v>10</s:v>
      </s:c>
      <s:c r="M46" s="68">
        <s:f>L47</s:f>
        <s:v>11</s:v>
      </s:c>
    </s:row>
    <s:row r="47">
      <s:c r="A47" s="15" t="inlineStr">
        <s:is>
          <s:t>Enterprise ending</s:t>
        </s:is>
      </s:c>
      <s:c r="B47" s="68">
        <s:f>MAX(0,B46+ROUND('Key Assumptions'!$B$37*'Key Assumptions'!$E$10,0)-ROUND(B46*'Key Assumptions'!$B$38*'Key Assumptions'!$F$10,0))</s:f>
        <s:v>1</s:v>
      </s:c>
      <s:c r="C47" s="68">
        <s:f>MAX(0,C46+ROUND('Key Assumptions'!$B$37*'Key Assumptions'!$E$10,0)-ROUND(C46*'Key Assumptions'!$B$38*'Key Assumptions'!$F$10,0))</s:f>
        <s:v>2</s:v>
      </s:c>
      <s:c r="D47" s="68">
        <s:f>MAX(0,D46+ROUND('Key Assumptions'!$B$37*'Key Assumptions'!$E$10,0)-ROUND(D46*'Key Assumptions'!$B$38*'Key Assumptions'!$F$10,0))</s:f>
        <s:v>3</s:v>
      </s:c>
      <s:c r="E47" s="68">
        <s:f>MAX(0,E46+ROUND('Key Assumptions'!$B$37*'Key Assumptions'!$E$10,0)-ROUND(E46*'Key Assumptions'!$B$38*'Key Assumptions'!$F$10,0))</s:f>
        <s:v>4</s:v>
      </s:c>
      <s:c r="F47" s="68">
        <s:f>MAX(0,F46+ROUND('Key Assumptions'!$B$37*'Key Assumptions'!$E$10,0)-ROUND(F46*'Key Assumptions'!$B$38*'Key Assumptions'!$F$10,0))</s:f>
        <s:v>5</s:v>
      </s:c>
      <s:c r="G47" s="68">
        <s:f>MAX(0,G46+ROUND('Key Assumptions'!$B$37*'Key Assumptions'!$E$10,0)-ROUND(G46*'Key Assumptions'!$B$38*'Key Assumptions'!$F$10,0))</s:f>
        <s:v>6</s:v>
      </s:c>
      <s:c r="H47" s="68">
        <s:f>MAX(0,H46+ROUND('Key Assumptions'!$B$37*'Key Assumptions'!$E$10,0)-ROUND(H46*'Key Assumptions'!$B$38*'Key Assumptions'!$F$10,0))</s:f>
        <s:v>7</s:v>
      </s:c>
      <s:c r="I47" s="68">
        <s:f>MAX(0,I46+ROUND('Key Assumptions'!$B$37*'Key Assumptions'!$E$10,0)-ROUND(I46*'Key Assumptions'!$B$38*'Key Assumptions'!$F$10,0))</s:f>
        <s:v>8</s:v>
      </s:c>
      <s:c r="J47" s="68">
        <s:f>MAX(0,J46+ROUND('Key Assumptions'!$B$37*'Key Assumptions'!$E$10,0)-ROUND(J46*'Key Assumptions'!$B$38*'Key Assumptions'!$F$10,0))</s:f>
        <s:v>9</s:v>
      </s:c>
      <s:c r="K47" s="68">
        <s:f>MAX(0,K46+ROUND('Key Assumptions'!$B$37*'Key Assumptions'!$E$10,0)-ROUND(K46*'Key Assumptions'!$B$38*'Key Assumptions'!$F$10,0))</s:f>
        <s:v>10</s:v>
      </s:c>
      <s:c r="L47" s="68">
        <s:f>MAX(0,L46+ROUND('Key Assumptions'!$B$37*'Key Assumptions'!$E$10,0)-ROUND(L46*'Key Assumptions'!$B$38*'Key Assumptions'!$F$10,0))</s:f>
        <s:v>11</s:v>
      </s:c>
      <s:c r="M47" s="68">
        <s:f>MAX(0,M46+ROUND('Key Assumptions'!$B$37*'Key Assumptions'!$E$10,0)-ROUND(M46*'Key Assumptions'!$B$38*'Key Assumptions'!$F$10,0))</s:f>
        <s:v>12</s:v>
      </s:c>
    </s:row>
    <s:row r="48">
      <s:c r="A48" s="15" t="inlineStr">
        <s:is>
          <s:t>Enterprise avg</s:t>
        </s:is>
      </s:c>
      <s:c r="B48" s="68">
        <s:f>(B46+B47)/2</s:f>
        <s:v>0.5</s:v>
      </s:c>
      <s:c r="C48" s="68">
        <s:f>(C46+C47)/2</s:f>
        <s:v>1.5</s:v>
      </s:c>
      <s:c r="D48" s="68">
        <s:f>(D46+D47)/2</s:f>
        <s:v>2.5</s:v>
      </s:c>
      <s:c r="E48" s="68">
        <s:f>(E46+E47)/2</s:f>
        <s:v>3.5</s:v>
      </s:c>
      <s:c r="F48" s="68">
        <s:f>(F46+F47)/2</s:f>
        <s:v>4.5</s:v>
      </s:c>
      <s:c r="G48" s="68">
        <s:f>(G46+G47)/2</s:f>
        <s:v>5.5</s:v>
      </s:c>
      <s:c r="H48" s="68">
        <s:f>(H46+H47)/2</s:f>
        <s:v>6.5</s:v>
      </s:c>
      <s:c r="I48" s="68">
        <s:f>(I46+I47)/2</s:f>
        <s:v>7.5</s:v>
      </s:c>
      <s:c r="J48" s="68">
        <s:f>(J46+J47)/2</s:f>
        <s:v>8.5</s:v>
      </s:c>
      <s:c r="K48" s="68">
        <s:f>(K46+K47)/2</s:f>
        <s:v>9.5</s:v>
      </s:c>
      <s:c r="L48" s="68">
        <s:f>(L46+L47)/2</s:f>
        <s:v>10.5</s:v>
      </s:c>
      <s:c r="M48" s="68">
        <s:f>(M46+M47)/2</s:f>
        <s:v>11.5</s:v>
      </s:c>
    </s:row>
    <s:row r="49">
      <s:c r="A49" s="3" t="inlineStr">
        <s:is>
          <s:t>Business net revenue</s:t>
        </s:is>
      </s:c>
      <s:c r="B49" s="16">
        <s:f>(B45*('Key Assumptions'!$B$41*IF(1&gt;='Key Assumptions'!$B$42,1+'Key Assumptions'!$B$43,1)*'Key Assumptions'!$G$10)+B45*('Key Assumptions'!$B$45+'Key Assumptions'!$B$46+'Key Assumptions'!$B$47+'Key Assumptions'!$B$49)+B48*'Key Assumptions'!$B$48)*(1-'Key Assumptions'!$B$54)+(ROUND(('Key Assumptions'!$B$36+'Key Assumptions'!$B$37)*'Key Assumptions'!$E$10,0)*('Key Assumptions'!$B$44+'Key Assumptions'!$B$50+'Key Assumptions'!$B$51)+'Key Assumptions'!$B$52+'Key Assumptions'!$B$53)-((B45*('Key Assumptions'!$B$41*IF(1&gt;='Key Assumptions'!$B$42,1+'Key Assumptions'!$B$43,1)*'Key Assumptions'!$G$10)+B45*('Key Assumptions'!$B$45+'Key Assumptions'!$B$46+'Key Assumptions'!$B$47+'Key Assumptions'!$B$49)+B48*'Key Assumptions'!$B$48)+(ROUND(('Key Assumptions'!$B$36+'Key Assumptions'!$B$37)*'Key Assumptions'!$E$10,0)*('Key Assumptions'!$B$44+'Key Assumptions'!$B$50+'Key Assumptions'!$B$51)+'Key Assumptions'!$B$52+'Key Assumptions'!$B$53))*'Key Assumptions'!$B$55</s:f>
        <s:v>46955.88375</s:v>
      </s:c>
      <s:c r="C49" s="16">
        <s:f>(C45*('Key Assumptions'!$B$41*IF(2&gt;='Key Assumptions'!$B$42,1+'Key Assumptions'!$B$43,1)*'Key Assumptions'!$G$10)+C45*('Key Assumptions'!$B$45+'Key Assumptions'!$B$46+'Key Assumptions'!$B$47+'Key Assumptions'!$B$49)+C48*'Key Assumptions'!$B$48)*(1-'Key Assumptions'!$B$54)+(ROUND(('Key Assumptions'!$B$36+'Key Assumptions'!$B$37)*'Key Assumptions'!$E$10,0)*('Key Assumptions'!$B$44+'Key Assumptions'!$B$50+'Key Assumptions'!$B$51)+'Key Assumptions'!$B$52+'Key Assumptions'!$B$53)-((C45*('Key Assumptions'!$B$41*IF(2&gt;='Key Assumptions'!$B$42,1+'Key Assumptions'!$B$43,1)*'Key Assumptions'!$G$10)+C45*('Key Assumptions'!$B$45+'Key Assumptions'!$B$46+'Key Assumptions'!$B$47+'Key Assumptions'!$B$49)+C48*'Key Assumptions'!$B$48)+(ROUND(('Key Assumptions'!$B$36+'Key Assumptions'!$B$37)*'Key Assumptions'!$E$10,0)*('Key Assumptions'!$B$44+'Key Assumptions'!$B$50+'Key Assumptions'!$B$51)+'Key Assumptions'!$B$52+'Key Assumptions'!$B$53))*'Key Assumptions'!$B$55</s:f>
        <s:v>47592.16875</s:v>
      </s:c>
      <s:c r="D49" s="16">
        <s:f>(D45*('Key Assumptions'!$B$41*IF(3&gt;='Key Assumptions'!$B$42,1+'Key Assumptions'!$B$43,1)*'Key Assumptions'!$G$10)+D45*('Key Assumptions'!$B$45+'Key Assumptions'!$B$46+'Key Assumptions'!$B$47+'Key Assumptions'!$B$49)+D48*'Key Assumptions'!$B$48)*(1-'Key Assumptions'!$B$54)+(ROUND(('Key Assumptions'!$B$36+'Key Assumptions'!$B$37)*'Key Assumptions'!$E$10,0)*('Key Assumptions'!$B$44+'Key Assumptions'!$B$50+'Key Assumptions'!$B$51)+'Key Assumptions'!$B$52+'Key Assumptions'!$B$53)-((D45*('Key Assumptions'!$B$41*IF(3&gt;='Key Assumptions'!$B$42,1+'Key Assumptions'!$B$43,1)*'Key Assumptions'!$G$10)+D45*('Key Assumptions'!$B$45+'Key Assumptions'!$B$46+'Key Assumptions'!$B$47+'Key Assumptions'!$B$49)+D48*'Key Assumptions'!$B$48)+(ROUND(('Key Assumptions'!$B$36+'Key Assumptions'!$B$37)*'Key Assumptions'!$E$10,0)*('Key Assumptions'!$B$44+'Key Assumptions'!$B$50+'Key Assumptions'!$B$51)+'Key Assumptions'!$B$52+'Key Assumptions'!$B$53))*'Key Assumptions'!$B$55</s:f>
        <s:v>48228.45375000001</s:v>
      </s:c>
      <s:c r="E49" s="16">
        <s:f>(E45*('Key Assumptions'!$B$41*IF(4&gt;='Key Assumptions'!$B$42,1+'Key Assumptions'!$B$43,1)*'Key Assumptions'!$G$10)+E45*('Key Assumptions'!$B$45+'Key Assumptions'!$B$46+'Key Assumptions'!$B$47+'Key Assumptions'!$B$49)+E48*'Key Assumptions'!$B$48)*(1-'Key Assumptions'!$B$54)+(ROUND(('Key Assumptions'!$B$36+'Key Assumptions'!$B$37)*'Key Assumptions'!$E$10,0)*('Key Assumptions'!$B$44+'Key Assumptions'!$B$50+'Key Assumptions'!$B$51)+'Key Assumptions'!$B$52+'Key Assumptions'!$B$53)-((E45*('Key Assumptions'!$B$41*IF(4&gt;='Key Assumptions'!$B$42,1+'Key Assumptions'!$B$43,1)*'Key Assumptions'!$G$10)+E45*('Key Assumptions'!$B$45+'Key Assumptions'!$B$46+'Key Assumptions'!$B$47+'Key Assumptions'!$B$49)+E48*'Key Assumptions'!$B$48)+(ROUND(('Key Assumptions'!$B$36+'Key Assumptions'!$B$37)*'Key Assumptions'!$E$10,0)*('Key Assumptions'!$B$44+'Key Assumptions'!$B$50+'Key Assumptions'!$B$51)+'Key Assumptions'!$B$52+'Key Assumptions'!$B$53))*'Key Assumptions'!$B$55</s:f>
        <s:v>48864.73875</s:v>
      </s:c>
      <s:c r="F49" s="16">
        <s:f>(F45*('Key Assumptions'!$B$41*IF(5&gt;='Key Assumptions'!$B$42,1+'Key Assumptions'!$B$43,1)*'Key Assumptions'!$G$10)+F45*('Key Assumptions'!$B$45+'Key Assumptions'!$B$46+'Key Assumptions'!$B$47+'Key Assumptions'!$B$49)+F48*'Key Assumptions'!$B$48)*(1-'Key Assumptions'!$B$54)+(ROUND(('Key Assumptions'!$B$36+'Key Assumptions'!$B$37)*'Key Assumptions'!$E$10,0)*('Key Assumptions'!$B$44+'Key Assumptions'!$B$50+'Key Assumptions'!$B$51)+'Key Assumptions'!$B$52+'Key Assumptions'!$B$53)-((F45*('Key Assumptions'!$B$41*IF(5&gt;='Key Assumptions'!$B$42,1+'Key Assumptions'!$B$43,1)*'Key Assumptions'!$G$10)+F45*('Key Assumptions'!$B$45+'Key Assumptions'!$B$46+'Key Assumptions'!$B$47+'Key Assumptions'!$B$49)+F48*'Key Assumptions'!$B$48)+(ROUND(('Key Assumptions'!$B$36+'Key Assumptions'!$B$37)*'Key Assumptions'!$E$10,0)*('Key Assumptions'!$B$44+'Key Assumptions'!$B$50+'Key Assumptions'!$B$51)+'Key Assumptions'!$B$52+'Key Assumptions'!$B$53))*'Key Assumptions'!$B$55</s:f>
        <s:v>49501.02374999999</s:v>
      </s:c>
      <s:c r="G49" s="16">
        <s:f>(G45*('Key Assumptions'!$B$41*IF(6&gt;='Key Assumptions'!$B$42,1+'Key Assumptions'!$B$43,1)*'Key Assumptions'!$G$10)+G45*('Key Assumptions'!$B$45+'Key Assumptions'!$B$46+'Key Assumptions'!$B$47+'Key Assumptions'!$B$49)+G48*'Key Assumptions'!$B$48)*(1-'Key Assumptions'!$B$54)+(ROUND(('Key Assumptions'!$B$36+'Key Assumptions'!$B$37)*'Key Assumptions'!$E$10,0)*('Key Assumptions'!$B$44+'Key Assumptions'!$B$50+'Key Assumptions'!$B$51)+'Key Assumptions'!$B$52+'Key Assumptions'!$B$53)-((G45*('Key Assumptions'!$B$41*IF(6&gt;='Key Assumptions'!$B$42,1+'Key Assumptions'!$B$43,1)*'Key Assumptions'!$G$10)+G45*('Key Assumptions'!$B$45+'Key Assumptions'!$B$46+'Key Assumptions'!$B$47+'Key Assumptions'!$B$49)+G48*'Key Assumptions'!$B$48)+(ROUND(('Key Assumptions'!$B$36+'Key Assumptions'!$B$37)*'Key Assumptions'!$E$10,0)*('Key Assumptions'!$B$44+'Key Assumptions'!$B$50+'Key Assumptions'!$B$51)+'Key Assumptions'!$B$52+'Key Assumptions'!$B$53))*'Key Assumptions'!$B$55</s:f>
        <s:v>50137.308750000004</s:v>
      </s:c>
      <s:c r="H49" s="16">
        <s:f>(H45*('Key Assumptions'!$B$41*IF(7&gt;='Key Assumptions'!$B$42,1+'Key Assumptions'!$B$43,1)*'Key Assumptions'!$G$10)+H45*('Key Assumptions'!$B$45+'Key Assumptions'!$B$46+'Key Assumptions'!$B$47+'Key Assumptions'!$B$49)+H48*'Key Assumptions'!$B$48)*(1-'Key Assumptions'!$B$54)+(ROUND(('Key Assumptions'!$B$36+'Key Assumptions'!$B$37)*'Key Assumptions'!$E$10,0)*('Key Assumptions'!$B$44+'Key Assumptions'!$B$50+'Key Assumptions'!$B$51)+'Key Assumptions'!$B$52+'Key Assumptions'!$B$53)-((H45*('Key Assumptions'!$B$41*IF(7&gt;='Key Assumptions'!$B$42,1+'Key Assumptions'!$B$43,1)*'Key Assumptions'!$G$10)+H45*('Key Assumptions'!$B$45+'Key Assumptions'!$B$46+'Key Assumptions'!$B$47+'Key Assumptions'!$B$49)+H48*'Key Assumptions'!$B$48)+(ROUND(('Key Assumptions'!$B$36+'Key Assumptions'!$B$37)*'Key Assumptions'!$E$10,0)*('Key Assumptions'!$B$44+'Key Assumptions'!$B$50+'Key Assumptions'!$B$51)+'Key Assumptions'!$B$52+'Key Assumptions'!$B$53))*'Key Assumptions'!$B$55</s:f>
        <s:v>52008.0680625</s:v>
      </s:c>
      <s:c r="I49" s="16">
        <s:f>(I45*('Key Assumptions'!$B$41*IF(8&gt;='Key Assumptions'!$B$42,1+'Key Assumptions'!$B$43,1)*'Key Assumptions'!$G$10)+I45*('Key Assumptions'!$B$45+'Key Assumptions'!$B$46+'Key Assumptions'!$B$47+'Key Assumptions'!$B$49)+I48*'Key Assumptions'!$B$48)*(1-'Key Assumptions'!$B$54)+(ROUND(('Key Assumptions'!$B$36+'Key Assumptions'!$B$37)*'Key Assumptions'!$E$10,0)*('Key Assumptions'!$B$44+'Key Assumptions'!$B$50+'Key Assumptions'!$B$51)+'Key Assumptions'!$B$52+'Key Assumptions'!$B$53)-((I45*('Key Assumptions'!$B$41*IF(8&gt;='Key Assumptions'!$B$42,1+'Key Assumptions'!$B$43,1)*'Key Assumptions'!$G$10)+I45*('Key Assumptions'!$B$45+'Key Assumptions'!$B$46+'Key Assumptions'!$B$47+'Key Assumptions'!$B$49)+I48*'Key Assumptions'!$B$48)+(ROUND(('Key Assumptions'!$B$36+'Key Assumptions'!$B$37)*'Key Assumptions'!$E$10,0)*('Key Assumptions'!$B$44+'Key Assumptions'!$B$50+'Key Assumptions'!$B$51)+'Key Assumptions'!$B$52+'Key Assumptions'!$B$53))*'Key Assumptions'!$B$55</s:f>
        <s:v>52662.3090525</s:v>
      </s:c>
      <s:c r="J49" s="16">
        <s:f>(J45*('Key Assumptions'!$B$41*IF(9&gt;='Key Assumptions'!$B$42,1+'Key Assumptions'!$B$43,1)*'Key Assumptions'!$G$10)+J45*('Key Assumptions'!$B$45+'Key Assumptions'!$B$46+'Key Assumptions'!$B$47+'Key Assumptions'!$B$49)+J48*'Key Assumptions'!$B$48)*(1-'Key Assumptions'!$B$54)+(ROUND(('Key Assumptions'!$B$36+'Key Assumptions'!$B$37)*'Key Assumptions'!$E$10,0)*('Key Assumptions'!$B$44+'Key Assumptions'!$B$50+'Key Assumptions'!$B$51)+'Key Assumptions'!$B$52+'Key Assumptions'!$B$53)-((J45*('Key Assumptions'!$B$41*IF(9&gt;='Key Assumptions'!$B$42,1+'Key Assumptions'!$B$43,1)*'Key Assumptions'!$G$10)+J45*('Key Assumptions'!$B$45+'Key Assumptions'!$B$46+'Key Assumptions'!$B$47+'Key Assumptions'!$B$49)+J48*'Key Assumptions'!$B$48)+(ROUND(('Key Assumptions'!$B$36+'Key Assumptions'!$B$37)*'Key Assumptions'!$E$10,0)*('Key Assumptions'!$B$44+'Key Assumptions'!$B$50+'Key Assumptions'!$B$51)+'Key Assumptions'!$B$52+'Key Assumptions'!$B$53))*'Key Assumptions'!$B$55</s:f>
        <s:v>53316.55004250001</s:v>
      </s:c>
      <s:c r="K49" s="16">
        <s:f>(K45*('Key Assumptions'!$B$41*IF(10&gt;='Key Assumptions'!$B$42,1+'Key Assumptions'!$B$43,1)*'Key Assumptions'!$G$10)+K45*('Key Assumptions'!$B$45+'Key Assumptions'!$B$46+'Key Assumptions'!$B$47+'Key Assumptions'!$B$49)+K48*'Key Assumptions'!$B$48)*(1-'Key Assumptions'!$B$54)+(ROUND(('Key Assumptions'!$B$36+'Key Assumptions'!$B$37)*'Key Assumptions'!$E$10,0)*('Key Assumptions'!$B$44+'Key Assumptions'!$B$50+'Key Assumptions'!$B$51)+'Key Assumptions'!$B$52+'Key Assumptions'!$B$53)-((K45*('Key Assumptions'!$B$41*IF(10&gt;='Key Assumptions'!$B$42,1+'Key Assumptions'!$B$43,1)*'Key Assumptions'!$G$10)+K45*('Key Assumptions'!$B$45+'Key Assumptions'!$B$46+'Key Assumptions'!$B$47+'Key Assumptions'!$B$49)+K48*'Key Assumptions'!$B$48)+(ROUND(('Key Assumptions'!$B$36+'Key Assumptions'!$B$37)*'Key Assumptions'!$E$10,0)*('Key Assumptions'!$B$44+'Key Assumptions'!$B$50+'Key Assumptions'!$B$51)+'Key Assumptions'!$B$52+'Key Assumptions'!$B$53))*'Key Assumptions'!$B$55</s:f>
        <s:v>53970.79103250001</s:v>
      </s:c>
      <s:c r="L49" s="16">
        <s:f>(L45*('Key Assumptions'!$B$41*IF(11&gt;='Key Assumptions'!$B$42,1+'Key Assumptions'!$B$43,1)*'Key Assumptions'!$G$10)+L45*('Key Assumptions'!$B$45+'Key Assumptions'!$B$46+'Key Assumptions'!$B$47+'Key Assumptions'!$B$49)+L48*'Key Assumptions'!$B$48)*(1-'Key Assumptions'!$B$54)+(ROUND(('Key Assumptions'!$B$36+'Key Assumptions'!$B$37)*'Key Assumptions'!$E$10,0)*('Key Assumptions'!$B$44+'Key Assumptions'!$B$50+'Key Assumptions'!$B$51)+'Key Assumptions'!$B$52+'Key Assumptions'!$B$53)-((L45*('Key Assumptions'!$B$41*IF(11&gt;='Key Assumptions'!$B$42,1+'Key Assumptions'!$B$43,1)*'Key Assumptions'!$G$10)+L45*('Key Assumptions'!$B$45+'Key Assumptions'!$B$46+'Key Assumptions'!$B$47+'Key Assumptions'!$B$49)+L48*'Key Assumptions'!$B$48)+(ROUND(('Key Assumptions'!$B$36+'Key Assumptions'!$B$37)*'Key Assumptions'!$E$10,0)*('Key Assumptions'!$B$44+'Key Assumptions'!$B$50+'Key Assumptions'!$B$51)+'Key Assumptions'!$B$52+'Key Assumptions'!$B$53))*'Key Assumptions'!$B$55</s:f>
        <s:v>54625.0320225</s:v>
      </s:c>
      <s:c r="M49" s="16">
        <s:f>(M45*('Key Assumptions'!$B$41*IF(12&gt;='Key Assumptions'!$B$42,1+'Key Assumptions'!$B$43,1)*'Key Assumptions'!$G$10)+M45*('Key Assumptions'!$B$45+'Key Assumptions'!$B$46+'Key Assumptions'!$B$47+'Key Assumptions'!$B$49)+M48*'Key Assumptions'!$B$48)*(1-'Key Assumptions'!$B$54)+(ROUND(('Key Assumptions'!$B$36+'Key Assumptions'!$B$37)*'Key Assumptions'!$E$10,0)*('Key Assumptions'!$B$44+'Key Assumptions'!$B$50+'Key Assumptions'!$B$51)+'Key Assumptions'!$B$52+'Key Assumptions'!$B$53)-((M45*('Key Assumptions'!$B$41*IF(12&gt;='Key Assumptions'!$B$42,1+'Key Assumptions'!$B$43,1)*'Key Assumptions'!$G$10)+M45*('Key Assumptions'!$B$45+'Key Assumptions'!$B$46+'Key Assumptions'!$B$47+'Key Assumptions'!$B$49)+M48*'Key Assumptions'!$B$48)+(ROUND(('Key Assumptions'!$B$36+'Key Assumptions'!$B$37)*'Key Assumptions'!$E$10,0)*('Key Assumptions'!$B$44+'Key Assumptions'!$B$50+'Key Assumptions'!$B$51)+'Key Assumptions'!$B$52+'Key Assumptions'!$B$53))*'Key Assumptions'!$B$55</s:f>
        <s:v>55279.2730125</s:v>
      </s:c>
      <s:c r="N49" s="71">
        <s:f>SUM(B49:M49)</s:f>
        <s:v>613141.600725</s:v>
      </s:c>
    </s:row>
    <s:row r="50">
      <s:c r="A50" s="3" t="inlineStr">
        <s:is>
          <s:t>Dark fiber net revenue</s:t>
        </s:is>
      </s:c>
      <s:c r="B50" s="92">
        <s:f>'Dark Fiber Forecast'!Q43*'Key Assumptions'!$H$10</s:f>
        <s:v>1754.5000000000002</s:v>
      </s:c>
      <s:c r="C50" s="92">
        <s:f>'Dark Fiber Forecast'!R43*'Key Assumptions'!$H$10</s:f>
        <s:v>1754.5000000000002</s:v>
      </s:c>
      <s:c r="D50" s="92">
        <s:f>'Dark Fiber Forecast'!S43*'Key Assumptions'!$H$10</s:f>
        <s:v>1754.5000000000002</s:v>
      </s:c>
      <s:c r="E50" s="92">
        <s:f>'Dark Fiber Forecast'!T43*'Key Assumptions'!$H$10</s:f>
        <s:v>1754.5000000000002</s:v>
      </s:c>
      <s:c r="F50" s="92">
        <s:f>'Dark Fiber Forecast'!U43*'Key Assumptions'!$H$10</s:f>
        <s:v>1754.5000000000002</s:v>
      </s:c>
      <s:c r="G50" s="92">
        <s:f>'Dark Fiber Forecast'!V43*'Key Assumptions'!$H$10</s:f>
        <s:v>1754.5000000000002</s:v>
      </s:c>
      <s:c r="H50" s="92">
        <s:f>'Dark Fiber Forecast'!W43*'Key Assumptions'!$H$10</s:f>
        <s:v>1754.5000000000002</s:v>
      </s:c>
      <s:c r="I50" s="92">
        <s:f>'Dark Fiber Forecast'!X43*'Key Assumptions'!$H$10</s:f>
        <s:v>1754.5000000000002</s:v>
      </s:c>
      <s:c r="J50" s="92">
        <s:f>'Dark Fiber Forecast'!Y43*'Key Assumptions'!$H$10</s:f>
        <s:v>1754.5000000000002</s:v>
      </s:c>
      <s:c r="K50" s="92">
        <s:f>'Dark Fiber Forecast'!Z43*'Key Assumptions'!$H$10</s:f>
        <s:v>1754.5000000000002</s:v>
      </s:c>
      <s:c r="L50" s="92">
        <s:f>'Dark Fiber Forecast'!AA43*'Key Assumptions'!$H$10</s:f>
        <s:v>1754.5000000000002</s:v>
      </s:c>
      <s:c r="M50" s="92">
        <s:f>'Dark Fiber Forecast'!AB43*'Key Assumptions'!$H$10</s:f>
        <s:v>1754.5000000000002</s:v>
      </s:c>
      <s:c r="N50" s="71">
        <s:f>SUM(B50:M50)</s:f>
        <s:v>21054.000000000004</s:v>
      </s:c>
    </s:row>
    <s:row r="51">
      <s:c r="A51" s="3" t="inlineStr">
        <s:is>
          <s:t>TOTAL NET REVENUE</s:t>
        </s:is>
      </s:c>
      <s:c r="B51" s="99">
        <s:f>B42+B49+B50+IF(1&gt;='Key Assumptions'!$B$94,'Key Assumptions'!$B$93,0)</s:f>
        <s:v>435125.2488833333</s:v>
      </s:c>
      <s:c r="C51" s="99">
        <s:f>C42+C49+C50+IF(2&gt;='Key Assumptions'!$B$94,'Key Assumptions'!$B$93,0)</s:f>
        <s:v>437288.1258833333</s:v>
      </s:c>
      <s:c r="D51" s="99">
        <s:f>D42+D49+D50+IF(3&gt;='Key Assumptions'!$B$94,'Key Assumptions'!$B$93,0)</s:f>
        <s:v>439451.0028833333</s:v>
      </s:c>
      <s:c r="E51" s="99">
        <s:f>E42+E49+E50+IF(4&gt;='Key Assumptions'!$B$94,'Key Assumptions'!$B$93,0)</s:f>
        <s:v>441613.8798833334</s:v>
      </s:c>
      <s:c r="F51" s="99">
        <s:f>F42+F49+F50+IF(5&gt;='Key Assumptions'!$B$94,'Key Assumptions'!$B$93,0)</s:f>
        <s:v>443738.5920833333</s:v>
      </s:c>
      <s:c r="G51" s="99">
        <s:f>G42+G49+G50+IF(6&gt;='Key Assumptions'!$B$94,'Key Assumptions'!$B$93,0)</s:f>
        <s:v>445825.13948333333</s:v>
      </s:c>
      <s:c r="H51" s="99">
        <s:f>H42+H49+H50+IF(7&gt;='Key Assumptions'!$B$94,'Key Assumptions'!$B$93,0)</s:f>
        <s:v>458407.4285468333</s:v>
      </s:c>
      <s:c r="I51" s="99">
        <s:f>I42+I49+I50+IF(8&gt;='Key Assumptions'!$B$94,'Key Assumptions'!$B$93,0)</s:f>
        <s:v>460554.07397483336</s:v>
      </s:c>
      <s:c r="J51" s="99">
        <s:f>J42+J49+J50+IF(9&gt;='Key Assumptions'!$B$94,'Key Assumptions'!$B$93,0)</s:f>
        <s:v>462661.44560183334</s:v>
      </s:c>
      <s:c r="K51" s="99">
        <s:f>K42+K49+K50+IF(10&gt;='Key Assumptions'!$B$94,'Key Assumptions'!$B$93,0)</s:f>
        <s:v>464729.54342783336</s:v>
      </s:c>
      <s:c r="L51" s="99">
        <s:f>L42+L49+L50+IF(11&gt;='Key Assumptions'!$B$94,'Key Assumptions'!$B$93,0)</s:f>
        <s:v>466797.6412538333</s:v>
      </s:c>
      <s:c r="M51" s="99">
        <s:f>M42+M49+M50+IF(12&gt;='Key Assumptions'!$B$94,'Key Assumptions'!$B$93,0)</s:f>
        <s:v>468865.7390798333</s:v>
      </s:c>
      <s:c r="N51" s="99">
        <s:f>SUM(B51:M51)</s:f>
        <s:v>5425057.860985001</s:v>
      </s:c>
    </s:row>
    <s:row r="54">
      <s:c r="A54" s="17" t="inlineStr">
        <s:is>
          <s:t>SCENARIO COMPARISON — ANNUAL NET REVENUE</s:t>
        </s:is>
      </s:c>
    </s:row>
    <s:row r="55">
      <s:c r="A55" s="25" t="inlineStr">
        <s:is>
          <s:t>Scenario</s:t>
        </s:is>
      </s:c>
      <s:c r="B55" s="25" t="inlineStr">
        <s:is>
          <s:t>Annual Net Revenue</s:t>
        </s:is>
      </s:c>
      <s:c r="C55" s="25" t="inlineStr">
        <s:is>
          <s:t>vs Base</s:t>
        </s:is>
      </s:c>
    </s:row>
    <s:row r="56">
      <s:c r="A56" s="3" t="inlineStr">
        <s:is>
          <s:t>Conservative</s:t>
        </s:is>
      </s:c>
      <s:c r="B56" s="16">
        <s:f>N19</s:f>
        <s:v>4901645.198197</s:v>
      </s:c>
      <s:c r="C56" s="80">
        <s:f>IFERROR(N19/N35-1,0)</s:f>
        <s:v>-0.05054427762320679</s:v>
      </s:c>
    </s:row>
    <s:row r="57">
      <s:c r="A57" s="3" t="inlineStr">
        <s:is>
          <s:t>Base</s:t>
        </s:is>
      </s:c>
      <s:c r="B57" s="16">
        <s:f>N35</s:f>
        <s:v>5162584.2919</s:v>
      </s:c>
      <s:c r="C57" s="80">
        <s:f>IFERROR(N35/N35-1,0)</s:f>
        <s:v>0</s:v>
      </s:c>
    </s:row>
    <s:row r="58">
      <s:c r="A58" s="3" t="inlineStr">
        <s:is>
          <s:t>Aggressive</s:t>
        </s:is>
      </s:c>
      <s:c r="B58" s="16">
        <s:f>N51</s:f>
        <s:v>5425057.860985001</s:v>
      </s:c>
      <s:c r="C58" s="80">
        <s:f>IFERROR(N51/N35-1,0)</s:f>
        <s:v>0.05084150771093787</s:v>
      </s:c>
    </s:row>
  </s:sheetData>
  <s:mergeCells count="7">
    <s:mergeCell ref="A3:N3"/>
    <s:mergeCell ref="A21:N21"/>
    <s:mergeCell ref="A2:N2"/>
    <s:mergeCell ref="A54:H54"/>
    <s:mergeCell ref="A5:N5"/>
    <s:mergeCell ref="A37:N37"/>
    <s:mergeCell ref="A1:N1"/>
  </s:mergeCells>
  <s:pageMargins left="0.75" right="0.75" top="1" bottom="1" header="0.5" footer="0.5"/>
</s:worksheet>
</file>

<file path=xl/worksheets/sheet9.xml><?xml version="1.0" encoding="utf-8"?>
<s:worksheet xmlns:s="http://schemas.openxmlformats.org/spreadsheetml/2006/main">
  <s:sheetPr>
    <s:tabColor rgb="001F3864"/>
    <s:outlinePr summaryBelow="1" summaryRight="1"/>
    <s:pageSetUpPr fitToPage="1"/>
  </s:sheetPr>
  <s:dimension ref="A1:F32"/>
  <s:sheetViews>
    <s:sheetView showGridLines="0" workbookViewId="0">
      <s:selection activeCell="A1" sqref="A1"/>
    </s:sheetView>
  </s:sheetViews>
  <s:sheetFormatPr baseColWidth="8" defaultRowHeight="15"/>
  <s:cols>
    <s:col width="44" customWidth="1" min="1" max="1"/>
    <s:col width="18" customWidth="1" min="2" max="2"/>
    <s:col width="44" customWidth="1" min="4" max="4"/>
    <s:col width="18" customWidth="1" min="5" max="5"/>
  </s:cols>
  <s:sheetData>
    <s:row r="1" ht="30" customHeight="1">
      <s:c r="A1" s="1" t="inlineStr">
        <s:is>
          <s:t>ANNUAL SUMMARY — RIVR Tech 2027</s:t>
        </s:is>
      </s:c>
    </s:row>
    <s:row r="2">
      <s:c r="A2" s="2" t="inlineStr">
        <s:is>
          <s:t>Management summary. All values link to the forecast tabs (active scenario).</s:t>
        </s:is>
      </s:c>
    </s:row>
    <s:row r="4">
      <s:c r="A4" s="3" t="inlineStr">
        <s:is>
          <s:t>Total 2027 revenue</s:t>
        </s:is>
      </s:c>
      <s:c r="B4" s="71">
        <s:f>'Consolidated Revenue'!N33</s:f>
        <s:v>5162584.2919</s:v>
      </s:c>
      <s:c r="D4" s="3" t="inlineStr">
        <s:is>
          <s:t>Ending residential subscribers</s:t>
        </s:is>
      </s:c>
      <s:c r="E4" s="69">
        <s:f>'Residential Forecast'!M12</s:f>
        <s:v>4072</s:v>
      </s:c>
    </s:row>
    <s:row r="5">
      <s:c r="A5" s="15" t="inlineStr">
        <s:is>
          <s:t xml:space="preserve">  Residential revenue</s:t>
        </s:is>
      </s:c>
      <s:c r="B5" s="83">
        <s:f>'Consolidated Revenue'!N10</s:f>
        <s:v>3891845.9104</s:v>
      </s:c>
      <s:c r="D5" s="3" t="inlineStr">
        <s:is>
          <s:t>Ending business customers</s:t>
        </s:is>
      </s:c>
      <s:c r="E5" s="69">
        <s:f>'Business Forecast'!M13</s:f>
        <s:v>274</s:v>
      </s:c>
    </s:row>
    <s:row r="6">
      <s:c r="A6" s="15" t="inlineStr">
        <s:is>
          <s:t xml:space="preserve">  Business revenue</s:t>
        </s:is>
      </s:c>
      <s:c r="B6" s="83">
        <s:f>'Consolidated Revenue'!N16</s:f>
        <s:v>567598.3815</s:v>
      </s:c>
      <s:c r="D6" s="15" t="inlineStr">
        <s:is>
          <s:t>Residential net additions</s:t>
        </s:is>
      </s:c>
      <s:c r="E6" s="100">
        <s:f>'Residential Forecast'!M12-'Residential Forecast'!B6</s:f>
        <s:v>24</s:v>
      </s:c>
    </s:row>
    <s:row r="7">
      <s:c r="A7" s="15" t="inlineStr">
        <s:is>
          <s:t xml:space="preserve">  Dark fiber revenue</s:t>
        </s:is>
      </s:c>
      <s:c r="B7" s="83">
        <s:f>'Consolidated Revenue'!N23</s:f>
        <s:v>19140</s:v>
      </s:c>
      <s:c r="D7" s="15" t="inlineStr">
        <s:is>
          <s:t>Business net additions</s:t>
        </s:is>
      </s:c>
      <s:c r="E7" s="100">
        <s:f>'Business Forecast'!M13-'Business Forecast'!B6</s:f>
        <s:v>25</s:v>
      </s:c>
    </s:row>
    <s:row r="8">
      <s:c r="A8" s="15" t="inlineStr">
        <s:is>
          <s:t>Total recurring revenue</s:t>
        </s:is>
      </s:c>
      <s:c r="B8" s="83">
        <s:f>'Consolidated Revenue'!N29</s:f>
        <s:v>5123738.66</s:v>
      </s:c>
      <s:c r="D8" s="15" t="inlineStr">
        <s:is>
          <s:t>Average residential ARPU</s:t>
        </s:is>
      </s:c>
      <s:c r="E8" s="101">
        <s:f>'Residential Forecast'!N28</s:f>
        <s:v>75.11000000000001</s:v>
      </s:c>
    </s:row>
    <s:row r="9">
      <s:c r="A9" s="15" t="inlineStr">
        <s:is>
          <s:t>Total one-time revenue</s:t>
        </s:is>
      </s:c>
      <s:c r="B9" s="83">
        <s:f>'Consolidated Revenue'!N30</s:f>
        <s:v>170640</s:v>
      </s:c>
      <s:c r="D9" s="15" t="inlineStr">
        <s:is>
          <s:t>Average business ARPU</s:t>
        </s:is>
      </s:c>
      <s:c r="E9" s="101">
        <s:f>'Business Forecast'!N39</s:f>
        <s:v>160.91500000000005</s:v>
      </s:c>
    </s:row>
    <s:row r="10">
      <s:c r="A10" s="15" t="inlineStr">
        <s:is>
          <s:t>IRU revenue recognized</s:t>
        </s:is>
      </s:c>
      <s:c r="B10" s="83">
        <s:f>'Consolidated Revenue'!N21</s:f>
        <s:v>0</s:v>
      </s:c>
      <s:c r="D10" s="15" t="inlineStr">
        <s:is>
          <s:t>Total dark fiber contract revenue</s:t>
        </s:is>
      </s:c>
      <s:c r="E10" s="83">
        <s:f>'Dark Fiber Forecast'!AC33</s:f>
        <s:v>19140</s:v>
      </s:c>
    </s:row>
    <s:row r="11">
      <s:c r="A11" s="15" t="inlineStr">
        <s:is>
          <s:t>Average monthly revenue</s:t>
        </s:is>
      </s:c>
      <s:c r="B11" s="83">
        <s:f>'Consolidated Revenue'!N33/12</s:f>
        <s:v>430215.3576583333</s:v>
      </s:c>
      <s:c r="D11" s="15" t="inlineStr">
        <s:is>
          <s:t>Dark fiber revenue under contract at YE</s:t>
        </s:is>
      </s:c>
      <s:c r="E11" s="83">
        <s:f>'Dark Fiber Forecast'!AD33</s:f>
        <s:v>57420</s:v>
      </s:c>
    </s:row>
    <s:row r="12">
      <s:c r="A12" s="15" t="inlineStr">
        <s:is>
          <s:t>Highest revenue month</s:t>
        </s:is>
      </s:c>
      <s:c r="B12" s="83">
        <s:f>MAX('Consolidated Revenue'!B33:M33)</s:f>
        <s:v>437734.0111833333</s:v>
      </s:c>
      <s:c r="D12" s="15" t="inlineStr">
        <s:is>
          <s:t>December MRR</s:t>
        </s:is>
      </s:c>
      <s:c r="E12" s="83">
        <s:f>'Consolidated Revenue'!M36</s:f>
        <s:v>434711.5633333333</s:v>
      </s:c>
    </s:row>
    <s:row r="13">
      <s:c r="A13" s="15" t="inlineStr">
        <s:is>
          <s:t>Lowest revenue month</s:t>
        </s:is>
      </s:c>
      <s:c r="B13" s="83">
        <s:f>MIN('Consolidated Revenue'!B33:M33)</s:f>
        <s:v>422664.79863333324</s:v>
      </s:c>
      <s:c r="D13" s="15" t="inlineStr">
        <s:is>
          <s:t>December ARR run rate</s:t>
        </s:is>
      </s:c>
      <s:c r="E13" s="83">
        <s:f>'Consolidated Revenue'!M37</s:f>
        <s:v>5216538.76</s:v>
      </s:c>
    </s:row>
    <s:row r="14">
      <s:c r="A14" s="15" t="inlineStr">
        <s:is>
          <s:t>Highest revenue month (name)</s:t>
        </s:is>
      </s:c>
      <s:c r="B14" s="22" t="str">
        <s:f>INDEX({"Jan";"Feb";"Mar";"Apr";"May";"Jun";"Jul";"Aug";"Sep";"Oct";"Nov";"Dec"},MATCH(MAX('Consolidated Revenue'!B33:M33),'Consolidated Revenue'!B33:M33,0))</s:f>
        <s:v>Dec</s:v>
      </s:c>
      <s:c r="D14" s="15" t="inlineStr">
        <s:is>
          <s:t>Base scenario annual revenue</s:t>
        </s:is>
      </s:c>
      <s:c r="E14" s="83">
        <s:f>'Scenario Analysis'!N35</s:f>
        <s:v>5162584.2919</s:v>
      </s:c>
    </s:row>
    <s:row r="15">
      <s:c r="A15" s="15" t="inlineStr">
        <s:is>
          <s:t>Q1 revenue</s:t>
        </s:is>
      </s:c>
      <s:c r="B15" s="83">
        <s:f>'Consolidated Revenue'!O33</s:f>
        <s:v>1269522.4441</s:v>
      </s:c>
      <s:c r="D15" s="15" t="inlineStr">
        <s:is>
          <s:t>Conservative scenario annual revenue</s:t>
        </s:is>
      </s:c>
      <s:c r="E15" s="83">
        <s:f>'Scenario Analysis'!N19</s:f>
        <s:v>4901645.198197</s:v>
      </s:c>
    </s:row>
    <s:row r="16">
      <s:c r="A16" s="15" t="inlineStr">
        <s:is>
          <s:t>Q2 revenue</s:t>
        </s:is>
      </s:c>
      <s:c r="B16" s="83">
        <s:f>'Consolidated Revenue'!P33</s:f>
        <s:v>1273719.8062</s:v>
      </s:c>
      <s:c r="D16" s="15" t="inlineStr">
        <s:is>
          <s:t>Aggressive scenario annual revenue</s:t>
        </s:is>
      </s:c>
      <s:c r="E16" s="83">
        <s:f>'Scenario Analysis'!N51</s:f>
        <s:v>5425057.860985001</s:v>
      </s:c>
    </s:row>
    <s:row r="17">
      <s:c r="A17" s="15" t="inlineStr">
        <s:is>
          <s:t>Q3 revenue</s:t>
        </s:is>
      </s:c>
      <s:c r="B17" s="83">
        <s:f>'Consolidated Revenue'!Q33</s:f>
        <s:v>1307552.41315</s:v>
      </s:c>
      <s:c r="D17" s="3" t="inlineStr">
        <s:is>
          <s:t>Scenario variance (Aggr - Cons)</s:t>
        </s:is>
      </s:c>
      <s:c r="E17" s="71">
        <s:f>'Scenario Analysis'!N51-'Scenario Analysis'!N19</s:f>
        <s:v>523412.6627880009</s:v>
      </s:c>
    </s:row>
    <s:row r="18">
      <s:c r="A18" s="15" t="inlineStr">
        <s:is>
          <s:t>Q4 revenue</s:t>
        </s:is>
      </s:c>
      <s:c r="B18" s="83">
        <s:f>'Consolidated Revenue'!R33</s:f>
        <s:v>1311789.62845</s:v>
      </s:c>
      <s:c r="D18" s="15" t="inlineStr">
        <s:is>
          <s:t>Recurring % of total revenue</s:t>
        </s:is>
      </s:c>
      <s:c r="E18" s="102">
        <s:f>IFERROR('Consolidated Revenue'!N29/'Consolidated Revenue'!N33,0)</s:f>
        <s:v>0.9924755452495085</s:v>
      </s:c>
    </s:row>
    <s:row r="19">
      <s:c r="D19" s="3" t="inlineStr">
        <s:is>
          <s:t>Hoke County project revenue (2027)</s:t>
        </s:is>
      </s:c>
      <s:c r="E19" s="71">
        <s:f>'Consolidated Revenue'!N26</s:f>
        <s:v>684000</s:v>
      </s:c>
    </s:row>
    <s:row r="20">
      <s:c r="A20" s="17" t="inlineStr">
        <s:is>
          <s:t>MANAGEMENT COMMENTARY</s:t>
        </s:is>
      </s:c>
    </s:row>
    <s:row r="21">
      <s:c r="A21" s="3" t="inlineStr">
        <s:is>
          <s:t>Major changes vs prior year:</s:t>
        </s:is>
      </s:c>
    </s:row>
    <s:row r="22">
      <s:c r="A22" s="103" t="inlineStr">
        <s:is>
          <s:t>[ Enter management commentary here ]</s:t>
        </s:is>
      </s:c>
    </s:row>
    <s:row r="23"/>
    <s:row r="24">
      <s:c r="A24" s="3" t="inlineStr">
        <s:is>
          <s:t>Opportunities:</s:t>
        </s:is>
      </s:c>
    </s:row>
    <s:row r="25">
      <s:c r="A25" s="103" t="inlineStr">
        <s:is>
          <s:t>[ Enter management commentary here ]</s:t>
        </s:is>
      </s:c>
    </s:row>
    <s:row r="26"/>
    <s:row r="27">
      <s:c r="A27" s="3" t="inlineStr">
        <s:is>
          <s:t>Risks:</s:t>
        </s:is>
      </s:c>
    </s:row>
    <s:row r="28">
      <s:c r="A28" s="103" t="inlineStr">
        <s:is>
          <s:t>[ Enter management commentary here ]</s:t>
        </s:is>
      </s:c>
    </s:row>
    <s:row r="29"/>
    <s:row r="30">
      <s:c r="A30" s="3" t="inlineStr">
        <s:is>
          <s:t>Key assumptions to validate:</s:t>
        </s:is>
      </s:c>
    </s:row>
    <s:row r="31">
      <s:c r="A31" s="103" t="inlineStr">
        <s:is>
          <s:t>[ Enter management commentary here ]</s:t>
        </s:is>
      </s:c>
    </s:row>
    <s:row r="32"/>
  </s:sheetData>
  <s:mergeCells count="7">
    <s:mergeCell ref="A2:F2"/>
    <s:mergeCell ref="A31:F32"/>
    <s:mergeCell ref="A1:F1"/>
    <s:mergeCell ref="A25:F26"/>
    <s:mergeCell ref="A22:F23"/>
    <s:mergeCell ref="A20:F20"/>
    <s:mergeCell ref="A28:F29"/>
  </s:mergeCells>
  <s:pageMargins left="0.75" right="0.75" top="1" bottom="1" header="0.5" footer="0.5"/>
  <s:pageSetup orientation="landscape" fitToWidth="1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tabColor rgb="0070AD47"/>
    <s:outlinePr summaryBelow="1" summaryRight="1"/>
    <s:pageSetUpPr/>
  </s:sheetPr>
  <s:dimension ref="A1:G57"/>
  <s:sheetViews>
    <s:sheetView showGridLines="0" workbookViewId="0">
      <s:pane ySplit="2" topLeftCell="A3" activePane="bottomLeft" state="frozen"/>
      <s:selection pane="bottomLeft" activeCell="A1" sqref="A1"/>
    </s:sheetView>
  </s:sheetViews>
  <s:sheetFormatPr baseColWidth="8" defaultRowHeight="15"/>
  <s:cols>
    <s:col width="46" customWidth="1" min="1" max="1"/>
    <s:col width="18" customWidth="1" min="2" max="2"/>
    <s:col width="3" customWidth="1" min="3" max="3"/>
    <s:col width="16" customWidth="1" min="4" max="4"/>
    <s:col width="16" customWidth="1" min="5" max="5"/>
    <s:col width="16" customWidth="1" min="6" max="6"/>
    <s:col width="16" customWidth="1" min="7" max="7"/>
  </s:cols>
  <s:sheetData>
    <s:row r="1" ht="30" customHeight="1">
      <s:c r="A1" s="1" t="inlineStr">
        <s:is>
          <s:t>MARGIN CALCULATOR — Revenue required for a target profit</s:t>
        </s:is>
      </s:c>
    </s:row>
    <s:row r="2">
      <s:c r="A2" s="2" t="inlineStr">
        <s:is>
          <s:t>Cost-Volume-Profit (CVP) model. Enter your cost structure (blue/yellow); the calculator solves the revenue needed for any target profit. Operating profit is pre-tax (EBIT).</s:t>
        </s:is>
      </s:c>
    </s:row>
    <s:row r="3">
      <s:c r="F3" s="18" t="inlineStr">
        <s:is>
          <s:t>LEGEND</s:t>
        </s:is>
      </s:c>
    </s:row>
    <s:row r="4">
      <s:c r="A4" s="17" t="inlineStr">
        <s:is>
          <s:t>A.  COST STRUCTURE  (calibrated from H1 2026 actuals — annualized; editable)</s:t>
        </s:is>
      </s:c>
      <s:c r="F4" s="21" t="inlineStr">
        <s:is>
          <s:t>Editable input</s:t>
        </s:is>
      </s:c>
    </s:row>
    <s:row r="5">
      <s:c r="A5" s="15" t="inlineStr">
        <s:is>
          <s:t>Variable operating cost (% of revenue)</s:t>
        </s:is>
      </s:c>
      <s:c r="B5" s="104">
        <s:f>'2026 Actuals (H1)'!F22/'2026 Actuals (H1)'!F19</s:f>
        <s:v>0.14797730356891153</s:v>
      </s:c>
      <s:c r="C5" s="26" t="inlineStr">
        <s:is>
          <s:t>from actuals</s:t>
        </s:is>
      </s:c>
      <s:c r="F5" s="24" t="inlineStr">
        <s:is>
          <s:t>Must-fill placeholder</s:t>
        </s:is>
      </s:c>
    </s:row>
    <s:row r="6">
      <s:c r="A6" s="3" t="inlineStr">
        <s:is>
          <s:t>Fixed operating costs (annual $, H1×2):</s:t>
        </s:is>
      </s:c>
      <s:c r="F6" s="22" t="inlineStr">
        <s:is>
          <s:t>Calculated</s:t>
        </s:is>
      </s:c>
    </s:row>
    <s:row r="7">
      <s:c r="A7" s="15" t="inlineStr">
        <s:is>
          <s:t xml:space="preserve">   Network ops, engineering &amp; IT</s:t>
        </s:is>
      </s:c>
      <s:c r="B7" s="37">
        <s:f>'2026 Actuals (H1)'!F24+'2026 Actuals (H1)'!F23+'2026 Actuals (H1)'!F30</s:f>
        <s:v>1284134</s:v>
      </s:c>
      <s:c r="C7" s="26" t="inlineStr">
        <s:is>
          <s:t>from actuals</s:t>
        </s:is>
      </s:c>
    </s:row>
    <s:row r="8">
      <s:c r="A8" s="15" t="inlineStr">
        <s:is>
          <s:t xml:space="preserve">   Salaries, G&amp;A, accounting &amp; HR</s:t>
        </s:is>
      </s:c>
      <s:c r="B8" s="37">
        <s:f>'2026 Actuals (H1)'!F27+'2026 Actuals (H1)'!F28+'2026 Actuals (H1)'!F29</s:f>
        <s:v>1778928</s:v>
      </s:c>
      <s:c r="C8" s="26" t="inlineStr">
        <s:is>
          <s:t>from actuals</s:t>
        </s:is>
      </s:c>
    </s:row>
    <s:row r="9">
      <s:c r="A9" s="15" t="inlineStr">
        <s:is>
          <s:t xml:space="preserve">   Sales &amp; marketing</s:t>
        </s:is>
      </s:c>
      <s:c r="B9" s="37">
        <s:f>'2026 Actuals (H1)'!F25+'2026 Actuals (H1)'!F26</s:f>
        <s:v>551748</s:v>
      </s:c>
      <s:c r="C9" s="26" t="inlineStr">
        <s:is>
          <s:t>from actuals</s:t>
        </s:is>
      </s:c>
    </s:row>
    <s:row r="10">
      <s:c r="A10" s="15" t="inlineStr">
        <s:is>
          <s:t xml:space="preserve">   Depreciation &amp; amortization</s:t>
        </s:is>
      </s:c>
      <s:c r="B10" s="37">
        <s:f>'2026 Actuals (H1)'!F31</s:f>
        <s:v>362804</s:v>
      </s:c>
      <s:c r="C10" s="26" t="inlineStr">
        <s:is>
          <s:t>from actuals</s:t>
        </s:is>
      </s:c>
    </s:row>
    <s:row r="11">
      <s:c r="A11" s="15" t="inlineStr">
        <s:is>
          <s:t xml:space="preserve">   Taxes &amp; other overhead</s:t>
        </s:is>
      </s:c>
      <s:c r="B11" s="37">
        <s:f>'2026 Actuals (H1)'!F32</s:f>
        <s:v>14106</s:v>
      </s:c>
      <s:c r="C11" s="26" t="inlineStr">
        <s:is>
          <s:t>from actuals</s:t>
        </s:is>
      </s:c>
    </s:row>
    <s:row r="12">
      <s:c r="A12" s="3" t="inlineStr">
        <s:is>
          <s:t>Total fixed operating costs (auto)</s:t>
        </s:is>
      </s:c>
      <s:c r="B12" s="55">
        <s:f>SUM(B7:B11)</s:f>
        <s:v>3991720</s:v>
      </s:c>
    </s:row>
    <s:row r="13">
      <s:c r="A13" s="15" t="inlineStr">
        <s:is>
          <s:t>Contribution margin % (= 1 − variable %)</s:t>
        </s:is>
      </s:c>
      <s:c r="B13" s="105">
        <s:f>1-B5</s:f>
        <s:v>0.8520226964310884</s:v>
      </s:c>
    </s:row>
    <s:row r="15">
      <s:c r="A15" s="17" t="inlineStr">
        <s:is>
          <s:t>B.  PROFITABILITY AT FORECAST REVENUE</s:t>
        </s:is>
      </s:c>
    </s:row>
    <s:row r="16">
      <s:c r="A16" s="15" t="inlineStr">
        <s:is>
          <s:t>Forecast net revenue — active scenario (auto)</s:t>
        </s:is>
      </s:c>
      <s:c r="B16" s="37">
        <s:f>'Consolidated Revenue'!N33</s:f>
        <s:v>5162584.2919</s:v>
      </s:c>
    </s:row>
    <s:row r="17">
      <s:c r="A17" s="15" t="inlineStr">
        <s:is>
          <s:t>Revenue override (optional)</s:t>
        </s:is>
      </s:c>
      <s:c r="B17" s="36" t="n"/>
    </s:row>
    <s:row r="18">
      <s:c r="A18" s="3" t="inlineStr">
        <s:is>
          <s:t>Revenue used</s:t>
        </s:is>
      </s:c>
      <s:c r="B18" s="55">
        <s:f>IF(B17="",B16,B17)</s:f>
        <s:v>5162584.2919</s:v>
      </s:c>
    </s:row>
    <s:row r="19">
      <s:c r="A19" s="15" t="inlineStr">
        <s:is>
          <s:t>Variable costs</s:t>
        </s:is>
      </s:c>
      <s:c r="B19" s="54">
        <s:f>B18*B5</s:f>
        <s:v>763945.3029625805</s:v>
      </s:c>
    </s:row>
    <s:row r="20">
      <s:c r="A20" s="15" t="inlineStr">
        <s:is>
          <s:t>Contribution margin ($)</s:t>
        </s:is>
      </s:c>
      <s:c r="B20" s="54">
        <s:f>B18-B19</s:f>
        <s:v>4398638.988937419</s:v>
      </s:c>
    </s:row>
    <s:row r="21">
      <s:c r="A21" s="15" t="inlineStr">
        <s:is>
          <s:t>Fixed operating costs</s:t>
        </s:is>
      </s:c>
      <s:c r="B21" s="54">
        <s:f>B12</s:f>
        <s:v>3991720</s:v>
      </s:c>
    </s:row>
    <s:row r="22">
      <s:c r="A22" s="3" t="inlineStr">
        <s:is>
          <s:t>Operating profit (EBIT)</s:t>
        </s:is>
      </s:c>
      <s:c r="B22" s="55">
        <s:f>B20-B21</s:f>
        <s:v>406918.9889374189</s:v>
      </s:c>
    </s:row>
    <s:row r="23">
      <s:c r="A23" s="3" t="inlineStr">
        <s:is>
          <s:t>Operating profit margin %</s:t>
        </s:is>
      </s:c>
      <s:c r="B23" s="57">
        <s:f>IFERROR(B22/B18,0)</s:f>
        <s:v>0.07882079321704584</s:v>
      </s:c>
    </s:row>
    <s:row r="24">
      <s:c r="A24" s="15" t="inlineStr">
        <s:is>
          <s:t>Breakeven revenue (profit = 0)</s:t>
        </s:is>
      </s:c>
      <s:c r="B24" s="54">
        <s:f>IFERROR(B12/(1-B5),0)</s:f>
        <s:v>4684992.567358035</s:v>
      </s:c>
    </s:row>
    <s:row r="25">
      <s:c r="A25" s="15" t="inlineStr">
        <s:is>
          <s:t>Margin of safety (revenue above breakeven)</s:t>
        </s:is>
      </s:c>
      <s:c r="B25" s="54">
        <s:f>B18-B24</s:f>
        <s:v>477591.72454196494</s:v>
      </s:c>
    </s:row>
    <s:row r="26">
      <s:c r="A26" s="15" t="inlineStr">
        <s:is>
          <s:t>Margin of safety %</s:t>
        </s:is>
      </s:c>
      <s:c r="B26" s="105">
        <s:f>IFERROR(B25/B18,0)</s:f>
        <s:v>0.09251020371547204</s:v>
      </s:c>
    </s:row>
    <s:row r="28">
      <s:c r="A28" s="17" t="inlineStr">
        <s:is>
          <s:t>C.  TARGET PROFIT  →  REQUIRED REVENUE</s:t>
        </s:is>
      </s:c>
    </s:row>
    <s:row r="29">
      <s:c r="A29" s="19" t="inlineStr">
        <s:is>
          <s:t>Target profit margin (%)</s:t>
        </s:is>
      </s:c>
      <s:c r="B29" s="106" t="n">
        <s:v>0.1</s:v>
      </s:c>
    </s:row>
    <s:row r="30">
      <s:c r="A30" s="3" t="inlineStr">
        <s:is>
          <s:t>Required revenue for target margin</s:t>
        </s:is>
      </s:c>
      <s:c r="B30" s="55">
        <s:f>IF((1-B5-B29)&lt;=0,"Not achievable — target ≥ contribution margin",B12/(1-B5-B29))</s:f>
        <s:v>5307978.09553316</s:v>
      </s:c>
    </s:row>
    <s:row r="31">
      <s:c r="A31" s="15" t="inlineStr">
        <s:is>
          <s:t xml:space="preserve">   Required monthly revenue</s:t>
        </s:is>
      </s:c>
      <s:c r="B31" s="54">
        <s:f>IF(ISNUMBER(B30),B30/12,"n/a")</s:f>
        <s:v>442331.50796109665</s:v>
      </s:c>
    </s:row>
    <s:row r="32">
      <s:c r="A32" s="15" t="inlineStr">
        <s:is>
          <s:t xml:space="preserve">   Resulting operating profit ($)</s:t>
        </s:is>
      </s:c>
      <s:c r="B32" s="54">
        <s:f>IF(ISNUMBER(B30),B29*B30,"n/a")</s:f>
        <s:v>530797.809553316</s:v>
      </s:c>
    </s:row>
    <s:row r="33">
      <s:c r="A33" s="15" t="inlineStr">
        <s:is>
          <s:t xml:space="preserve">   Revenue vs forecast ($)</s:t>
        </s:is>
      </s:c>
      <s:c r="B33" s="54">
        <s:f>IF(ISNUMBER(B30),B30-B18,"n/a")</s:f>
        <s:v>145393.80363315996</s:v>
      </s:c>
    </s:row>
    <s:row r="34">
      <s:c r="A34" s="15" t="inlineStr">
        <s:is>
          <s:t xml:space="preserve">   Revenue vs forecast (%)</s:t>
        </s:is>
      </s:c>
      <s:c r="B34" s="105">
        <s:f>IF(ISNUMBER(B30),IFERROR(B30/B18-1,0),"n/a")</s:f>
        <s:v>0.028162988808004608</s:v>
      </s:c>
    </s:row>
    <s:row r="36">
      <s:c r="A36" s="19" t="inlineStr">
        <s:is>
          <s:t>Target profit — dollars ($)</s:t>
        </s:is>
      </s:c>
      <s:c r="B36" s="52" t="n">
        <s:v>1500000</s:v>
      </s:c>
    </s:row>
    <s:row r="37">
      <s:c r="A37" s="3" t="inlineStr">
        <s:is>
          <s:t>Required revenue for target profit $</s:t>
        </s:is>
      </s:c>
      <s:c r="B37" s="55">
        <s:f>IFERROR((B12+B36)/(1-B5),0)</s:f>
        <s:v>6445509.049234782</s:v>
      </s:c>
    </s:row>
    <s:row r="38">
      <s:c r="A38" s="15" t="inlineStr">
        <s:is>
          <s:t xml:space="preserve">   Revenue vs forecast ($)</s:t>
        </s:is>
      </s:c>
      <s:c r="B38" s="54">
        <s:f>B37-B18</s:f>
        <s:v>1282924.7573347827</s:v>
      </s:c>
    </s:row>
    <s:row r="40">
      <s:c r="A40" s="17" t="inlineStr">
        <s:is>
          <s:t>D.  TARGET-MARGIN SENSITIVITY</s:t>
        </s:is>
      </s:c>
    </s:row>
    <s:row r="41">
      <s:c r="A41" s="25" t="inlineStr">
        <s:is>
          <s:t>Target margin</s:t>
        </s:is>
      </s:c>
      <s:c r="B41" s="25" t="inlineStr">
        <s:is>
          <s:t>Required revenue</s:t>
        </s:is>
      </s:c>
      <s:c r="C41" s="25" t="inlineStr">
        <s:is>
          <s:t>Required monthly</s:t>
        </s:is>
      </s:c>
      <s:c r="D41" s="25" t="inlineStr">
        <s:is>
          <s:t>Operating profit</s:t>
        </s:is>
      </s:c>
      <s:c r="E41" s="25" t="inlineStr">
        <s:is>
          <s:t>vs forecast rev</s:t>
        </s:is>
      </s:c>
      <s:c r="F41" s="25" t="inlineStr">
        <s:is>
          <s:t>Achievable?</s:t>
        </s:is>
      </s:c>
    </s:row>
    <s:row r="42">
      <s:c r="A42" s="35" t="n">
        <s:v>0</s:v>
      </s:c>
      <s:c r="B42" s="54">
        <s:f>IF((1-$B$5-A42)&lt;=0,"n/a",$B$12/(1-$B$5-A42))</s:f>
        <s:v>4684992.567358035</s:v>
      </s:c>
      <s:c r="C42" s="54">
        <s:f>IF(ISNUMBER(B42),B42/12,"n/a")</s:f>
        <s:v>390416.0472798362</s:v>
      </s:c>
      <s:c r="D42" s="54">
        <s:f>IF(ISNUMBER(B42),A42*B42,"n/a")</s:f>
        <s:v>0</s:v>
      </s:c>
      <s:c r="E42" s="54">
        <s:f>IF(ISNUMBER(B42),B42-$B$18,"n/a")</s:f>
        <s:v>-477591.72454196494</s:v>
      </s:c>
      <s:c r="F42" s="82" t="str">
        <s:f>IF(NOT(ISNUMBER(B42)),"NO",IF(B42&lt;=$B$18,"YES — forecast covers it","Need +revenue"))</s:f>
        <s:v>YES — forecast covers it</s:v>
      </s:c>
    </s:row>
    <s:row r="43">
      <s:c r="A43" s="35" t="n">
        <s:v>0.05</s:v>
      </s:c>
      <s:c r="B43" s="54">
        <s:f>IF((1-$B$5-A43)&lt;=0,"n/a",$B$12/(1-$B$5-A43))</s:f>
        <s:v>4977066.1326203225</s:v>
      </s:c>
      <s:c r="C43" s="54">
        <s:f>IF(ISNUMBER(B43),B43/12,"n/a")</s:f>
        <s:v>414755.5110516935</s:v>
      </s:c>
      <s:c r="D43" s="54">
        <s:f>IF(ISNUMBER(B43),A43*B43,"n/a")</s:f>
        <s:v>248853.30663101614</s:v>
      </s:c>
      <s:c r="E43" s="54">
        <s:f>IF(ISNUMBER(B43),B43-$B$18,"n/a")</s:f>
        <s:v>-185518.1592796771</s:v>
      </s:c>
      <s:c r="F43" s="82" t="str">
        <s:f>IF(NOT(ISNUMBER(B43)),"NO",IF(B43&lt;=$B$18,"YES — forecast covers it","Need +revenue"))</s:f>
        <s:v>YES — forecast covers it</s:v>
      </s:c>
    </s:row>
    <s:row r="44">
      <s:c r="A44" s="35" t="n">
        <s:v>0.1</s:v>
      </s:c>
      <s:c r="B44" s="54">
        <s:f>IF((1-$B$5-A44)&lt;=0,"n/a",$B$12/(1-$B$5-A44))</s:f>
        <s:v>5307978.09553316</s:v>
      </s:c>
      <s:c r="C44" s="54">
        <s:f>IF(ISNUMBER(B44),B44/12,"n/a")</s:f>
        <s:v>442331.50796109665</s:v>
      </s:c>
      <s:c r="D44" s="54">
        <s:f>IF(ISNUMBER(B44),A44*B44,"n/a")</s:f>
        <s:v>530797.809553316</s:v>
      </s:c>
      <s:c r="E44" s="54">
        <s:f>IF(ISNUMBER(B44),B44-$B$18,"n/a")</s:f>
        <s:v>145393.80363315996</s:v>
      </s:c>
      <s:c r="F44" s="82" t="str">
        <s:f>IF(NOT(ISNUMBER(B44)),"NO",IF(B44&lt;=$B$18,"YES — forecast covers it","Need +revenue"))</s:f>
        <s:v>Need +revenue</s:v>
      </s:c>
    </s:row>
    <s:row r="45">
      <s:c r="A45" s="35" t="n">
        <s:v>0.15</s:v>
      </s:c>
      <s:c r="B45" s="54">
        <s:f>IF((1-$B$5-A45)&lt;=0,"n/a",$B$12/(1-$B$5-A45))</s:f>
        <s:v>5686026.9907125905</s:v>
      </s:c>
      <s:c r="C45" s="54">
        <s:f>IF(ISNUMBER(B45),B45/12,"n/a")</s:f>
        <s:v>473835.58255938254</s:v>
      </s:c>
      <s:c r="D45" s="54">
        <s:f>IF(ISNUMBER(B45),A45*B45,"n/a")</s:f>
        <s:v>852904.0486068885</s:v>
      </s:c>
      <s:c r="E45" s="54">
        <s:f>IF(ISNUMBER(B45),B45-$B$18,"n/a")</s:f>
        <s:v>523442.6988125909</s:v>
      </s:c>
      <s:c r="F45" s="82" t="str">
        <s:f>IF(NOT(ISNUMBER(B45)),"NO",IF(B45&lt;=$B$18,"YES — forecast covers it","Need +revenue"))</s:f>
        <s:v>Need +revenue</s:v>
      </s:c>
    </s:row>
    <s:row r="46">
      <s:c r="A46" s="35" t="n">
        <s:v>0.2</s:v>
      </s:c>
      <s:c r="B46" s="54">
        <s:f>IF((1-$B$5-A46)&lt;=0,"n/a",$B$12/(1-$B$5-A46))</s:f>
        <s:v>6122056.826931147</s:v>
      </s:c>
      <s:c r="C46" s="54">
        <s:f>IF(ISNUMBER(B46),B46/12,"n/a")</s:f>
        <s:v>510171.4022442622</s:v>
      </s:c>
      <s:c r="D46" s="54">
        <s:f>IF(ISNUMBER(B46),A46*B46,"n/a")</s:f>
        <s:v>1224411.3653862295</s:v>
      </s:c>
      <s:c r="E46" s="54">
        <s:f>IF(ISNUMBER(B46),B46-$B$18,"n/a")</s:f>
        <s:v>959472.5350311473</s:v>
      </s:c>
      <s:c r="F46" s="82" t="str">
        <s:f>IF(NOT(ISNUMBER(B46)),"NO",IF(B46&lt;=$B$18,"YES — forecast covers it","Need +revenue"))</s:f>
        <s:v>Need +revenue</s:v>
      </s:c>
    </s:row>
    <s:row r="47">
      <s:c r="A47" s="35" t="n">
        <s:v>0.25</s:v>
      </s:c>
      <s:c r="B47" s="54">
        <s:f>IF((1-$B$5-A47)&lt;=0,"n/a",$B$12/(1-$B$5-A47))</s:f>
        <s:v>6630514.137861776</s:v>
      </s:c>
      <s:c r="C47" s="54">
        <s:f>IF(ISNUMBER(B47),B47/12,"n/a")</s:f>
        <s:v>552542.8448218147</s:v>
      </s:c>
      <s:c r="D47" s="54">
        <s:f>IF(ISNUMBER(B47),A47*B47,"n/a")</s:f>
        <s:v>1657628.534465444</s:v>
      </s:c>
      <s:c r="E47" s="54">
        <s:f>IF(ISNUMBER(B47),B47-$B$18,"n/a")</s:f>
        <s:v>1467929.8459617766</s:v>
      </s:c>
      <s:c r="F47" s="82" t="str">
        <s:f>IF(NOT(ISNUMBER(B47)),"NO",IF(B47&lt;=$B$18,"YES — forecast covers it","Need +revenue"))</s:f>
        <s:v>Need +revenue</s:v>
      </s:c>
    </s:row>
    <s:row r="48">
      <s:c r="A48" s="35" t="n">
        <s:v>0.3</s:v>
      </s:c>
      <s:c r="B48" s="54">
        <s:f>IF((1-$B$5-A48)&lt;=0,"n/a",$B$12/(1-$B$5-A48))</s:f>
        <s:v>7231079.493301786</s:v>
      </s:c>
      <s:c r="C48" s="54">
        <s:f>IF(ISNUMBER(B48),B48/12,"n/a")</s:f>
        <s:v>602589.9577751488</s:v>
      </s:c>
      <s:c r="D48" s="54">
        <s:f>IF(ISNUMBER(B48),A48*B48,"n/a")</s:f>
        <s:v>2169323.8479905357</s:v>
      </s:c>
      <s:c r="E48" s="54">
        <s:f>IF(ISNUMBER(B48),B48-$B$18,"n/a")</s:f>
        <s:v>2068495.201401786</s:v>
      </s:c>
      <s:c r="F48" s="82" t="str">
        <s:f>IF(NOT(ISNUMBER(B48)),"NO",IF(B48&lt;=$B$18,"YES — forecast covers it","Need +revenue"))</s:f>
        <s:v>Need +revenue</s:v>
      </s:c>
    </s:row>
    <s:row r="50">
      <s:c r="A50" s="17" t="inlineStr">
        <s:is>
          <s:t>E.  OPERATING MARGIN AT EACH SCENARIO'S REVENUE</s:t>
        </s:is>
      </s:c>
    </s:row>
    <s:row r="51">
      <s:c r="A51" s="25" t="inlineStr">
        <s:is>
          <s:t>Scenario</s:t>
        </s:is>
      </s:c>
      <s:c r="B51" s="25" t="inlineStr">
        <s:is>
          <s:t>Net revenue</s:t>
        </s:is>
      </s:c>
      <s:c r="C51" s="25" t="inlineStr">
        <s:is>
          <s:t>Operating profit</s:t>
        </s:is>
      </s:c>
      <s:c r="D51" s="25" t="inlineStr">
        <s:is>
          <s:t>Operating margin %</s:t>
        </s:is>
      </s:c>
    </s:row>
    <s:row r="52">
      <s:c r="A52" s="3" t="inlineStr">
        <s:is>
          <s:t>Conservative</s:t>
        </s:is>
      </s:c>
      <s:c r="B52" s="107">
        <s:f>'Scenario Analysis'!N19</s:f>
        <s:v>4901645.198197</s:v>
      </s:c>
      <s:c r="C52" s="108">
        <s:f>B52*(1-$B$5)-$B$12</s:f>
        <s:v>184592.9587163045</s:v>
      </s:c>
      <s:c r="D52" s="109">
        <s:f>IFERROR(C52/B52,0)</s:f>
        <s:v>0.03765938807325434</s:v>
      </s:c>
    </s:row>
    <s:row r="53">
      <s:c r="A53" s="3" t="inlineStr">
        <s:is>
          <s:t>Base</s:t>
        </s:is>
      </s:c>
      <s:c r="B53" s="107">
        <s:f>'Scenario Analysis'!N35</s:f>
        <s:v>5162584.2919</s:v>
      </s:c>
      <s:c r="C53" s="108">
        <s:f>B53*(1-$B$5)-$B$12</s:f>
        <s:v>406918.9889374189</s:v>
      </s:c>
      <s:c r="D53" s="109">
        <s:f>IFERROR(C53/B53,0)</s:f>
        <s:v>0.07882079321704584</s:v>
      </s:c>
    </s:row>
    <s:row r="54">
      <s:c r="A54" s="3" t="inlineStr">
        <s:is>
          <s:t>Aggressive</s:t>
        </s:is>
      </s:c>
      <s:c r="B54" s="107">
        <s:f>'Scenario Analysis'!N51</s:f>
        <s:v>5425057.860985001</s:v>
      </s:c>
      <s:c r="C54" s="108">
        <s:f>B54*(1-$B$5)-$B$12</s:f>
        <s:v>630552.4270111127</s:v>
      </s:c>
      <s:c r="D54" s="109">
        <s:f>IFERROR(C54/B54,0)</s:f>
        <s:v>0.11622962246095316</s:v>
      </s:c>
    </s:row>
    <s:row r="56">
      <s:c r="A56" s="7" t="inlineStr">
        <s:is>
          <s:t>Model: Operating profit = Revenue × (1 − variable %) − fixed costs.  Required revenue for margin m = Fixed ÷ (1 − variable % − m).</s:t>
        </s:is>
      </s:c>
      <s:c r="B56" s="86" t="n"/>
      <s:c r="C56" s="86" t="n"/>
      <s:c r="D56" s="86" t="n"/>
      <s:c r="E56" s="86" t="n"/>
      <s:c r="F56" s="86" t="n"/>
      <s:c r="G56" s="87" t="n"/>
    </s:row>
    <s:row r="57">
      <s:c r="A57" s="7" t="inlineStr">
        <s:is>
          <s:t>Costs are calibrated from H1 2026 actuals (annualized = H1 x 2) and are editable. Variable = COGS; fixed = all other operating expense (incl. D&amp;A). Excludes interest, taxes on income, and nonoperating grant activity. Confirm the 2027 cost plan with the CFO.</s:t>
        </s:is>
      </s:c>
      <s:c r="B57" s="86" t="n"/>
      <s:c r="C57" s="86" t="n"/>
      <s:c r="D57" s="86" t="n"/>
      <s:c r="E57" s="86" t="n"/>
      <s:c r="F57" s="86" t="n"/>
      <s:c r="G57" s="87" t="n"/>
    </s:row>
  </s:sheetData>
  <s:mergeCells count="9">
    <s:mergeCell ref="A4:B4"/>
    <s:mergeCell ref="A1:G1"/>
    <s:mergeCell ref="A15:B15"/>
    <s:mergeCell ref="A56:G56"/>
    <s:mergeCell ref="A50:D50"/>
    <s:mergeCell ref="A28:B28"/>
    <s:mergeCell ref="A2:G2"/>
    <s:mergeCell ref="A40:F40"/>
    <s:mergeCell ref="A57:G57"/>
  </s:mergeCells>
  <s:conditionalFormatting sqref="B22">
    <s:cfRule type="cellIs" priority="1" operator="greaterThan" dxfId="6">
      <s:formula>0</s:formula>
    </s:cfRule>
    <s:cfRule type="cellIs" priority="2" operator="lessThan" dxfId="7">
      <s:formula>0</s:formula>
    </s:cfRule>
  </s:conditionalFormatting>
  <s:conditionalFormatting sqref="B23">
    <s:cfRule type="cellIs" priority="3" operator="lessThan" dxfId="7">
      <s:formula>0</s:formula>
    </s:cfRule>
  </s:conditionalFormatting>
  <s:conditionalFormatting sqref="E42:E48">
    <s:cfRule type="cellIs" priority="4" operator="lessThanOrEqual" dxfId="8">
      <s:formula>0</s:formula>
    </s:cfRule>
    <s:cfRule type="cellIs" priority="5" operator="greaterThan" dxfId="9">
      <s:formula>0</s:formula>
    </s:cfRule>
  </s:conditionalFormatting>
  <s:conditionalFormatting sqref="F42:F48">
    <s:cfRule type="expression" priority="6" dxfId="2">
      <s:formula>ISNUMBER(SEARCH("YES",F42))</s:formula>
    </s:cfRule>
    <s:cfRule type="expression" priority="7" dxfId="1">
      <s:formula>ISNUMBER(SEARCH("Need",F42))</s:formula>
    </s:cfRule>
  </s:conditionalFormatting>
  <s:conditionalFormatting sqref="C52">
    <s:cfRule type="cellIs" priority="8" operator="lessThan" dxfId="10">
      <s:formula>0</s:formula>
    </s:cfRule>
  </s:conditionalFormatting>
  <s:conditionalFormatting sqref="D52">
    <s:cfRule type="cellIs" priority="9" operator="lessThan" dxfId="10">
      <s:formula>0</s:formula>
    </s:cfRule>
  </s:conditionalFormatting>
  <s:conditionalFormatting sqref="C53">
    <s:cfRule type="cellIs" priority="10" operator="lessThan" dxfId="10">
      <s:formula>0</s:formula>
    </s:cfRule>
  </s:conditionalFormatting>
  <s:conditionalFormatting sqref="D53">
    <s:cfRule type="cellIs" priority="11" operator="lessThan" dxfId="10">
      <s:formula>0</s:formula>
    </s:cfRule>
  </s:conditionalFormatting>
  <s:conditionalFormatting sqref="C54">
    <s:cfRule type="cellIs" priority="12" operator="lessThan" dxfId="10">
      <s:formula>0</s:formula>
    </s:cfRule>
  </s:conditionalFormatting>
  <s:conditionalFormatting sqref="D54">
    <s:cfRule type="cellIs" priority="13" operator="lessThan" dxfId="10">
      <s:formula>0</s:formula>
    </s:cfRule>
  </s:conditionalFormatting>
  <s:pageMargins left="0.75" right="0.75" top="1" bottom="1" header="0.5" footer="0.5"/>
  <s:legacyDrawing r:id="anysvml"/>
</s: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30" customWidth="1" min="3" max="3"/>
  </cols>
  <sheetData>
    <row r="1" ht="30" customHeight="1">
      <c r="A1" s="1" t="inlineStr">
        <is>
          <t>DATA DICTIONARY &amp; DEFINITIONS</t>
        </is>
      </c>
    </row>
    <row r="2">
      <c r="A2" s="2" t="inlineStr">
        <is>
          <t>Definitions of every major term, assumption, and calculation used in this workbook.</t>
        </is>
      </c>
    </row>
    <row r="3">
      <c r="A3" s="64" t="inlineStr">
        <is>
          <t>Term / Metric</t>
        </is>
      </c>
      <c r="B3" s="64" t="inlineStr">
        <is>
          <t>Definition</t>
        </is>
      </c>
      <c r="C3" s="64" t="inlineStr">
        <is>
          <t>Where used / Formula</t>
        </is>
      </c>
    </row>
    <row r="4" ht="38" customHeight="1">
      <c r="A4" s="110" t="inlineStr">
        <is>
          <t>ARPU</t>
        </is>
      </c>
      <c r="B4" s="111" t="inlineStr">
        <is>
          <t>Average Revenue Per User — recurring revenue divided by the average number of billable customers in a month.</t>
        </is>
      </c>
      <c r="C4" s="112" t="inlineStr">
        <is>
          <t>Recurring revenue / Avg billable subs</t>
        </is>
      </c>
    </row>
    <row r="5" ht="38" customHeight="1">
      <c r="A5" s="110" t="inlineStr">
        <is>
          <t>MRR</t>
        </is>
      </c>
      <c r="B5" s="111" t="inlineStr">
        <is>
          <t>Monthly Recurring Revenue — contractually recurring revenue in a month, excluding one-time charges (installation, activation, construction, upfront IRU).</t>
        </is>
      </c>
      <c r="C5" s="112" t="inlineStr">
        <is>
          <t>Total recurring revenue (Consolidated)</t>
        </is>
      </c>
    </row>
    <row r="6" ht="38" customHeight="1">
      <c r="A6" s="110" t="inlineStr">
        <is>
          <t>ARR run rate</t>
        </is>
      </c>
      <c r="B6" s="111" t="inlineStr">
        <is>
          <t>Annualized Recurring Revenue — the current month's MRR multiplied by 12; a forward run-rate, not a sum of the year.</t>
        </is>
      </c>
      <c r="C6" s="112" t="inlineStr">
        <is>
          <t>MRR x 12</t>
        </is>
      </c>
    </row>
    <row r="7" ht="38" customHeight="1">
      <c r="A7" s="110" t="inlineStr">
        <is>
          <t>Gross additions</t>
        </is>
      </c>
      <c r="B7" s="111" t="inlineStr">
        <is>
          <t>New customers connected in a month before subtracting churn or disconnects.</t>
        </is>
      </c>
      <c r="C7" s="112" t="inlineStr">
        <is>
          <t>Assumption × scenario add multiplier</t>
        </is>
      </c>
    </row>
    <row r="8" ht="38" customHeight="1">
      <c r="A8" s="110" t="inlineStr">
        <is>
          <t>Net additions</t>
        </is>
      </c>
      <c r="B8" s="111" t="inlineStr">
        <is>
          <t>Gross additions + reconnects − churn disconnects − other disconnects.</t>
        </is>
      </c>
      <c r="C8" s="112" t="inlineStr">
        <is>
          <t>Roll-forward</t>
        </is>
      </c>
    </row>
    <row r="9" ht="38" customHeight="1">
      <c r="A9" s="110" t="inlineStr">
        <is>
          <t>Churn</t>
        </is>
      </c>
      <c r="B9" s="111" t="inlineStr">
        <is>
          <t>Customers who disconnect voluntarily or involuntarily. Monthly churn % is applied to the beginning subscriber base.</t>
        </is>
      </c>
      <c r="C9" s="112" t="inlineStr">
        <is>
          <t>Beginning subs × churn % × churn multiplier</t>
        </is>
      </c>
    </row>
    <row r="10" ht="38" customHeight="1">
      <c r="A10" s="110" t="inlineStr">
        <is>
          <t>Reconnects</t>
        </is>
      </c>
      <c r="B10" s="111" t="inlineStr">
        <is>
          <t>Previously disconnected customers who reconnect in the month; added back to the base.</t>
        </is>
      </c>
      <c r="C10" s="112" t="inlineStr">
        <is>
          <t>Assumption input</t>
        </is>
      </c>
    </row>
    <row r="11" ht="38" customHeight="1">
      <c r="A11" s="110" t="inlineStr">
        <is>
          <t>Average billable customers</t>
        </is>
      </c>
      <c r="B11" s="111" t="inlineStr">
        <is>
          <t>Convention for revenue timing. 'Average' = (beginning + ending)/2; alternatives are Beginning or Ending.</t>
        </is>
      </c>
      <c r="C11" s="112" t="inlineStr">
        <is>
          <t>Key Assumptions convention cell</t>
        </is>
      </c>
    </row>
    <row r="12" ht="38" customHeight="1">
      <c r="A12" s="110" t="inlineStr">
        <is>
          <t>Recurring revenue</t>
        </is>
      </c>
      <c r="B12" s="111" t="inlineStr">
        <is>
          <t>Revenue that repeats every month under a subscription or contract (broadband, DIA, static IP, managed Wi-Fi, dark fiber lease, O&amp;M).</t>
        </is>
      </c>
      <c r="C12" s="112" t="inlineStr">
        <is>
          <t>Segment recurring rows</t>
        </is>
      </c>
    </row>
    <row r="13" ht="38" customHeight="1">
      <c r="A13" s="110" t="inlineStr">
        <is>
          <t>One-time revenue</t>
        </is>
      </c>
      <c r="B13" s="111" t="inlineStr">
        <is>
          <t>Non-repeating charges: installation, activation, aid-to-construction, professional services, upfront IRU proceeds.</t>
        </is>
      </c>
      <c r="C13" s="112" t="inlineStr">
        <is>
          <t>Segment one-time rows</t>
        </is>
      </c>
    </row>
    <row r="14" ht="38" customHeight="1">
      <c r="A14" s="110" t="inlineStr">
        <is>
          <t>IRU</t>
        </is>
      </c>
      <c r="B14" s="111" t="inlineStr">
        <is>
          <t>Indefeasible Right of Use — a long-term (often 15-20 yr) prepaid right to use specific fiber strands. Upfront proceeds may be recognized immediately, straight-line over the term, or per a manual schedule. TREATMENT REQUIRES CFO / EXTERNAL ACCOUNTANT REVIEW UNDER ASC 606.</t>
        </is>
      </c>
      <c r="C14" s="112" t="inlineStr">
        <is>
          <t>Dark Fiber Forecast IRU rows</t>
        </is>
      </c>
    </row>
    <row r="15" ht="38" customHeight="1">
      <c r="A15" s="110" t="inlineStr">
        <is>
          <t>Dark fiber</t>
        </is>
      </c>
      <c r="B15" s="111" t="inlineStr">
        <is>
          <t>Unlit optical fiber leased to a customer who provides their own optronics; billed as a monthly lease, strand/pair lease, or IRU.</t>
        </is>
      </c>
      <c r="C15" s="112" t="inlineStr">
        <is>
          <t>Dark Fiber Forecast</t>
        </is>
      </c>
    </row>
    <row r="16" ht="38" customHeight="1">
      <c r="A16" s="110" t="inlineStr">
        <is>
          <t>O&amp;M revenue</t>
        </is>
      </c>
      <c r="B16" s="111" t="inlineStr">
        <is>
          <t>Operations &amp; Maintenance revenue — recurring fees for maintaining leased fiber (locates, splice repair, monitoring).</t>
        </is>
      </c>
      <c r="C16" s="112" t="inlineStr">
        <is>
          <t>Dark Fiber Forecast O&amp;M row</t>
        </is>
      </c>
    </row>
    <row r="17" ht="38" customHeight="1">
      <c r="A17" s="110" t="inlineStr">
        <is>
          <t>Revenue run rate</t>
        </is>
      </c>
      <c r="B17" s="111" t="inlineStr">
        <is>
          <t>A forward-looking annualized figure derived from a single period (e.g., December MRR × 12).</t>
        </is>
      </c>
      <c r="C17" s="112" t="inlineStr">
        <is>
          <t>ARR run rate</t>
        </is>
      </c>
    </row>
    <row r="18" ht="38" customHeight="1">
      <c r="A18" s="110" t="inlineStr">
        <is>
          <t>Revenue recognition</t>
        </is>
      </c>
      <c r="B18" s="111" t="inlineStr">
        <is>
          <t>The period in which revenue is recorded. Recurring revenue is recognized monthly across the service period; one-time and IRU per policy.</t>
        </is>
      </c>
      <c r="C18" s="112" t="inlineStr">
        <is>
          <t>Convention cells + IRU method</t>
        </is>
      </c>
    </row>
    <row r="19" ht="38" customHeight="1">
      <c r="A19" s="110" t="inlineStr">
        <is>
          <t>Effective ARPU</t>
        </is>
      </c>
      <c r="B19" s="111" t="inlineStr">
        <is>
          <t>Actual realized recurring ARPU after the ARPU step increase, computed from the model rather than the input.</t>
        </is>
      </c>
      <c r="C19" s="112" t="inlineStr">
        <is>
          <t>Std recurring / Avg subs</t>
        </is>
      </c>
    </row>
    <row r="20" ht="38" customHeight="1">
      <c r="A20" s="110" t="inlineStr">
        <is>
          <t>Scenario multiplier</t>
        </is>
      </c>
      <c r="B20" s="111" t="inlineStr">
        <is>
          <t>A factor (rows 8-10, Key Assumptions) applied to a driver (additions, churn, ARPU, DF revenue, timing) to model Conservative / Base / Aggressive outcomes.</t>
        </is>
      </c>
      <c r="C20" s="112" t="inlineStr">
        <is>
          <t>Key Assumptions rows 8-10</t>
        </is>
      </c>
    </row>
    <row r="21" ht="38" customHeight="1">
      <c r="A21" s="110" t="inlineStr">
        <is>
          <t>MTDC / F&amp;A</t>
        </is>
      </c>
      <c r="B21" s="111" t="inlineStr">
        <is>
          <t>(Reference only) Modified Total Direct Cost / Facilities &amp; Administrative — not modeled here; revenue-only workbook.</t>
        </is>
      </c>
      <c r="C21" s="112" t="inlineStr">
        <is>
          <t>n/a</t>
        </is>
      </c>
    </row>
    <row r="22" ht="38" customHeight="1">
      <c r="A22" s="110" t="inlineStr">
        <is>
          <t>Expiration alert</t>
        </is>
      </c>
      <c r="B22" s="111" t="inlineStr">
        <is>
          <t>Contract expiry flag vs 12/31/2027: RED ≤90 days, YELLOW ≤180 days, GREEN &gt;180 days, EXPIRED before year-end.</t>
        </is>
      </c>
      <c r="C22" s="112" t="inlineStr">
        <is>
          <t>Dark Fiber Forecast status column</t>
        </is>
      </c>
    </row>
    <row r="23" ht="38" customHeight="1">
      <c r="A23" s="110" t="inlineStr">
        <is>
          <t>Variable cost</t>
        </is>
      </c>
      <c r="B23" s="111" t="inlineStr">
        <is>
          <t>A cost that rises and falls with revenue/volume (bandwidth, transport, commissions, payment processing). Entered as a % of revenue.</t>
        </is>
      </c>
      <c r="C23" s="112" t="inlineStr">
        <is>
          <t>Margin Calculator B5</t>
        </is>
      </c>
    </row>
    <row r="24" ht="38" customHeight="1">
      <c r="A24" s="110" t="inlineStr">
        <is>
          <t>Fixed cost</t>
        </is>
      </c>
      <c r="B24" s="111" t="inlineStr">
        <is>
          <t>A cost that does not change with short-run revenue (network O&amp;M, salaries/G&amp;A, sales &amp; marketing, depreciation, overhead).</t>
        </is>
      </c>
      <c r="C24" s="112" t="inlineStr">
        <is>
          <t>Margin Calculator B7:B11</t>
        </is>
      </c>
    </row>
    <row r="25" ht="38" customHeight="1">
      <c r="A25" s="110" t="inlineStr">
        <is>
          <t>Contribution margin</t>
        </is>
      </c>
      <c r="B25" s="111" t="inlineStr">
        <is>
          <t>Revenue minus variable costs, i.e. Revenue x (1 - variable %). The dollars left over to cover fixed costs and profit.</t>
        </is>
      </c>
      <c r="C25" s="112" t="inlineStr">
        <is>
          <t>Margin Calculator B20 / B13</t>
        </is>
      </c>
    </row>
    <row r="26" ht="38" customHeight="1">
      <c r="A26" s="110" t="inlineStr">
        <is>
          <t>Breakeven revenue</t>
        </is>
      </c>
      <c r="B26" s="111" t="inlineStr">
        <is>
          <t>The revenue at which operating profit is exactly zero: Fixed costs / (1 - variable %).</t>
        </is>
      </c>
      <c r="C26" s="112" t="inlineStr">
        <is>
          <t>Margin Calculator B24</t>
        </is>
      </c>
    </row>
    <row r="27" ht="38" customHeight="1">
      <c r="A27" s="110" t="inlineStr">
        <is>
          <t>Operating profit (EBIT)</t>
        </is>
      </c>
      <c r="B27" s="111" t="inlineStr">
        <is>
          <t>Pre-tax profit from operations: Revenue x (1 - variable %) - fixed costs. Excludes interest and taxes.</t>
        </is>
      </c>
      <c r="C27" s="112" t="inlineStr">
        <is>
          <t>Margin Calculator B22</t>
        </is>
      </c>
    </row>
    <row r="28" ht="38" customHeight="1">
      <c r="A28" s="110" t="inlineStr">
        <is>
          <t>Target-profit required revenue</t>
        </is>
      </c>
      <c r="B28" s="111" t="inlineStr">
        <is>
          <t>Revenue needed for a chosen profit margin m: Fixed / (1 - variable % - m). For a dollar target P: (Fixed + P) / (1 - variable %).</t>
        </is>
      </c>
      <c r="C28" s="112" t="inlineStr">
        <is>
          <t>Margin Calculator section C</t>
        </is>
      </c>
    </row>
    <row r="29" ht="38" customHeight="1">
      <c r="A29" s="110" t="inlineStr">
        <is>
          <t>Margin of safety</t>
        </is>
      </c>
      <c r="B29" s="111" t="inlineStr">
        <is>
          <t>How far revenue exceeds breakeven, in dollars and %. A cushion measure — larger is safer.</t>
        </is>
      </c>
      <c r="C29" s="112" t="inlineStr">
        <is>
          <t>Margin Calculator B25:B26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2026-07-29T13:44:07Z</dcterms:created>
  <dcterms:modified xsi:type="dcterms:W3CDTF">2026-07-29T13:44:07Z</dcterms:modified>
</cp:coreProperties>
</file>