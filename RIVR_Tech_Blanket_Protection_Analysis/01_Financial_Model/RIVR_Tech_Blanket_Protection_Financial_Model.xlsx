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bscriber Forecast" sheetId="3" state="visible" r:id="rId3"/>
    <sheet xmlns:r="http://schemas.openxmlformats.org/officeDocument/2006/relationships" name="Scenario A" sheetId="4" state="visible" r:id="rId4"/>
    <sheet xmlns:r="http://schemas.openxmlformats.org/officeDocument/2006/relationships" name="Scenario B" sheetId="5" state="visible" r:id="rId5"/>
    <sheet xmlns:r="http://schemas.openxmlformats.org/officeDocument/2006/relationships" name="Enrollment Models" sheetId="6" state="visible" r:id="rId6"/>
    <sheet xmlns:r="http://schemas.openxmlformats.org/officeDocument/2006/relationships" name="Utilization Analysis" sheetId="7" state="visible" r:id="rId7"/>
    <sheet xmlns:r="http://schemas.openxmlformats.org/officeDocument/2006/relationships" name="Churn Sensitivity" sheetId="8" state="visible" r:id="rId8"/>
    <sheet xmlns:r="http://schemas.openxmlformats.org/officeDocument/2006/relationships" name="Pay-Per-Visit" sheetId="9" state="visible" r:id="rId9"/>
    <sheet xmlns:r="http://schemas.openxmlformats.org/officeDocument/2006/relationships" name="Five-Year Forecast" sheetId="10" state="visible" r:id="rId10"/>
    <sheet xmlns:r="http://schemas.openxmlformats.org/officeDocument/2006/relationships" name="Recommend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i val="1"/>
      <color rgb="006B7A82"/>
      <sz val="9"/>
    </font>
    <font>
      <b val="1"/>
      <sz val="10"/>
    </font>
    <font>
      <sz val="10"/>
    </font>
    <font>
      <b val="1"/>
      <color rgb="00FFFFFF"/>
      <sz val="10"/>
    </font>
    <font>
      <b val="1"/>
      <color rgb="000B3D5C"/>
      <sz val="11"/>
    </font>
    <font>
      <b val="1"/>
      <color rgb="000B3D5C"/>
      <sz val="13"/>
    </font>
    <font>
      <b val="1"/>
      <color rgb="002E7D5B"/>
      <sz val="12"/>
    </font>
  </fonts>
  <fills count="9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1B87B5"/>
      </patternFill>
    </fill>
    <fill>
      <patternFill patternType="solid">
        <fgColor rgb="00FFF3C4"/>
      </patternFill>
    </fill>
    <fill>
      <patternFill patternType="solid">
        <fgColor rgb="00E3F0F6"/>
      </patternFill>
    </fill>
    <fill>
      <patternFill patternType="solid">
        <fgColor rgb="00D7F0E7"/>
      </patternFill>
    </fill>
    <fill>
      <patternFill patternType="solid">
        <fgColor rgb="00F6D9CC"/>
      </patternFill>
    </fill>
    <fill>
      <patternFill patternType="solid">
        <fgColor rgb="000B3D5C"/>
      </patternFill>
    </fill>
  </fills>
  <borders count="9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  <border>
      <left/>
      <right/>
      <top style="thin">
        <color rgb="00C9D6DC"/>
      </top>
      <bottom/>
      <diagonal/>
    </border>
    <border>
      <left/>
      <right style="thin">
        <color rgb="00C9D6DC"/>
      </right>
      <top style="thin">
        <color rgb="00C9D6DC"/>
      </top>
      <bottom/>
      <diagonal/>
    </border>
    <border>
      <left/>
      <right style="thin">
        <color rgb="00C9D6DC"/>
      </right>
      <top style="thin">
        <color rgb="00C9D6DC"/>
      </top>
      <bottom style="thin">
        <color rgb="00C9D6DC"/>
      </bottom>
      <diagonal/>
    </border>
    <border>
      <left style="thin">
        <color rgb="00C9D6DC"/>
      </left>
      <right/>
      <top/>
      <bottom/>
      <diagonal/>
    </border>
    <border>
      <left/>
      <right style="thin">
        <color rgb="00C9D6DC"/>
      </right>
      <top/>
      <bottom/>
      <diagonal/>
    </border>
    <border>
      <left style="thin">
        <color rgb="00C9D6DC"/>
      </left>
      <right/>
      <top/>
      <bottom style="thin">
        <color rgb="00C9D6DC"/>
      </bottom>
      <diagonal/>
    </border>
    <border>
      <left/>
      <right style="thin">
        <color rgb="00C9D6DC"/>
      </right>
      <top/>
      <bottom style="thin">
        <color rgb="00C9D6D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8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6" fontId="8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3" fillId="0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2" fontId="4" fillId="6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6D9CC"/>
        </patternFill>
      </fill>
    </dxf>
    <dxf>
      <fill>
        <patternFill patternType="solid">
          <fgColor rgb="00D7F0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Annual by Enrollment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Dashboard'!$A$21:$A$26</f>
            </numRef>
          </cat>
          <val>
            <numRef>
              <f>'Executive Dashboard'!$B$21:$B$26</f>
            </numRef>
          </val>
        </ser>
        <ser>
          <idx val="1"/>
          <order val="1"/>
          <tx>
            <strRef>
              <f>'Executive Dashboard'!C20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Dashboard'!$A$21:$A$26</f>
            </numRef>
          </cat>
          <val>
            <numRef>
              <f>'Executive Dashboard'!$C$21:$C$26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Annual vs. Incremental Churn (Mandatory)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Dashboard'!$A$47:$A$53</f>
            </numRef>
          </cat>
          <val>
            <numRef>
              <f>'Executive Dashboard'!$B$47:$B$53</f>
            </numRef>
          </val>
        </ser>
        <ser>
          <idx val="1"/>
          <order val="1"/>
          <tx>
            <strRef>
              <f>'Executive Dashboard'!C46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Dashboard'!$A$47:$A$53</f>
            </numRef>
          </cat>
          <val>
            <numRef>
              <f>'Executive Dashboard'!$C$47:$C$53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55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RIVR Tech — Executive Dashboard</t>
        </is>
      </c>
    </row>
    <row r="2">
      <c r="A2" s="2" t="inlineStr">
        <is>
          <t>Blanket Maintenance Protection Plan — headline analysis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Warning</t>
        </is>
      </c>
    </row>
    <row r="6">
      <c r="A6" s="9" t="inlineStr">
        <is>
          <t>Loaded cost / call</t>
        </is>
      </c>
      <c r="B6" s="10" t="n"/>
      <c r="C6" s="9" t="inlineStr">
        <is>
          <t>Break-even util $3.99</t>
        </is>
      </c>
      <c r="D6" s="10" t="n"/>
      <c r="E6" s="9" t="inlineStr">
        <is>
          <t>Break-even util $4.99</t>
        </is>
      </c>
      <c r="F6" s="10" t="n"/>
      <c r="G6" s="9" t="inlineStr">
        <is>
          <t>Contribution/member $3.99</t>
        </is>
      </c>
      <c r="H6" s="10" t="n"/>
    </row>
    <row r="7">
      <c r="A7" s="11">
        <f>Assumptions!$B$35</f>
        <v/>
      </c>
      <c r="B7" s="12" t="n"/>
      <c r="C7" s="13">
        <f>'Scenario A'!$B$14</f>
        <v/>
      </c>
      <c r="D7" s="12" t="n"/>
      <c r="E7" s="13">
        <f>'Scenario B'!$B$14</f>
        <v/>
      </c>
      <c r="F7" s="12" t="n"/>
      <c r="G7" s="11">
        <f>'Scenario A'!$B$12</f>
        <v/>
      </c>
      <c r="H7" s="12" t="n"/>
    </row>
    <row r="8">
      <c r="A8" s="14" t="n"/>
      <c r="B8" s="15" t="n"/>
      <c r="C8" s="14" t="n"/>
      <c r="D8" s="15" t="n"/>
      <c r="E8" s="14" t="n"/>
      <c r="F8" s="15" t="n"/>
      <c r="G8" s="14" t="n"/>
      <c r="H8" s="15" t="n"/>
    </row>
    <row r="10">
      <c r="A10" s="9" t="inlineStr">
        <is>
          <t>Contribution/member $4.99</t>
        </is>
      </c>
      <c r="B10" s="10" t="n"/>
      <c r="C10" s="9" t="inlineStr">
        <is>
          <t>Mandatory net $3.99 (curr)</t>
        </is>
      </c>
      <c r="D10" s="10" t="n"/>
      <c r="E10" s="9" t="inlineStr">
        <is>
          <t>Mandatory net $4.99 (curr)</t>
        </is>
      </c>
      <c r="F10" s="10" t="n"/>
      <c r="G10" s="9" t="inlineStr">
        <is>
          <t>5-yr cum net (opt-in $3.99)</t>
        </is>
      </c>
      <c r="H10" s="10" t="n"/>
    </row>
    <row r="11">
      <c r="A11" s="11">
        <f>'Scenario B'!$B$12</f>
        <v/>
      </c>
      <c r="B11" s="12" t="n"/>
      <c r="C11" s="16">
        <f>'Scenario A'!$J$19</f>
        <v/>
      </c>
      <c r="D11" s="12" t="n"/>
      <c r="E11" s="16">
        <f>'Scenario B'!$J$19</f>
        <v/>
      </c>
      <c r="F11" s="12" t="n"/>
      <c r="G11" s="16">
        <f>'Five-Year Forecast'!$H$12</f>
        <v/>
      </c>
      <c r="H11" s="12" t="n"/>
    </row>
    <row r="12">
      <c r="A12" s="14" t="n"/>
      <c r="B12" s="15" t="n"/>
      <c r="C12" s="14" t="n"/>
      <c r="D12" s="15" t="n"/>
      <c r="E12" s="14" t="n"/>
      <c r="F12" s="15" t="n"/>
      <c r="G12" s="14" t="n"/>
      <c r="H12" s="15" t="n"/>
    </row>
    <row r="19">
      <c r="A19" s="17" t="inlineStr">
        <is>
          <t>Enrollment-Model Net Annual (chart data, computed snapshot)</t>
        </is>
      </c>
    </row>
    <row r="20">
      <c r="A20" s="18" t="inlineStr">
        <is>
          <t>Model</t>
        </is>
      </c>
      <c r="B20" s="18" t="inlineStr">
        <is>
          <t>Net $3.99</t>
        </is>
      </c>
      <c r="C20" s="18" t="inlineStr">
        <is>
          <t>Net $4.99</t>
        </is>
      </c>
    </row>
    <row r="21">
      <c r="A21" s="19" t="inlineStr">
        <is>
          <t>Mandatory</t>
        </is>
      </c>
      <c r="B21" s="20" t="n">
        <v>32980</v>
      </c>
      <c r="C21" s="20" t="n">
        <v>87525</v>
      </c>
    </row>
    <row r="22">
      <c r="A22" s="19" t="inlineStr">
        <is>
          <t>Opt-out 85%</t>
        </is>
      </c>
      <c r="B22" s="20" t="n">
        <v>18191</v>
      </c>
      <c r="C22" s="20" t="n">
        <v>64554</v>
      </c>
    </row>
    <row r="23">
      <c r="A23" s="19" t="inlineStr">
        <is>
          <t>Opt-out 60%</t>
        </is>
      </c>
      <c r="B23" s="20" t="n">
        <v>-6457</v>
      </c>
      <c r="C23" s="20" t="n">
        <v>26270</v>
      </c>
    </row>
    <row r="24">
      <c r="A24" s="19" t="inlineStr">
        <is>
          <t>Opt-in 40%</t>
        </is>
      </c>
      <c r="B24" s="20" t="n">
        <v>-1208</v>
      </c>
      <c r="C24" s="20" t="n">
        <v>20610</v>
      </c>
    </row>
    <row r="25">
      <c r="A25" s="19" t="inlineStr">
        <is>
          <t>Opt-in 30%</t>
        </is>
      </c>
      <c r="B25" s="20" t="n">
        <v>-6906</v>
      </c>
      <c r="C25" s="20" t="n">
        <v>9457</v>
      </c>
    </row>
    <row r="26">
      <c r="A26" s="19" t="inlineStr">
        <is>
          <t>Opt-in 20%</t>
        </is>
      </c>
      <c r="B26" s="20" t="n">
        <v>-12604</v>
      </c>
      <c r="C26" s="20" t="n">
        <v>-1695</v>
      </c>
    </row>
    <row r="45">
      <c r="A45" s="17" t="inlineStr">
        <is>
          <t>Churn Sensitivity — Net $3.99 Mandatory (snapshot)</t>
        </is>
      </c>
    </row>
    <row r="46">
      <c r="A46" s="18" t="inlineStr">
        <is>
          <t>Incr. Churn</t>
        </is>
      </c>
      <c r="B46" s="18" t="inlineStr">
        <is>
          <t>Net $3.99</t>
        </is>
      </c>
      <c r="C46" s="18" t="inlineStr">
        <is>
          <t>Net $4.99</t>
        </is>
      </c>
    </row>
    <row r="47">
      <c r="A47" s="21" t="inlineStr">
        <is>
          <t>0.00%</t>
        </is>
      </c>
      <c r="B47" s="20" t="n">
        <v>74592</v>
      </c>
      <c r="C47" s="20" t="n">
        <v>129137</v>
      </c>
    </row>
    <row r="48">
      <c r="A48" s="21" t="inlineStr">
        <is>
          <t>0.25%</t>
        </is>
      </c>
      <c r="B48" s="20" t="n">
        <v>64189</v>
      </c>
      <c r="C48" s="20" t="n">
        <v>118734</v>
      </c>
    </row>
    <row r="49">
      <c r="A49" s="21" t="inlineStr">
        <is>
          <t>0.50%</t>
        </is>
      </c>
      <c r="B49" s="20" t="n">
        <v>53786</v>
      </c>
      <c r="C49" s="20" t="n">
        <v>108331</v>
      </c>
    </row>
    <row r="50">
      <c r="A50" s="21" t="inlineStr">
        <is>
          <t>1.00%</t>
        </is>
      </c>
      <c r="B50" s="20" t="n">
        <v>32980</v>
      </c>
      <c r="C50" s="20" t="n">
        <v>87525</v>
      </c>
    </row>
    <row r="51">
      <c r="A51" s="21" t="inlineStr">
        <is>
          <t>2.00%</t>
        </is>
      </c>
      <c r="B51" s="20" t="n">
        <v>-8632</v>
      </c>
      <c r="C51" s="20" t="n">
        <v>45913</v>
      </c>
    </row>
    <row r="52">
      <c r="A52" s="21" t="inlineStr">
        <is>
          <t>3.00%</t>
        </is>
      </c>
      <c r="B52" s="20" t="n">
        <v>-50243</v>
      </c>
      <c r="C52" s="20" t="n">
        <v>4302</v>
      </c>
    </row>
    <row r="53">
      <c r="A53" s="21" t="inlineStr">
        <is>
          <t>5.00%</t>
        </is>
      </c>
      <c r="B53" s="20" t="n">
        <v>-133467</v>
      </c>
      <c r="C53" s="20" t="n">
        <v>-78922</v>
      </c>
    </row>
  </sheetData>
  <mergeCells count="19">
    <mergeCell ref="C6:D6"/>
    <mergeCell ref="C11:D12"/>
    <mergeCell ref="E11:F12"/>
    <mergeCell ref="A1:H1"/>
    <mergeCell ref="A6:B6"/>
    <mergeCell ref="C10:D10"/>
    <mergeCell ref="C7:D8"/>
    <mergeCell ref="E10:F10"/>
    <mergeCell ref="E7:F8"/>
    <mergeCell ref="G10:H10"/>
    <mergeCell ref="G6:H6"/>
    <mergeCell ref="A3:H3"/>
    <mergeCell ref="E6:F6"/>
    <mergeCell ref="A2:H2"/>
    <mergeCell ref="A11:B12"/>
    <mergeCell ref="G11:H12"/>
    <mergeCell ref="G7:H8"/>
    <mergeCell ref="A7:B8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16" customWidth="1" min="4" max="4"/>
    <col width="48" customWidth="1" min="5" max="5"/>
  </cols>
  <sheetData>
    <row r="1" ht="28" customHeight="1">
      <c r="A1" s="1" t="inlineStr">
        <is>
          <t>RIVR Tech — Assumptions</t>
        </is>
      </c>
    </row>
    <row r="2">
      <c r="A2" s="2" t="inlineStr">
        <is>
          <t>Edit yellow cells — all scenarios recalculate from here.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Warning</t>
        </is>
      </c>
    </row>
    <row r="6">
      <c r="A6" s="18" t="inlineStr">
        <is>
          <t>Assumption</t>
        </is>
      </c>
      <c r="B6" s="18" t="inlineStr">
        <is>
          <t>Value</t>
        </is>
      </c>
      <c r="C6" s="18" t="inlineStr">
        <is>
          <t>Unit</t>
        </is>
      </c>
      <c r="D6" s="18" t="inlineStr">
        <is>
          <t>Type</t>
        </is>
      </c>
      <c r="E6" s="18" t="inlineStr">
        <is>
          <t>Note</t>
        </is>
      </c>
    </row>
    <row r="7">
      <c r="A7" s="22" t="inlineStr">
        <is>
          <t>Current residential subscribers</t>
        </is>
      </c>
      <c r="B7" s="23" t="n">
        <v>4686</v>
      </c>
      <c r="C7" s="21" t="inlineStr">
        <is>
          <t>count</t>
        </is>
      </c>
      <c r="D7" s="24" t="inlineStr">
        <is>
          <t>Assumption</t>
        </is>
      </c>
      <c r="E7" s="25" t="inlineStr">
        <is>
          <t>Editable — starting residential internet accounts.</t>
        </is>
      </c>
    </row>
    <row r="8">
      <c r="A8" s="22" t="inlineStr">
        <is>
          <t>Monthly subscriber growth</t>
        </is>
      </c>
      <c r="B8" s="26" t="n">
        <v>0.01</v>
      </c>
      <c r="C8" s="21" t="inlineStr">
        <is>
          <t>pct</t>
        </is>
      </c>
      <c r="D8" s="24" t="inlineStr">
        <is>
          <t>Assumption</t>
        </is>
      </c>
      <c r="E8" s="25" t="inlineStr">
        <is>
          <t>Assumption — ~12.7%/yr compounded.</t>
        </is>
      </c>
    </row>
    <row r="9">
      <c r="A9" s="22" t="inlineStr">
        <is>
          <t>Average residential ARPU (monthly)</t>
        </is>
      </c>
      <c r="B9" s="27" t="n">
        <v>74</v>
      </c>
      <c r="C9" s="21" t="inlineStr">
        <is>
          <t>usd</t>
        </is>
      </c>
      <c r="D9" s="24" t="inlineStr">
        <is>
          <t>Given/Scenario</t>
        </is>
      </c>
      <c r="E9" s="25" t="inlineStr">
        <is>
          <t>Provided.</t>
        </is>
      </c>
    </row>
    <row r="10">
      <c r="A10" s="22" t="inlineStr">
        <is>
          <t>Plan price — Scenario A (monthly)</t>
        </is>
      </c>
      <c r="B10" s="27" t="n">
        <v>3.99</v>
      </c>
      <c r="C10" s="21" t="inlineStr">
        <is>
          <t>usd</t>
        </is>
      </c>
      <c r="D10" s="24" t="inlineStr">
        <is>
          <t>Given/Scenario</t>
        </is>
      </c>
      <c r="E10" s="25" t="inlineStr">
        <is>
          <t>Scenario A.</t>
        </is>
      </c>
    </row>
    <row r="11">
      <c r="A11" s="22" t="inlineStr">
        <is>
          <t>Plan price — Scenario B (monthly)</t>
        </is>
      </c>
      <c r="B11" s="27" t="n">
        <v>4.99</v>
      </c>
      <c r="C11" s="21" t="inlineStr">
        <is>
          <t>usd</t>
        </is>
      </c>
      <c r="D11" s="24" t="inlineStr">
        <is>
          <t>Given/Scenario</t>
        </is>
      </c>
      <c r="E11" s="25" t="inlineStr">
        <is>
          <t>Scenario B.</t>
        </is>
      </c>
    </row>
    <row r="12">
      <c r="A12" s="22" t="inlineStr">
        <is>
          <t>Enrollment % (driver)</t>
        </is>
      </c>
      <c r="B12" s="26" t="n">
        <v>0.4</v>
      </c>
      <c r="C12" s="21" t="inlineStr">
        <is>
          <t>pct</t>
        </is>
      </c>
      <c r="D12" s="24" t="inlineStr">
        <is>
          <t>Assumption</t>
        </is>
      </c>
      <c r="E12" s="25" t="inlineStr">
        <is>
          <t>Default driver — overridden per enrollment model.</t>
        </is>
      </c>
    </row>
    <row r="13">
      <c r="A13" s="22" t="inlineStr">
        <is>
          <t>Baseline monthly disconnect/churn</t>
        </is>
      </c>
      <c r="B13" s="26" t="n">
        <v>0.015</v>
      </c>
      <c r="C13" s="21" t="inlineStr">
        <is>
          <t>pct</t>
        </is>
      </c>
      <c r="D13" s="24" t="inlineStr">
        <is>
          <t>Assumption</t>
        </is>
      </c>
      <c r="E13" s="25" t="inlineStr">
        <is>
          <t>Assumption — ~16.6%/yr baseline.</t>
        </is>
      </c>
    </row>
    <row r="14">
      <c r="A14" s="22" t="inlineStr">
        <is>
          <t>Incremental annual churn from the fee</t>
        </is>
      </c>
      <c r="B14" s="26" t="n">
        <v>0.01</v>
      </c>
      <c r="C14" s="21" t="inlineStr">
        <is>
          <t>pct</t>
        </is>
      </c>
      <c r="D14" s="24" t="inlineStr">
        <is>
          <t>Assumption</t>
        </is>
      </c>
      <c r="E14" s="25" t="inlineStr">
        <is>
          <t>Driver — tested 0%-5%.</t>
        </is>
      </c>
    </row>
    <row r="15">
      <c r="A15" s="22" t="inlineStr">
        <is>
          <t>% of customers generating a trouble call/yr</t>
        </is>
      </c>
      <c r="B15" s="26" t="n">
        <v>0.3</v>
      </c>
      <c r="C15" s="21" t="inlineStr">
        <is>
          <t>pct</t>
        </is>
      </c>
      <c r="D15" s="24" t="inlineStr">
        <is>
          <t>Assumption</t>
        </is>
      </c>
      <c r="E15" s="25" t="inlineStr">
        <is>
          <t>Assumption.</t>
        </is>
      </c>
    </row>
    <row r="16">
      <c r="A16" s="22" t="inlineStr">
        <is>
          <t>% of calls that are customer-caused</t>
        </is>
      </c>
      <c r="B16" s="26" t="n">
        <v>0.45</v>
      </c>
      <c r="C16" s="21" t="inlineStr">
        <is>
          <t>pct</t>
        </is>
      </c>
      <c r="D16" s="24" t="inlineStr">
        <is>
          <t>Assumption</t>
        </is>
      </c>
      <c r="E16" s="25" t="inlineStr">
        <is>
          <t>Assumption — remainder are RIVR-network/equipment (free).</t>
        </is>
      </c>
    </row>
    <row r="17">
      <c r="A17" s="22" t="inlineStr">
        <is>
          <t>Expected annual covered-visit utilization</t>
        </is>
      </c>
      <c r="B17" s="26" t="n">
        <v>0.15</v>
      </c>
      <c r="C17" s="21" t="inlineStr">
        <is>
          <t>pct</t>
        </is>
      </c>
      <c r="D17" s="24" t="inlineStr">
        <is>
          <t>Assumption</t>
        </is>
      </c>
      <c r="E17" s="25" t="inlineStr">
        <is>
          <t>Share of ENROLLED members using a covered visit/yr.</t>
        </is>
      </c>
    </row>
    <row r="18">
      <c r="A18" s="22" t="inlineStr">
        <is>
          <t>Technician labor time per call (hr)</t>
        </is>
      </c>
      <c r="B18" s="23" t="n">
        <v>1</v>
      </c>
      <c r="C18" s="21" t="inlineStr">
        <is>
          <t>hours</t>
        </is>
      </c>
      <c r="D18" s="24" t="inlineStr">
        <is>
          <t>Assumption</t>
        </is>
      </c>
      <c r="E18" s="25" t="inlineStr">
        <is>
          <t>On-site time.</t>
        </is>
      </c>
    </row>
    <row r="19">
      <c r="A19" s="22" t="inlineStr">
        <is>
          <t>Fully burdened technician rate (/hr)</t>
        </is>
      </c>
      <c r="B19" s="28" t="n">
        <v>68</v>
      </c>
      <c r="C19" s="21" t="inlineStr">
        <is>
          <t>usd</t>
        </is>
      </c>
      <c r="D19" s="24" t="inlineStr">
        <is>
          <t>Assumption</t>
        </is>
      </c>
      <c r="E19" s="25" t="inlineStr">
        <is>
          <t>Wages + benefits + burden.</t>
        </is>
      </c>
    </row>
    <row r="20">
      <c r="A20" s="22" t="inlineStr">
        <is>
          <t>Dispatch &amp; scheduling time (hr)</t>
        </is>
      </c>
      <c r="B20" s="23" t="n">
        <v>0.25</v>
      </c>
      <c r="C20" s="21" t="inlineStr">
        <is>
          <t>hours</t>
        </is>
      </c>
      <c r="D20" s="24" t="inlineStr">
        <is>
          <t>Assumption</t>
        </is>
      </c>
      <c r="E20" s="25" t="inlineStr">
        <is>
          <t>Per truck roll.</t>
        </is>
      </c>
    </row>
    <row r="21">
      <c r="A21" s="22" t="inlineStr">
        <is>
          <t>Vehicle cost per truck roll</t>
        </is>
      </c>
      <c r="B21" s="28" t="n">
        <v>22</v>
      </c>
      <c r="C21" s="21" t="inlineStr">
        <is>
          <t>usd</t>
        </is>
      </c>
      <c r="D21" s="24" t="inlineStr">
        <is>
          <t>Assumption</t>
        </is>
      </c>
      <c r="E21" s="25" t="inlineStr">
        <is>
          <t>Depreciation + maintenance.</t>
        </is>
      </c>
    </row>
    <row r="22">
      <c r="A22" s="22" t="inlineStr">
        <is>
          <t>Fuel per truck roll</t>
        </is>
      </c>
      <c r="B22" s="28" t="n">
        <v>9</v>
      </c>
      <c r="C22" s="21" t="inlineStr">
        <is>
          <t>usd</t>
        </is>
      </c>
      <c r="D22" s="24" t="inlineStr">
        <is>
          <t>Assumption</t>
        </is>
      </c>
      <c r="E22" s="25" t="inlineStr">
        <is>
          <t>Assumption.</t>
        </is>
      </c>
    </row>
    <row r="23">
      <c r="A23" s="22" t="inlineStr">
        <is>
          <t>Average materials per call</t>
        </is>
      </c>
      <c r="B23" s="28" t="n">
        <v>12</v>
      </c>
      <c r="C23" s="21" t="inlineStr">
        <is>
          <t>usd</t>
        </is>
      </c>
      <c r="D23" s="24" t="inlineStr">
        <is>
          <t>Assumption</t>
        </is>
      </c>
      <c r="E23" s="25" t="inlineStr">
        <is>
          <t>Consumables/connectors.</t>
        </is>
      </c>
    </row>
    <row r="24">
      <c r="A24" s="22" t="inlineStr">
        <is>
          <t>Repeat-dispatch rate</t>
        </is>
      </c>
      <c r="B24" s="26" t="n">
        <v>0.12</v>
      </c>
      <c r="C24" s="21" t="inlineStr">
        <is>
          <t>pct</t>
        </is>
      </c>
      <c r="D24" s="24" t="inlineStr">
        <is>
          <t>Assumption</t>
        </is>
      </c>
      <c r="E24" s="25" t="inlineStr">
        <is>
          <t>Share of calls needing a second roll.</t>
        </is>
      </c>
    </row>
    <row r="25">
      <c r="A25" s="22" t="inlineStr">
        <is>
          <t>Call-center handling cost per call</t>
        </is>
      </c>
      <c r="B25" s="28" t="n">
        <v>6</v>
      </c>
      <c r="C25" s="21" t="inlineStr">
        <is>
          <t>usd</t>
        </is>
      </c>
      <c r="D25" s="24" t="inlineStr">
        <is>
          <t>Assumption</t>
        </is>
      </c>
      <c r="E25" s="25" t="inlineStr">
        <is>
          <t>Per covered interaction.</t>
        </is>
      </c>
    </row>
    <row r="26">
      <c r="A26" s="22" t="inlineStr">
        <is>
          <t>Billing &amp; collection cost per member/yr</t>
        </is>
      </c>
      <c r="B26" s="28" t="n">
        <v>3</v>
      </c>
      <c r="C26" s="21" t="inlineStr">
        <is>
          <t>usd</t>
        </is>
      </c>
      <c r="D26" s="24" t="inlineStr">
        <is>
          <t>Assumption</t>
        </is>
      </c>
      <c r="E26" s="25" t="inlineStr">
        <is>
          <t>Invoice, posting, servicing.</t>
        </is>
      </c>
    </row>
    <row r="27">
      <c r="A27" s="22" t="inlineStr">
        <is>
          <t>Annual price increase</t>
        </is>
      </c>
      <c r="B27" s="26" t="n">
        <v>0.03</v>
      </c>
      <c r="C27" s="21" t="inlineStr">
        <is>
          <t>pct</t>
        </is>
      </c>
      <c r="D27" s="24" t="inlineStr">
        <is>
          <t>Assumption</t>
        </is>
      </c>
      <c r="E27" s="25" t="inlineStr">
        <is>
          <t>For 5-year forecast.</t>
        </is>
      </c>
    </row>
    <row r="28">
      <c r="A28" s="22" t="inlineStr">
        <is>
          <t>Bad-debt / nonpayment %</t>
        </is>
      </c>
      <c r="B28" s="26" t="n">
        <v>0.03</v>
      </c>
      <c r="C28" s="21" t="inlineStr">
        <is>
          <t>pct</t>
        </is>
      </c>
      <c r="D28" s="24" t="inlineStr">
        <is>
          <t>Assumption</t>
        </is>
      </c>
      <c r="E28" s="25" t="inlineStr">
        <is>
          <t>Uncollectible plan revenue.</t>
        </is>
      </c>
    </row>
    <row r="29">
      <c r="A29" s="22" t="inlineStr">
        <is>
          <t>Covered visits allowed annually</t>
        </is>
      </c>
      <c r="B29" s="29" t="n">
        <v>2</v>
      </c>
      <c r="C29" s="21" t="inlineStr">
        <is>
          <t>count</t>
        </is>
      </c>
      <c r="D29" s="24" t="inlineStr">
        <is>
          <t>Given/Scenario</t>
        </is>
      </c>
      <c r="E29" s="25" t="inlineStr">
        <is>
          <t>Standard tier default.</t>
        </is>
      </c>
    </row>
    <row r="30">
      <c r="A30" s="22" t="inlineStr">
        <is>
          <t>Billing-system implementation (one-time)</t>
        </is>
      </c>
      <c r="B30" s="28" t="n">
        <v>25000</v>
      </c>
      <c r="C30" s="21" t="inlineStr">
        <is>
          <t>usd</t>
        </is>
      </c>
      <c r="D30" s="24" t="inlineStr">
        <is>
          <t>Assumption</t>
        </is>
      </c>
      <c r="E30" s="25" t="inlineStr">
        <is>
          <t>NISC codes, config, testing.</t>
        </is>
      </c>
    </row>
    <row r="31">
      <c r="A31" s="22" t="inlineStr">
        <is>
          <t>Initial launch expense (one-time)</t>
        </is>
      </c>
      <c r="B31" s="28" t="n">
        <v>15000</v>
      </c>
      <c r="C31" s="21" t="inlineStr">
        <is>
          <t>usd</t>
        </is>
      </c>
      <c r="D31" s="24" t="inlineStr">
        <is>
          <t>Assumption</t>
        </is>
      </c>
      <c r="E31" s="25" t="inlineStr">
        <is>
          <t>Comms, print, legal review support.</t>
        </is>
      </c>
    </row>
    <row r="32">
      <c r="A32" s="22" t="inlineStr">
        <is>
          <t>Ongoing program management (annual)</t>
        </is>
      </c>
      <c r="B32" s="28" t="n">
        <v>18000</v>
      </c>
      <c r="C32" s="21" t="inlineStr">
        <is>
          <t>usd</t>
        </is>
      </c>
      <c r="D32" s="24" t="inlineStr">
        <is>
          <t>Assumption</t>
        </is>
      </c>
      <c r="E32" s="25" t="inlineStr">
        <is>
          <t>Reporting, QA, admin oversight.</t>
        </is>
      </c>
    </row>
    <row r="33">
      <c r="A33" s="22" t="inlineStr">
        <is>
          <t>Customer communication expense (annual)</t>
        </is>
      </c>
      <c r="B33" s="28" t="n">
        <v>6000</v>
      </c>
      <c r="C33" s="21" t="inlineStr">
        <is>
          <t>usd</t>
        </is>
      </c>
      <c r="D33" s="24" t="inlineStr">
        <is>
          <t>Assumption</t>
        </is>
      </c>
      <c r="E33" s="25" t="inlineStr">
        <is>
          <t>Bill inserts, email, notices.</t>
        </is>
      </c>
    </row>
    <row r="34">
      <c r="A34" s="22" t="inlineStr">
        <is>
          <t>Pay-per-visit collection rate</t>
        </is>
      </c>
      <c r="B34" s="26" t="n">
        <v>0.8</v>
      </c>
      <c r="C34" s="21" t="inlineStr">
        <is>
          <t>pct</t>
        </is>
      </c>
      <c r="D34" s="24" t="inlineStr">
        <is>
          <t>Assumption</t>
        </is>
      </c>
      <c r="E34" s="25" t="inlineStr">
        <is>
          <t>Share of billed visit fees collected.</t>
        </is>
      </c>
    </row>
    <row r="35">
      <c r="A35" s="19" t="inlineStr">
        <is>
          <t>Cost per covered call (loaded, computed)</t>
        </is>
      </c>
      <c r="B35" s="30">
        <f>((Assumptions!$B$18+Assumptions!$B$20)*Assumptions!$B$19+Assumptions!$B$21+Assumptions!$B$22+Assumptions!$B$23)*(1+Assumptions!$B$24)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6" customWidth="1" min="4" max="4"/>
  </cols>
  <sheetData>
    <row r="1" ht="28" customHeight="1">
      <c r="A1" s="1" t="inlineStr">
        <is>
          <t>RIVR Tech — Subscriber Forecast</t>
        </is>
      </c>
    </row>
    <row r="2">
      <c r="A2" s="2" t="inlineStr">
        <is>
          <t>Modeled subscriber levels + 5-year organic growth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Modeled subscriber levels</t>
        </is>
      </c>
    </row>
    <row r="6">
      <c r="A6" s="18" t="inlineStr">
        <is>
          <t>Subscriber Level</t>
        </is>
      </c>
      <c r="B6" s="18" t="inlineStr">
        <is>
          <t>Monthly Plan Rev @ $3.99 (100%)</t>
        </is>
      </c>
      <c r="C6" s="18" t="inlineStr">
        <is>
          <t>Monthly Plan Rev @ $4.99 (100%)</t>
        </is>
      </c>
    </row>
    <row r="7">
      <c r="A7" s="23" t="n">
        <v>4686</v>
      </c>
      <c r="B7" s="31">
        <f>A7*Assumptions!$B$10</f>
        <v/>
      </c>
      <c r="C7" s="31">
        <f>A7*Assumptions!$B$11</f>
        <v/>
      </c>
    </row>
    <row r="8">
      <c r="A8" s="23" t="n">
        <v>5000</v>
      </c>
      <c r="B8" s="31">
        <f>A8*Assumptions!$B$10</f>
        <v/>
      </c>
      <c r="C8" s="31">
        <f>A8*Assumptions!$B$11</f>
        <v/>
      </c>
    </row>
    <row r="9">
      <c r="A9" s="23" t="n">
        <v>5500</v>
      </c>
      <c r="B9" s="31">
        <f>A9*Assumptions!$B$10</f>
        <v/>
      </c>
      <c r="C9" s="31">
        <f>A9*Assumptions!$B$11</f>
        <v/>
      </c>
    </row>
    <row r="10">
      <c r="A10" s="23" t="n">
        <v>6000</v>
      </c>
      <c r="B10" s="31">
        <f>A10*Assumptions!$B$10</f>
        <v/>
      </c>
      <c r="C10" s="31">
        <f>A10*Assumptions!$B$11</f>
        <v/>
      </c>
    </row>
    <row r="11">
      <c r="A11" s="23" t="n">
        <v>7500</v>
      </c>
      <c r="B11" s="31">
        <f>A11*Assumptions!$B$10</f>
        <v/>
      </c>
      <c r="C11" s="31">
        <f>A11*Assumptions!$B$11</f>
        <v/>
      </c>
    </row>
    <row r="12">
      <c r="A12" s="23" t="n">
        <v>10000</v>
      </c>
      <c r="B12" s="31">
        <f>A12*Assumptions!$B$10</f>
        <v/>
      </c>
      <c r="C12" s="31">
        <f>A12*Assumptions!$B$11</f>
        <v/>
      </c>
    </row>
    <row r="14">
      <c r="A14" s="17" t="inlineStr">
        <is>
          <t>5-Year organic growth (from current subscribers)</t>
        </is>
      </c>
    </row>
    <row r="15">
      <c r="A15" s="18" t="inlineStr">
        <is>
          <t>Year</t>
        </is>
      </c>
      <c r="B15" s="18" t="inlineStr">
        <is>
          <t>Subscribers</t>
        </is>
      </c>
      <c r="C15" s="18" t="inlineStr">
        <is>
          <t>@ $3.99 100% Annual</t>
        </is>
      </c>
      <c r="D15" s="18" t="inlineStr">
        <is>
          <t>@ $4.99 100% Annual</t>
        </is>
      </c>
    </row>
    <row r="16">
      <c r="A16" s="21" t="n">
        <v>1</v>
      </c>
      <c r="B16" s="32">
        <f>Assumptions!$B$7</f>
        <v/>
      </c>
      <c r="C16" s="31">
        <f>B16*Assumptions!$B$10*12</f>
        <v/>
      </c>
      <c r="D16" s="31">
        <f>B16*Assumptions!$B$11*12</f>
        <v/>
      </c>
    </row>
    <row r="17">
      <c r="A17" s="21" t="n">
        <v>2</v>
      </c>
      <c r="B17" s="32">
        <f>B16*(1+Assumptions!$B$8)^12</f>
        <v/>
      </c>
      <c r="C17" s="31">
        <f>B17*Assumptions!$B$10*12</f>
        <v/>
      </c>
      <c r="D17" s="31">
        <f>B17*Assumptions!$B$11*12</f>
        <v/>
      </c>
    </row>
    <row r="18">
      <c r="A18" s="21" t="n">
        <v>3</v>
      </c>
      <c r="B18" s="32">
        <f>B17*(1+Assumptions!$B$8)^12</f>
        <v/>
      </c>
      <c r="C18" s="31">
        <f>B18*Assumptions!$B$10*12</f>
        <v/>
      </c>
      <c r="D18" s="31">
        <f>B18*Assumptions!$B$11*12</f>
        <v/>
      </c>
    </row>
    <row r="19">
      <c r="A19" s="21" t="n">
        <v>4</v>
      </c>
      <c r="B19" s="32">
        <f>B18*(1+Assumptions!$B$8)^12</f>
        <v/>
      </c>
      <c r="C19" s="31">
        <f>B19*Assumptions!$B$10*12</f>
        <v/>
      </c>
      <c r="D19" s="31">
        <f>B19*Assumptions!$B$11*12</f>
        <v/>
      </c>
    </row>
    <row r="20">
      <c r="A20" s="21" t="n">
        <v>5</v>
      </c>
      <c r="B20" s="32">
        <f>B19*(1+Assumptions!$B$8)^12</f>
        <v/>
      </c>
      <c r="C20" s="31">
        <f>B20*Assumptions!$B$10*12</f>
        <v/>
      </c>
      <c r="D20" s="31">
        <f>B20*Assumptions!$B$11*12</f>
        <v/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5" customWidth="1" min="10" max="10"/>
    <col width="12" customWidth="1" min="11" max="11"/>
  </cols>
  <sheetData>
    <row r="1" ht="28" customHeight="1">
      <c r="A1" s="1" t="inlineStr">
        <is>
          <t>RIVR Tech — Scenario A — $3.99/month</t>
        </is>
      </c>
    </row>
    <row r="2">
      <c r="A2" s="2" t="inlineStr">
        <is>
          <t>Per-member economics + mandatory totals across subscriber levels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Per-enrolled-member annual economics (at expected utilization)</t>
        </is>
      </c>
    </row>
    <row r="7">
      <c r="A7" s="24" t="inlineStr">
        <is>
          <t>Plan revenue / member</t>
        </is>
      </c>
      <c r="B7" s="33">
        <f>Assumptions!$B$10*12</f>
        <v/>
      </c>
    </row>
    <row r="8">
      <c r="A8" s="24" t="inlineStr">
        <is>
          <t>Covered service-call expense / member</t>
        </is>
      </c>
      <c r="B8" s="33">
        <f>Assumptions!$B$17*Assumptions!$B$35</f>
        <v/>
      </c>
    </row>
    <row r="9">
      <c r="A9" s="24" t="inlineStr">
        <is>
          <t>Call-center expense / member</t>
        </is>
      </c>
      <c r="B9" s="33">
        <f>Assumptions!$B$17*Assumptions!$B$25</f>
        <v/>
      </c>
    </row>
    <row r="10">
      <c r="A10" s="24" t="inlineStr">
        <is>
          <t>Billing &amp; admin / member</t>
        </is>
      </c>
      <c r="B10" s="33">
        <f>Assumptions!$B$26</f>
        <v/>
      </c>
    </row>
    <row r="11">
      <c r="A11" s="24" t="inlineStr">
        <is>
          <t>Bad debt / member</t>
        </is>
      </c>
      <c r="B11" s="33">
        <f>Assumptions!$B$10*12*Assumptions!$B$28</f>
        <v/>
      </c>
    </row>
    <row r="12">
      <c r="A12" s="19" t="inlineStr">
        <is>
          <t>Contribution / member</t>
        </is>
      </c>
      <c r="B12" s="34">
        <f>B7-B8-B9-B10-B11</f>
        <v/>
      </c>
    </row>
    <row r="13">
      <c r="A13" s="19" t="inlineStr">
        <is>
          <t>Contribution margin %</t>
        </is>
      </c>
      <c r="B13" s="35">
        <f>B12/B7</f>
        <v/>
      </c>
    </row>
    <row r="14">
      <c r="A14" s="19" t="inlineStr">
        <is>
          <t>Break-even utilization</t>
        </is>
      </c>
      <c r="B14" s="36">
        <f>(B7-B10-B11)/(Assumptions!$B$35+Assumptions!$B$25)</f>
        <v/>
      </c>
    </row>
    <row r="17">
      <c r="A17" s="17" t="inlineStr">
        <is>
          <t>Mandatory (100% enrolled) annual totals by subscriber level</t>
        </is>
      </c>
    </row>
    <row r="18">
      <c r="A18" s="18" t="inlineStr">
        <is>
          <t>Subs</t>
        </is>
      </c>
      <c r="B18" s="18" t="inlineStr">
        <is>
          <t>Enrolled</t>
        </is>
      </c>
      <c r="C18" s="18" t="inlineStr">
        <is>
          <t>Gross Annual</t>
        </is>
      </c>
      <c r="D18" s="18" t="inlineStr">
        <is>
          <t>Covered Exp</t>
        </is>
      </c>
      <c r="E18" s="18" t="inlineStr">
        <is>
          <t>CC Exp</t>
        </is>
      </c>
      <c r="F18" s="18" t="inlineStr">
        <is>
          <t>Admin</t>
        </is>
      </c>
      <c r="G18" s="18" t="inlineStr">
        <is>
          <t>Bad Debt</t>
        </is>
      </c>
      <c r="H18" s="18" t="inlineStr">
        <is>
          <t>Fixed</t>
        </is>
      </c>
      <c r="I18" s="18" t="inlineStr">
        <is>
          <t>Churn Loss</t>
        </is>
      </c>
      <c r="J18" s="18" t="inlineStr">
        <is>
          <t>Net Annual (Y2+)</t>
        </is>
      </c>
      <c r="K18" s="18" t="inlineStr">
        <is>
          <t>Net Margin %</t>
        </is>
      </c>
    </row>
    <row r="19">
      <c r="A19" s="37" t="n">
        <v>4686</v>
      </c>
      <c r="B19" s="38">
        <f>A19*1</f>
        <v/>
      </c>
      <c r="C19" s="20">
        <f>B19*Assumptions!$B$10*12</f>
        <v/>
      </c>
      <c r="D19" s="20">
        <f>B19*Assumptions!$B$17*Assumptions!$B$35</f>
        <v/>
      </c>
      <c r="E19" s="20">
        <f>B19*Assumptions!$B$17*Assumptions!$B$25</f>
        <v/>
      </c>
      <c r="F19" s="20">
        <f>B19*Assumptions!$B$26</f>
        <v/>
      </c>
      <c r="G19" s="20">
        <f>C19*Assumptions!$B$28</f>
        <v/>
      </c>
      <c r="H19" s="20">
        <f>Assumptions!$B$32+Assumptions!$B$33</f>
        <v/>
      </c>
      <c r="I19" s="20">
        <f>A19*Assumptions!$B$14*Assumptions!$B$9*12</f>
        <v/>
      </c>
      <c r="J19" s="39">
        <f>C19-D19-E19-F19-G19-H19-I19</f>
        <v/>
      </c>
      <c r="K19" s="40">
        <f>J19/C19</f>
        <v/>
      </c>
    </row>
    <row r="20">
      <c r="A20" s="37" t="n">
        <v>5000</v>
      </c>
      <c r="B20" s="38">
        <f>A20*1</f>
        <v/>
      </c>
      <c r="C20" s="20">
        <f>B20*Assumptions!$B$10*12</f>
        <v/>
      </c>
      <c r="D20" s="20">
        <f>B20*Assumptions!$B$17*Assumptions!$B$35</f>
        <v/>
      </c>
      <c r="E20" s="20">
        <f>B20*Assumptions!$B$17*Assumptions!$B$25</f>
        <v/>
      </c>
      <c r="F20" s="20">
        <f>B20*Assumptions!$B$26</f>
        <v/>
      </c>
      <c r="G20" s="20">
        <f>C20*Assumptions!$B$28</f>
        <v/>
      </c>
      <c r="H20" s="20">
        <f>Assumptions!$B$32+Assumptions!$B$33</f>
        <v/>
      </c>
      <c r="I20" s="20">
        <f>A20*Assumptions!$B$14*Assumptions!$B$9*12</f>
        <v/>
      </c>
      <c r="J20" s="39">
        <f>C20-D20-E20-F20-G20-H20-I20</f>
        <v/>
      </c>
      <c r="K20" s="40">
        <f>J20/C20</f>
        <v/>
      </c>
    </row>
    <row r="21">
      <c r="A21" s="37" t="n">
        <v>5500</v>
      </c>
      <c r="B21" s="38">
        <f>A21*1</f>
        <v/>
      </c>
      <c r="C21" s="20">
        <f>B21*Assumptions!$B$10*12</f>
        <v/>
      </c>
      <c r="D21" s="20">
        <f>B21*Assumptions!$B$17*Assumptions!$B$35</f>
        <v/>
      </c>
      <c r="E21" s="20">
        <f>B21*Assumptions!$B$17*Assumptions!$B$25</f>
        <v/>
      </c>
      <c r="F21" s="20">
        <f>B21*Assumptions!$B$26</f>
        <v/>
      </c>
      <c r="G21" s="20">
        <f>C21*Assumptions!$B$28</f>
        <v/>
      </c>
      <c r="H21" s="20">
        <f>Assumptions!$B$32+Assumptions!$B$33</f>
        <v/>
      </c>
      <c r="I21" s="20">
        <f>A21*Assumptions!$B$14*Assumptions!$B$9*12</f>
        <v/>
      </c>
      <c r="J21" s="39">
        <f>C21-D21-E21-F21-G21-H21-I21</f>
        <v/>
      </c>
      <c r="K21" s="40">
        <f>J21/C21</f>
        <v/>
      </c>
    </row>
    <row r="22">
      <c r="A22" s="37" t="n">
        <v>6000</v>
      </c>
      <c r="B22" s="38">
        <f>A22*1</f>
        <v/>
      </c>
      <c r="C22" s="20">
        <f>B22*Assumptions!$B$10*12</f>
        <v/>
      </c>
      <c r="D22" s="20">
        <f>B22*Assumptions!$B$17*Assumptions!$B$35</f>
        <v/>
      </c>
      <c r="E22" s="20">
        <f>B22*Assumptions!$B$17*Assumptions!$B$25</f>
        <v/>
      </c>
      <c r="F22" s="20">
        <f>B22*Assumptions!$B$26</f>
        <v/>
      </c>
      <c r="G22" s="20">
        <f>C22*Assumptions!$B$28</f>
        <v/>
      </c>
      <c r="H22" s="20">
        <f>Assumptions!$B$32+Assumptions!$B$33</f>
        <v/>
      </c>
      <c r="I22" s="20">
        <f>A22*Assumptions!$B$14*Assumptions!$B$9*12</f>
        <v/>
      </c>
      <c r="J22" s="39">
        <f>C22-D22-E22-F22-G22-H22-I22</f>
        <v/>
      </c>
      <c r="K22" s="40">
        <f>J22/C22</f>
        <v/>
      </c>
    </row>
    <row r="23">
      <c r="A23" s="37" t="n">
        <v>7500</v>
      </c>
      <c r="B23" s="38">
        <f>A23*1</f>
        <v/>
      </c>
      <c r="C23" s="20">
        <f>B23*Assumptions!$B$10*12</f>
        <v/>
      </c>
      <c r="D23" s="20">
        <f>B23*Assumptions!$B$17*Assumptions!$B$35</f>
        <v/>
      </c>
      <c r="E23" s="20">
        <f>B23*Assumptions!$B$17*Assumptions!$B$25</f>
        <v/>
      </c>
      <c r="F23" s="20">
        <f>B23*Assumptions!$B$26</f>
        <v/>
      </c>
      <c r="G23" s="20">
        <f>C23*Assumptions!$B$28</f>
        <v/>
      </c>
      <c r="H23" s="20">
        <f>Assumptions!$B$32+Assumptions!$B$33</f>
        <v/>
      </c>
      <c r="I23" s="20">
        <f>A23*Assumptions!$B$14*Assumptions!$B$9*12</f>
        <v/>
      </c>
      <c r="J23" s="39">
        <f>C23-D23-E23-F23-G23-H23-I23</f>
        <v/>
      </c>
      <c r="K23" s="40">
        <f>J23/C23</f>
        <v/>
      </c>
    </row>
    <row r="24">
      <c r="A24" s="37" t="n">
        <v>10000</v>
      </c>
      <c r="B24" s="38">
        <f>A24*1</f>
        <v/>
      </c>
      <c r="C24" s="20">
        <f>B24*Assumptions!$B$10*12</f>
        <v/>
      </c>
      <c r="D24" s="20">
        <f>B24*Assumptions!$B$17*Assumptions!$B$35</f>
        <v/>
      </c>
      <c r="E24" s="20">
        <f>B24*Assumptions!$B$17*Assumptions!$B$25</f>
        <v/>
      </c>
      <c r="F24" s="20">
        <f>B24*Assumptions!$B$26</f>
        <v/>
      </c>
      <c r="G24" s="20">
        <f>C24*Assumptions!$B$28</f>
        <v/>
      </c>
      <c r="H24" s="20">
        <f>Assumptions!$B$32+Assumptions!$B$33</f>
        <v/>
      </c>
      <c r="I24" s="20">
        <f>A24*Assumptions!$B$14*Assumptions!$B$9*12</f>
        <v/>
      </c>
      <c r="J24" s="39">
        <f>C24-D24-E24-F24-G24-H24-I24</f>
        <v/>
      </c>
      <c r="K24" s="40">
        <f>J24/C24</f>
        <v/>
      </c>
    </row>
    <row r="26">
      <c r="A26" s="3" t="inlineStr">
        <is>
          <t>Net Annual excludes one-time launch/billing costs (see Five-Year &amp; Dashboard). Churn Loss uses incremental-churn assumption on full base.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5" customWidth="1" min="10" max="10"/>
    <col width="12" customWidth="1" min="11" max="11"/>
  </cols>
  <sheetData>
    <row r="1" ht="28" customHeight="1">
      <c r="A1" s="1" t="inlineStr">
        <is>
          <t>RIVR Tech — Scenario B — $4.99/month</t>
        </is>
      </c>
    </row>
    <row r="2">
      <c r="A2" s="2" t="inlineStr">
        <is>
          <t>Per-member economics + mandatory totals across subscriber levels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Per-enrolled-member annual economics (at expected utilization)</t>
        </is>
      </c>
    </row>
    <row r="7">
      <c r="A7" s="24" t="inlineStr">
        <is>
          <t>Plan revenue / member</t>
        </is>
      </c>
      <c r="B7" s="33">
        <f>Assumptions!$B$11*12</f>
        <v/>
      </c>
    </row>
    <row r="8">
      <c r="A8" s="24" t="inlineStr">
        <is>
          <t>Covered service-call expense / member</t>
        </is>
      </c>
      <c r="B8" s="33">
        <f>Assumptions!$B$17*Assumptions!$B$35</f>
        <v/>
      </c>
    </row>
    <row r="9">
      <c r="A9" s="24" t="inlineStr">
        <is>
          <t>Call-center expense / member</t>
        </is>
      </c>
      <c r="B9" s="33">
        <f>Assumptions!$B$17*Assumptions!$B$25</f>
        <v/>
      </c>
    </row>
    <row r="10">
      <c r="A10" s="24" t="inlineStr">
        <is>
          <t>Billing &amp; admin / member</t>
        </is>
      </c>
      <c r="B10" s="33">
        <f>Assumptions!$B$26</f>
        <v/>
      </c>
    </row>
    <row r="11">
      <c r="A11" s="24" t="inlineStr">
        <is>
          <t>Bad debt / member</t>
        </is>
      </c>
      <c r="B11" s="33">
        <f>Assumptions!$B$11*12*Assumptions!$B$28</f>
        <v/>
      </c>
    </row>
    <row r="12">
      <c r="A12" s="19" t="inlineStr">
        <is>
          <t>Contribution / member</t>
        </is>
      </c>
      <c r="B12" s="34">
        <f>B7-B8-B9-B10-B11</f>
        <v/>
      </c>
    </row>
    <row r="13">
      <c r="A13" s="19" t="inlineStr">
        <is>
          <t>Contribution margin %</t>
        </is>
      </c>
      <c r="B13" s="35">
        <f>B12/B7</f>
        <v/>
      </c>
    </row>
    <row r="14">
      <c r="A14" s="19" t="inlineStr">
        <is>
          <t>Break-even utilization</t>
        </is>
      </c>
      <c r="B14" s="36">
        <f>(B7-B10-B11)/(Assumptions!$B$35+Assumptions!$B$25)</f>
        <v/>
      </c>
    </row>
    <row r="17">
      <c r="A17" s="17" t="inlineStr">
        <is>
          <t>Mandatory (100% enrolled) annual totals by subscriber level</t>
        </is>
      </c>
    </row>
    <row r="18">
      <c r="A18" s="18" t="inlineStr">
        <is>
          <t>Subs</t>
        </is>
      </c>
      <c r="B18" s="18" t="inlineStr">
        <is>
          <t>Enrolled</t>
        </is>
      </c>
      <c r="C18" s="18" t="inlineStr">
        <is>
          <t>Gross Annual</t>
        </is>
      </c>
      <c r="D18" s="18" t="inlineStr">
        <is>
          <t>Covered Exp</t>
        </is>
      </c>
      <c r="E18" s="18" t="inlineStr">
        <is>
          <t>CC Exp</t>
        </is>
      </c>
      <c r="F18" s="18" t="inlineStr">
        <is>
          <t>Admin</t>
        </is>
      </c>
      <c r="G18" s="18" t="inlineStr">
        <is>
          <t>Bad Debt</t>
        </is>
      </c>
      <c r="H18" s="18" t="inlineStr">
        <is>
          <t>Fixed</t>
        </is>
      </c>
      <c r="I18" s="18" t="inlineStr">
        <is>
          <t>Churn Loss</t>
        </is>
      </c>
      <c r="J18" s="18" t="inlineStr">
        <is>
          <t>Net Annual (Y2+)</t>
        </is>
      </c>
      <c r="K18" s="18" t="inlineStr">
        <is>
          <t>Net Margin %</t>
        </is>
      </c>
    </row>
    <row r="19">
      <c r="A19" s="37" t="n">
        <v>4686</v>
      </c>
      <c r="B19" s="38">
        <f>A19*1</f>
        <v/>
      </c>
      <c r="C19" s="20">
        <f>B19*Assumptions!$B$11*12</f>
        <v/>
      </c>
      <c r="D19" s="20">
        <f>B19*Assumptions!$B$17*Assumptions!$B$35</f>
        <v/>
      </c>
      <c r="E19" s="20">
        <f>B19*Assumptions!$B$17*Assumptions!$B$25</f>
        <v/>
      </c>
      <c r="F19" s="20">
        <f>B19*Assumptions!$B$26</f>
        <v/>
      </c>
      <c r="G19" s="20">
        <f>C19*Assumptions!$B$28</f>
        <v/>
      </c>
      <c r="H19" s="20">
        <f>Assumptions!$B$32+Assumptions!$B$33</f>
        <v/>
      </c>
      <c r="I19" s="20">
        <f>A19*Assumptions!$B$14*Assumptions!$B$9*12</f>
        <v/>
      </c>
      <c r="J19" s="39">
        <f>C19-D19-E19-F19-G19-H19-I19</f>
        <v/>
      </c>
      <c r="K19" s="40">
        <f>J19/C19</f>
        <v/>
      </c>
    </row>
    <row r="20">
      <c r="A20" s="37" t="n">
        <v>5000</v>
      </c>
      <c r="B20" s="38">
        <f>A20*1</f>
        <v/>
      </c>
      <c r="C20" s="20">
        <f>B20*Assumptions!$B$11*12</f>
        <v/>
      </c>
      <c r="D20" s="20">
        <f>B20*Assumptions!$B$17*Assumptions!$B$35</f>
        <v/>
      </c>
      <c r="E20" s="20">
        <f>B20*Assumptions!$B$17*Assumptions!$B$25</f>
        <v/>
      </c>
      <c r="F20" s="20">
        <f>B20*Assumptions!$B$26</f>
        <v/>
      </c>
      <c r="G20" s="20">
        <f>C20*Assumptions!$B$28</f>
        <v/>
      </c>
      <c r="H20" s="20">
        <f>Assumptions!$B$32+Assumptions!$B$33</f>
        <v/>
      </c>
      <c r="I20" s="20">
        <f>A20*Assumptions!$B$14*Assumptions!$B$9*12</f>
        <v/>
      </c>
      <c r="J20" s="39">
        <f>C20-D20-E20-F20-G20-H20-I20</f>
        <v/>
      </c>
      <c r="K20" s="40">
        <f>J20/C20</f>
        <v/>
      </c>
    </row>
    <row r="21">
      <c r="A21" s="37" t="n">
        <v>5500</v>
      </c>
      <c r="B21" s="38">
        <f>A21*1</f>
        <v/>
      </c>
      <c r="C21" s="20">
        <f>B21*Assumptions!$B$11*12</f>
        <v/>
      </c>
      <c r="D21" s="20">
        <f>B21*Assumptions!$B$17*Assumptions!$B$35</f>
        <v/>
      </c>
      <c r="E21" s="20">
        <f>B21*Assumptions!$B$17*Assumptions!$B$25</f>
        <v/>
      </c>
      <c r="F21" s="20">
        <f>B21*Assumptions!$B$26</f>
        <v/>
      </c>
      <c r="G21" s="20">
        <f>C21*Assumptions!$B$28</f>
        <v/>
      </c>
      <c r="H21" s="20">
        <f>Assumptions!$B$32+Assumptions!$B$33</f>
        <v/>
      </c>
      <c r="I21" s="20">
        <f>A21*Assumptions!$B$14*Assumptions!$B$9*12</f>
        <v/>
      </c>
      <c r="J21" s="39">
        <f>C21-D21-E21-F21-G21-H21-I21</f>
        <v/>
      </c>
      <c r="K21" s="40">
        <f>J21/C21</f>
        <v/>
      </c>
    </row>
    <row r="22">
      <c r="A22" s="37" t="n">
        <v>6000</v>
      </c>
      <c r="B22" s="38">
        <f>A22*1</f>
        <v/>
      </c>
      <c r="C22" s="20">
        <f>B22*Assumptions!$B$11*12</f>
        <v/>
      </c>
      <c r="D22" s="20">
        <f>B22*Assumptions!$B$17*Assumptions!$B$35</f>
        <v/>
      </c>
      <c r="E22" s="20">
        <f>B22*Assumptions!$B$17*Assumptions!$B$25</f>
        <v/>
      </c>
      <c r="F22" s="20">
        <f>B22*Assumptions!$B$26</f>
        <v/>
      </c>
      <c r="G22" s="20">
        <f>C22*Assumptions!$B$28</f>
        <v/>
      </c>
      <c r="H22" s="20">
        <f>Assumptions!$B$32+Assumptions!$B$33</f>
        <v/>
      </c>
      <c r="I22" s="20">
        <f>A22*Assumptions!$B$14*Assumptions!$B$9*12</f>
        <v/>
      </c>
      <c r="J22" s="39">
        <f>C22-D22-E22-F22-G22-H22-I22</f>
        <v/>
      </c>
      <c r="K22" s="40">
        <f>J22/C22</f>
        <v/>
      </c>
    </row>
    <row r="23">
      <c r="A23" s="37" t="n">
        <v>7500</v>
      </c>
      <c r="B23" s="38">
        <f>A23*1</f>
        <v/>
      </c>
      <c r="C23" s="20">
        <f>B23*Assumptions!$B$11*12</f>
        <v/>
      </c>
      <c r="D23" s="20">
        <f>B23*Assumptions!$B$17*Assumptions!$B$35</f>
        <v/>
      </c>
      <c r="E23" s="20">
        <f>B23*Assumptions!$B$17*Assumptions!$B$25</f>
        <v/>
      </c>
      <c r="F23" s="20">
        <f>B23*Assumptions!$B$26</f>
        <v/>
      </c>
      <c r="G23" s="20">
        <f>C23*Assumptions!$B$28</f>
        <v/>
      </c>
      <c r="H23" s="20">
        <f>Assumptions!$B$32+Assumptions!$B$33</f>
        <v/>
      </c>
      <c r="I23" s="20">
        <f>A23*Assumptions!$B$14*Assumptions!$B$9*12</f>
        <v/>
      </c>
      <c r="J23" s="39">
        <f>C23-D23-E23-F23-G23-H23-I23</f>
        <v/>
      </c>
      <c r="K23" s="40">
        <f>J23/C23</f>
        <v/>
      </c>
    </row>
    <row r="24">
      <c r="A24" s="37" t="n">
        <v>10000</v>
      </c>
      <c r="B24" s="38">
        <f>A24*1</f>
        <v/>
      </c>
      <c r="C24" s="20">
        <f>B24*Assumptions!$B$11*12</f>
        <v/>
      </c>
      <c r="D24" s="20">
        <f>B24*Assumptions!$B$17*Assumptions!$B$35</f>
        <v/>
      </c>
      <c r="E24" s="20">
        <f>B24*Assumptions!$B$17*Assumptions!$B$25</f>
        <v/>
      </c>
      <c r="F24" s="20">
        <f>B24*Assumptions!$B$26</f>
        <v/>
      </c>
      <c r="G24" s="20">
        <f>C24*Assumptions!$B$28</f>
        <v/>
      </c>
      <c r="H24" s="20">
        <f>Assumptions!$B$32+Assumptions!$B$33</f>
        <v/>
      </c>
      <c r="I24" s="20">
        <f>A24*Assumptions!$B$14*Assumptions!$B$9*12</f>
        <v/>
      </c>
      <c r="J24" s="39">
        <f>C24-D24-E24-F24-G24-H24-I24</f>
        <v/>
      </c>
      <c r="K24" s="40">
        <f>J24/C24</f>
        <v/>
      </c>
    </row>
    <row r="26">
      <c r="A26" s="3" t="inlineStr">
        <is>
          <t>Net Annual excludes one-time launch/billing costs (see Five-Year &amp; Dashboard). Churn Loss uses incremental-churn assumption on full base.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8" customWidth="1" min="4" max="4"/>
    <col width="17" customWidth="1" min="5" max="5"/>
    <col width="18" customWidth="1" min="6" max="6"/>
    <col width="17" customWidth="1" min="7" max="7"/>
  </cols>
  <sheetData>
    <row r="1" ht="28" customHeight="1">
      <c r="A1" s="1" t="inlineStr">
        <is>
          <t>RIVR Tech — Enrollment-Model Comparison</t>
        </is>
      </c>
    </row>
    <row r="2">
      <c r="A2" s="2" t="inlineStr">
        <is>
          <t>Mandatory / Opt-out / Opt-in at current subscribers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At current subscribers (Assumptions) — Gross &amp; Net annual by model and price</t>
        </is>
      </c>
    </row>
    <row r="6">
      <c r="A6" s="18" t="inlineStr">
        <is>
          <t>Model</t>
        </is>
      </c>
      <c r="B6" s="18" t="inlineStr">
        <is>
          <t>Participation</t>
        </is>
      </c>
      <c r="C6" s="18" t="inlineStr">
        <is>
          <t>Enrolled</t>
        </is>
      </c>
      <c r="D6" s="18" t="inlineStr">
        <is>
          <t>Gross Annual $3.99</t>
        </is>
      </c>
      <c r="E6" s="18" t="inlineStr">
        <is>
          <t>Net Annual $3.99</t>
        </is>
      </c>
      <c r="F6" s="18" t="inlineStr">
        <is>
          <t>Gross Annual $4.99</t>
        </is>
      </c>
      <c r="G6" s="18" t="inlineStr">
        <is>
          <t>Net Annual $4.99</t>
        </is>
      </c>
    </row>
    <row r="7">
      <c r="A7" s="19" t="inlineStr">
        <is>
          <t>Mandatory</t>
        </is>
      </c>
      <c r="B7" s="41" t="n">
        <v>1</v>
      </c>
      <c r="C7" s="32">
        <f>Assumptions!$B$7*B7</f>
        <v/>
      </c>
      <c r="D7" s="20">
        <f>C7*Assumptions!$B$10*12</f>
        <v/>
      </c>
      <c r="E7" s="42">
        <f>C7*Assumptions!$B$10*12-(C7*Assumptions!$B$17*Assumptions!$B$35)-(C7*Assumptions!$B$17*Assumptions!$B$25)-(C7*Assumptions!$B$26)-(C7*Assumptions!$B$10*12*Assumptions!$B$28)-(Assumptions!$B$32+Assumptions!$B$33)-(Assumptions!$B$7*Assumptions!$B$14*Assumptions!$B$9*12)</f>
        <v/>
      </c>
      <c r="F7" s="20">
        <f>C7*Assumptions!$B$11*12</f>
        <v/>
      </c>
      <c r="G7" s="42">
        <f>C7*Assumptions!$B$11*12-(C7*Assumptions!$B$17*Assumptions!$B$35)-(C7*Assumptions!$B$17*Assumptions!$B$25)-(C7*Assumptions!$B$26)-(C7*Assumptions!$B$11*12*Assumptions!$B$28)-(Assumptions!$B$32+Assumptions!$B$33)-(Assumptions!$B$7*Assumptions!$B$14*Assumptions!$B$9*12)</f>
        <v/>
      </c>
    </row>
    <row r="8">
      <c r="A8" s="19" t="inlineStr">
        <is>
          <t>Opt-out</t>
        </is>
      </c>
      <c r="B8" s="41" t="n">
        <v>0.95</v>
      </c>
      <c r="C8" s="32">
        <f>Assumptions!$B$7*B8</f>
        <v/>
      </c>
      <c r="D8" s="20">
        <f>C8*Assumptions!$B$10*12</f>
        <v/>
      </c>
      <c r="E8" s="42">
        <f>C8*Assumptions!$B$10*12-(C8*Assumptions!$B$17*Assumptions!$B$35)-(C8*Assumptions!$B$17*Assumptions!$B$25)-(C8*Assumptions!$B$26)-(C8*Assumptions!$B$10*12*Assumptions!$B$28)-(Assumptions!$B$32+Assumptions!$B$33)-(Assumptions!$B$7*Assumptions!$B$14*Assumptions!$B$9*12)</f>
        <v/>
      </c>
      <c r="F8" s="20">
        <f>C8*Assumptions!$B$11*12</f>
        <v/>
      </c>
      <c r="G8" s="42">
        <f>C8*Assumptions!$B$11*12-(C8*Assumptions!$B$17*Assumptions!$B$35)-(C8*Assumptions!$B$17*Assumptions!$B$25)-(C8*Assumptions!$B$26)-(C8*Assumptions!$B$11*12*Assumptions!$B$28)-(Assumptions!$B$32+Assumptions!$B$33)-(Assumptions!$B$7*Assumptions!$B$14*Assumptions!$B$9*12)</f>
        <v/>
      </c>
    </row>
    <row r="9">
      <c r="A9" s="19" t="inlineStr">
        <is>
          <t>Opt-out</t>
        </is>
      </c>
      <c r="B9" s="41" t="n">
        <v>0.85</v>
      </c>
      <c r="C9" s="32">
        <f>Assumptions!$B$7*B9</f>
        <v/>
      </c>
      <c r="D9" s="20">
        <f>C9*Assumptions!$B$10*12</f>
        <v/>
      </c>
      <c r="E9" s="42">
        <f>C9*Assumptions!$B$10*12-(C9*Assumptions!$B$17*Assumptions!$B$35)-(C9*Assumptions!$B$17*Assumptions!$B$25)-(C9*Assumptions!$B$26)-(C9*Assumptions!$B$10*12*Assumptions!$B$28)-(Assumptions!$B$32+Assumptions!$B$33)-(Assumptions!$B$7*Assumptions!$B$14*Assumptions!$B$9*12)</f>
        <v/>
      </c>
      <c r="F9" s="20">
        <f>C9*Assumptions!$B$11*12</f>
        <v/>
      </c>
      <c r="G9" s="42">
        <f>C9*Assumptions!$B$11*12-(C9*Assumptions!$B$17*Assumptions!$B$35)-(C9*Assumptions!$B$17*Assumptions!$B$25)-(C9*Assumptions!$B$26)-(C9*Assumptions!$B$11*12*Assumptions!$B$28)-(Assumptions!$B$32+Assumptions!$B$33)-(Assumptions!$B$7*Assumptions!$B$14*Assumptions!$B$9*12)</f>
        <v/>
      </c>
    </row>
    <row r="10">
      <c r="A10" s="19" t="inlineStr">
        <is>
          <t>Opt-out</t>
        </is>
      </c>
      <c r="B10" s="41" t="n">
        <v>0.75</v>
      </c>
      <c r="C10" s="32">
        <f>Assumptions!$B$7*B10</f>
        <v/>
      </c>
      <c r="D10" s="20">
        <f>C10*Assumptions!$B$10*12</f>
        <v/>
      </c>
      <c r="E10" s="42">
        <f>C10*Assumptions!$B$10*12-(C10*Assumptions!$B$17*Assumptions!$B$35)-(C10*Assumptions!$B$17*Assumptions!$B$25)-(C10*Assumptions!$B$26)-(C10*Assumptions!$B$10*12*Assumptions!$B$28)-(Assumptions!$B$32+Assumptions!$B$33)-(Assumptions!$B$7*Assumptions!$B$14*Assumptions!$B$9*12)</f>
        <v/>
      </c>
      <c r="F10" s="20">
        <f>C10*Assumptions!$B$11*12</f>
        <v/>
      </c>
      <c r="G10" s="42">
        <f>C10*Assumptions!$B$11*12-(C10*Assumptions!$B$17*Assumptions!$B$35)-(C10*Assumptions!$B$17*Assumptions!$B$25)-(C10*Assumptions!$B$26)-(C10*Assumptions!$B$11*12*Assumptions!$B$28)-(Assumptions!$B$32+Assumptions!$B$33)-(Assumptions!$B$7*Assumptions!$B$14*Assumptions!$B$9*12)</f>
        <v/>
      </c>
    </row>
    <row r="11">
      <c r="A11" s="19" t="inlineStr">
        <is>
          <t>Opt-out</t>
        </is>
      </c>
      <c r="B11" s="41" t="n">
        <v>0.6</v>
      </c>
      <c r="C11" s="32">
        <f>Assumptions!$B$7*B11</f>
        <v/>
      </c>
      <c r="D11" s="20">
        <f>C11*Assumptions!$B$10*12</f>
        <v/>
      </c>
      <c r="E11" s="42">
        <f>C11*Assumptions!$B$10*12-(C11*Assumptions!$B$17*Assumptions!$B$35)-(C11*Assumptions!$B$17*Assumptions!$B$25)-(C11*Assumptions!$B$26)-(C11*Assumptions!$B$10*12*Assumptions!$B$28)-(Assumptions!$B$32+Assumptions!$B$33)-(Assumptions!$B$7*Assumptions!$B$14*Assumptions!$B$9*12)</f>
        <v/>
      </c>
      <c r="F11" s="20">
        <f>C11*Assumptions!$B$11*12</f>
        <v/>
      </c>
      <c r="G11" s="42">
        <f>C11*Assumptions!$B$11*12-(C11*Assumptions!$B$17*Assumptions!$B$35)-(C11*Assumptions!$B$17*Assumptions!$B$25)-(C11*Assumptions!$B$26)-(C11*Assumptions!$B$11*12*Assumptions!$B$28)-(Assumptions!$B$32+Assumptions!$B$33)-(Assumptions!$B$7*Assumptions!$B$14*Assumptions!$B$9*12)</f>
        <v/>
      </c>
    </row>
    <row r="12">
      <c r="A12" s="19" t="inlineStr">
        <is>
          <t>Opt-out</t>
        </is>
      </c>
      <c r="B12" s="41" t="n">
        <v>0.5</v>
      </c>
      <c r="C12" s="32">
        <f>Assumptions!$B$7*B12</f>
        <v/>
      </c>
      <c r="D12" s="20">
        <f>C12*Assumptions!$B$10*12</f>
        <v/>
      </c>
      <c r="E12" s="42">
        <f>C12*Assumptions!$B$10*12-(C12*Assumptions!$B$17*Assumptions!$B$35)-(C12*Assumptions!$B$17*Assumptions!$B$25)-(C12*Assumptions!$B$26)-(C12*Assumptions!$B$10*12*Assumptions!$B$28)-(Assumptions!$B$32+Assumptions!$B$33)-(Assumptions!$B$7*Assumptions!$B$14*Assumptions!$B$9*12)</f>
        <v/>
      </c>
      <c r="F12" s="20">
        <f>C12*Assumptions!$B$11*12</f>
        <v/>
      </c>
      <c r="G12" s="42">
        <f>C12*Assumptions!$B$11*12-(C12*Assumptions!$B$17*Assumptions!$B$35)-(C12*Assumptions!$B$17*Assumptions!$B$25)-(C12*Assumptions!$B$26)-(C12*Assumptions!$B$11*12*Assumptions!$B$28)-(Assumptions!$B$32+Assumptions!$B$33)-(Assumptions!$B$7*Assumptions!$B$14*Assumptions!$B$9*12)</f>
        <v/>
      </c>
    </row>
    <row r="13">
      <c r="A13" s="19" t="inlineStr">
        <is>
          <t>Opt-in</t>
        </is>
      </c>
      <c r="B13" s="41" t="n">
        <v>0.2</v>
      </c>
      <c r="C13" s="32">
        <f>Assumptions!$B$7*B13</f>
        <v/>
      </c>
      <c r="D13" s="20">
        <f>C13*Assumptions!$B$10*12</f>
        <v/>
      </c>
      <c r="E13" s="42">
        <f>C13*Assumptions!$B$10*12-(C13*Assumptions!$B$17*Assumptions!$B$35)-(C13*Assumptions!$B$17*Assumptions!$B$25)-(C13*Assumptions!$B$26)-(C13*Assumptions!$B$10*12*Assumptions!$B$28)-(Assumptions!$B$32+Assumptions!$B$33)-(C13*Assumptions!$B$14*Assumptions!$B$9*12)</f>
        <v/>
      </c>
      <c r="F13" s="20">
        <f>C13*Assumptions!$B$11*12</f>
        <v/>
      </c>
      <c r="G13" s="42">
        <f>C13*Assumptions!$B$11*12-(C13*Assumptions!$B$17*Assumptions!$B$35)-(C13*Assumptions!$B$17*Assumptions!$B$25)-(C13*Assumptions!$B$26)-(C13*Assumptions!$B$11*12*Assumptions!$B$28)-(Assumptions!$B$32+Assumptions!$B$33)-(C13*Assumptions!$B$14*Assumptions!$B$9*12)</f>
        <v/>
      </c>
    </row>
    <row r="14">
      <c r="A14" s="19" t="inlineStr">
        <is>
          <t>Opt-in</t>
        </is>
      </c>
      <c r="B14" s="41" t="n">
        <v>0.3</v>
      </c>
      <c r="C14" s="32">
        <f>Assumptions!$B$7*B14</f>
        <v/>
      </c>
      <c r="D14" s="20">
        <f>C14*Assumptions!$B$10*12</f>
        <v/>
      </c>
      <c r="E14" s="42">
        <f>C14*Assumptions!$B$10*12-(C14*Assumptions!$B$17*Assumptions!$B$35)-(C14*Assumptions!$B$17*Assumptions!$B$25)-(C14*Assumptions!$B$26)-(C14*Assumptions!$B$10*12*Assumptions!$B$28)-(Assumptions!$B$32+Assumptions!$B$33)-(C14*Assumptions!$B$14*Assumptions!$B$9*12)</f>
        <v/>
      </c>
      <c r="F14" s="20">
        <f>C14*Assumptions!$B$11*12</f>
        <v/>
      </c>
      <c r="G14" s="42">
        <f>C14*Assumptions!$B$11*12-(C14*Assumptions!$B$17*Assumptions!$B$35)-(C14*Assumptions!$B$17*Assumptions!$B$25)-(C14*Assumptions!$B$26)-(C14*Assumptions!$B$11*12*Assumptions!$B$28)-(Assumptions!$B$32+Assumptions!$B$33)-(C14*Assumptions!$B$14*Assumptions!$B$9*12)</f>
        <v/>
      </c>
    </row>
    <row r="15">
      <c r="A15" s="19" t="inlineStr">
        <is>
          <t>Opt-in</t>
        </is>
      </c>
      <c r="B15" s="41" t="n">
        <v>0.4</v>
      </c>
      <c r="C15" s="32">
        <f>Assumptions!$B$7*B15</f>
        <v/>
      </c>
      <c r="D15" s="20">
        <f>C15*Assumptions!$B$10*12</f>
        <v/>
      </c>
      <c r="E15" s="42">
        <f>C15*Assumptions!$B$10*12-(C15*Assumptions!$B$17*Assumptions!$B$35)-(C15*Assumptions!$B$17*Assumptions!$B$25)-(C15*Assumptions!$B$26)-(C15*Assumptions!$B$10*12*Assumptions!$B$28)-(Assumptions!$B$32+Assumptions!$B$33)-(C15*Assumptions!$B$14*Assumptions!$B$9*12)</f>
        <v/>
      </c>
      <c r="F15" s="20">
        <f>C15*Assumptions!$B$11*12</f>
        <v/>
      </c>
      <c r="G15" s="42">
        <f>C15*Assumptions!$B$11*12-(C15*Assumptions!$B$17*Assumptions!$B$35)-(C15*Assumptions!$B$17*Assumptions!$B$25)-(C15*Assumptions!$B$26)-(C15*Assumptions!$B$11*12*Assumptions!$B$28)-(Assumptions!$B$32+Assumptions!$B$33)-(C15*Assumptions!$B$14*Assumptions!$B$9*12)</f>
        <v/>
      </c>
    </row>
    <row r="16">
      <c r="A16" s="19" t="inlineStr">
        <is>
          <t>Opt-in</t>
        </is>
      </c>
      <c r="B16" s="41" t="n">
        <v>0.5</v>
      </c>
      <c r="C16" s="32">
        <f>Assumptions!$B$7*B16</f>
        <v/>
      </c>
      <c r="D16" s="20">
        <f>C16*Assumptions!$B$10*12</f>
        <v/>
      </c>
      <c r="E16" s="42">
        <f>C16*Assumptions!$B$10*12-(C16*Assumptions!$B$17*Assumptions!$B$35)-(C16*Assumptions!$B$17*Assumptions!$B$25)-(C16*Assumptions!$B$26)-(C16*Assumptions!$B$10*12*Assumptions!$B$28)-(Assumptions!$B$32+Assumptions!$B$33)-(C16*Assumptions!$B$14*Assumptions!$B$9*12)</f>
        <v/>
      </c>
      <c r="F16" s="20">
        <f>C16*Assumptions!$B$11*12</f>
        <v/>
      </c>
      <c r="G16" s="42">
        <f>C16*Assumptions!$B$11*12-(C16*Assumptions!$B$17*Assumptions!$B$35)-(C16*Assumptions!$B$17*Assumptions!$B$25)-(C16*Assumptions!$B$26)-(C16*Assumptions!$B$11*12*Assumptions!$B$28)-(Assumptions!$B$32+Assumptions!$B$33)-(C16*Assumptions!$B$14*Assumptions!$B$9*12)</f>
        <v/>
      </c>
    </row>
    <row r="17">
      <c r="A17" s="19" t="inlineStr">
        <is>
          <t>Opt-in</t>
        </is>
      </c>
      <c r="B17" s="41" t="n">
        <v>0.6</v>
      </c>
      <c r="C17" s="32">
        <f>Assumptions!$B$7*B17</f>
        <v/>
      </c>
      <c r="D17" s="20">
        <f>C17*Assumptions!$B$10*12</f>
        <v/>
      </c>
      <c r="E17" s="42">
        <f>C17*Assumptions!$B$10*12-(C17*Assumptions!$B$17*Assumptions!$B$35)-(C17*Assumptions!$B$17*Assumptions!$B$25)-(C17*Assumptions!$B$26)-(C17*Assumptions!$B$10*12*Assumptions!$B$28)-(Assumptions!$B$32+Assumptions!$B$33)-(C17*Assumptions!$B$14*Assumptions!$B$9*12)</f>
        <v/>
      </c>
      <c r="F17" s="20">
        <f>C17*Assumptions!$B$11*12</f>
        <v/>
      </c>
      <c r="G17" s="42">
        <f>C17*Assumptions!$B$11*12-(C17*Assumptions!$B$17*Assumptions!$B$35)-(C17*Assumptions!$B$17*Assumptions!$B$25)-(C17*Assumptions!$B$26)-(C17*Assumptions!$B$11*12*Assumptions!$B$28)-(Assumptions!$B$32+Assumptions!$B$33)-(C17*Assumptions!$B$14*Assumptions!$B$9*12)</f>
        <v/>
      </c>
    </row>
    <row r="19">
      <c r="A19" s="3" t="inlineStr">
        <is>
          <t>Net excludes one-time costs; churn applied to full base for mandatory/opt-out, enrolled base for opt-in.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RIVR Tech — Service-Call Utilization Sensitivity</t>
        </is>
      </c>
    </row>
    <row r="2">
      <c r="A2" s="2" t="inlineStr">
        <is>
          <t>Per-member contribution by utilization × loaded call cost (negative = unprofitable)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$3.99 — per-member annual contribution (rows=utilization, cols=loaded cost/call)</t>
        </is>
      </c>
    </row>
    <row r="6">
      <c r="A6" s="9" t="inlineStr">
        <is>
          <t>Util \ Cost</t>
        </is>
      </c>
      <c r="B6" s="43" t="n">
        <v>75</v>
      </c>
      <c r="C6" s="43" t="n">
        <v>100</v>
      </c>
      <c r="D6" s="43" t="n">
        <v>125</v>
      </c>
      <c r="E6" s="43" t="n">
        <v>150</v>
      </c>
      <c r="F6" s="43" t="n">
        <v>200</v>
      </c>
      <c r="G6" s="43" t="n">
        <v>250</v>
      </c>
    </row>
    <row r="7">
      <c r="A7" s="41" t="n">
        <v>0.05</v>
      </c>
      <c r="B7" s="44">
        <f>Assumptions!$B$10*12 - $A7*B$6 - $A7*Assumptions!$B$25 - Assumptions!$B$26 - Assumptions!$B$10*12*Assumptions!$B$28</f>
        <v/>
      </c>
      <c r="C7" s="44">
        <f>Assumptions!$B$10*12 - $A7*C$6 - $A7*Assumptions!$B$25 - Assumptions!$B$26 - Assumptions!$B$10*12*Assumptions!$B$28</f>
        <v/>
      </c>
      <c r="D7" s="44">
        <f>Assumptions!$B$10*12 - $A7*D$6 - $A7*Assumptions!$B$25 - Assumptions!$B$26 - Assumptions!$B$10*12*Assumptions!$B$28</f>
        <v/>
      </c>
      <c r="E7" s="44">
        <f>Assumptions!$B$10*12 - $A7*E$6 - $A7*Assumptions!$B$25 - Assumptions!$B$26 - Assumptions!$B$10*12*Assumptions!$B$28</f>
        <v/>
      </c>
      <c r="F7" s="44">
        <f>Assumptions!$B$10*12 - $A7*F$6 - $A7*Assumptions!$B$25 - Assumptions!$B$26 - Assumptions!$B$10*12*Assumptions!$B$28</f>
        <v/>
      </c>
      <c r="G7" s="44">
        <f>Assumptions!$B$10*12 - $A7*G$6 - $A7*Assumptions!$B$25 - Assumptions!$B$26 - Assumptions!$B$10*12*Assumptions!$B$28</f>
        <v/>
      </c>
    </row>
    <row r="8">
      <c r="A8" s="41" t="n">
        <v>0.1</v>
      </c>
      <c r="B8" s="44">
        <f>Assumptions!$B$10*12 - $A8*B$6 - $A8*Assumptions!$B$25 - Assumptions!$B$26 - Assumptions!$B$10*12*Assumptions!$B$28</f>
        <v/>
      </c>
      <c r="C8" s="44">
        <f>Assumptions!$B$10*12 - $A8*C$6 - $A8*Assumptions!$B$25 - Assumptions!$B$26 - Assumptions!$B$10*12*Assumptions!$B$28</f>
        <v/>
      </c>
      <c r="D8" s="44">
        <f>Assumptions!$B$10*12 - $A8*D$6 - $A8*Assumptions!$B$25 - Assumptions!$B$26 - Assumptions!$B$10*12*Assumptions!$B$28</f>
        <v/>
      </c>
      <c r="E8" s="44">
        <f>Assumptions!$B$10*12 - $A8*E$6 - $A8*Assumptions!$B$25 - Assumptions!$B$26 - Assumptions!$B$10*12*Assumptions!$B$28</f>
        <v/>
      </c>
      <c r="F8" s="44">
        <f>Assumptions!$B$10*12 - $A8*F$6 - $A8*Assumptions!$B$25 - Assumptions!$B$26 - Assumptions!$B$10*12*Assumptions!$B$28</f>
        <v/>
      </c>
      <c r="G8" s="44">
        <f>Assumptions!$B$10*12 - $A8*G$6 - $A8*Assumptions!$B$25 - Assumptions!$B$26 - Assumptions!$B$10*12*Assumptions!$B$28</f>
        <v/>
      </c>
    </row>
    <row r="9">
      <c r="A9" s="41" t="n">
        <v>0.15</v>
      </c>
      <c r="B9" s="44">
        <f>Assumptions!$B$10*12 - $A9*B$6 - $A9*Assumptions!$B$25 - Assumptions!$B$26 - Assumptions!$B$10*12*Assumptions!$B$28</f>
        <v/>
      </c>
      <c r="C9" s="44">
        <f>Assumptions!$B$10*12 - $A9*C$6 - $A9*Assumptions!$B$25 - Assumptions!$B$26 - Assumptions!$B$10*12*Assumptions!$B$28</f>
        <v/>
      </c>
      <c r="D9" s="44">
        <f>Assumptions!$B$10*12 - $A9*D$6 - $A9*Assumptions!$B$25 - Assumptions!$B$26 - Assumptions!$B$10*12*Assumptions!$B$28</f>
        <v/>
      </c>
      <c r="E9" s="44">
        <f>Assumptions!$B$10*12 - $A9*E$6 - $A9*Assumptions!$B$25 - Assumptions!$B$26 - Assumptions!$B$10*12*Assumptions!$B$28</f>
        <v/>
      </c>
      <c r="F9" s="44">
        <f>Assumptions!$B$10*12 - $A9*F$6 - $A9*Assumptions!$B$25 - Assumptions!$B$26 - Assumptions!$B$10*12*Assumptions!$B$28</f>
        <v/>
      </c>
      <c r="G9" s="44">
        <f>Assumptions!$B$10*12 - $A9*G$6 - $A9*Assumptions!$B$25 - Assumptions!$B$26 - Assumptions!$B$10*12*Assumptions!$B$28</f>
        <v/>
      </c>
    </row>
    <row r="10">
      <c r="A10" s="41" t="n">
        <v>0.2</v>
      </c>
      <c r="B10" s="44">
        <f>Assumptions!$B$10*12 - $A10*B$6 - $A10*Assumptions!$B$25 - Assumptions!$B$26 - Assumptions!$B$10*12*Assumptions!$B$28</f>
        <v/>
      </c>
      <c r="C10" s="44">
        <f>Assumptions!$B$10*12 - $A10*C$6 - $A10*Assumptions!$B$25 - Assumptions!$B$26 - Assumptions!$B$10*12*Assumptions!$B$28</f>
        <v/>
      </c>
      <c r="D10" s="44">
        <f>Assumptions!$B$10*12 - $A10*D$6 - $A10*Assumptions!$B$25 - Assumptions!$B$26 - Assumptions!$B$10*12*Assumptions!$B$28</f>
        <v/>
      </c>
      <c r="E10" s="44">
        <f>Assumptions!$B$10*12 - $A10*E$6 - $A10*Assumptions!$B$25 - Assumptions!$B$26 - Assumptions!$B$10*12*Assumptions!$B$28</f>
        <v/>
      </c>
      <c r="F10" s="44">
        <f>Assumptions!$B$10*12 - $A10*F$6 - $A10*Assumptions!$B$25 - Assumptions!$B$26 - Assumptions!$B$10*12*Assumptions!$B$28</f>
        <v/>
      </c>
      <c r="G10" s="44">
        <f>Assumptions!$B$10*12 - $A10*G$6 - $A10*Assumptions!$B$25 - Assumptions!$B$26 - Assumptions!$B$10*12*Assumptions!$B$28</f>
        <v/>
      </c>
    </row>
    <row r="11">
      <c r="A11" s="41" t="n">
        <v>0.25</v>
      </c>
      <c r="B11" s="44">
        <f>Assumptions!$B$10*12 - $A11*B$6 - $A11*Assumptions!$B$25 - Assumptions!$B$26 - Assumptions!$B$10*12*Assumptions!$B$28</f>
        <v/>
      </c>
      <c r="C11" s="44">
        <f>Assumptions!$B$10*12 - $A11*C$6 - $A11*Assumptions!$B$25 - Assumptions!$B$26 - Assumptions!$B$10*12*Assumptions!$B$28</f>
        <v/>
      </c>
      <c r="D11" s="44">
        <f>Assumptions!$B$10*12 - $A11*D$6 - $A11*Assumptions!$B$25 - Assumptions!$B$26 - Assumptions!$B$10*12*Assumptions!$B$28</f>
        <v/>
      </c>
      <c r="E11" s="44">
        <f>Assumptions!$B$10*12 - $A11*E$6 - $A11*Assumptions!$B$25 - Assumptions!$B$26 - Assumptions!$B$10*12*Assumptions!$B$28</f>
        <v/>
      </c>
      <c r="F11" s="44">
        <f>Assumptions!$B$10*12 - $A11*F$6 - $A11*Assumptions!$B$25 - Assumptions!$B$26 - Assumptions!$B$10*12*Assumptions!$B$28</f>
        <v/>
      </c>
      <c r="G11" s="44">
        <f>Assumptions!$B$10*12 - $A11*G$6 - $A11*Assumptions!$B$25 - Assumptions!$B$26 - Assumptions!$B$10*12*Assumptions!$B$28</f>
        <v/>
      </c>
    </row>
    <row r="12">
      <c r="A12" s="41" t="n">
        <v>0.3</v>
      </c>
      <c r="B12" s="44">
        <f>Assumptions!$B$10*12 - $A12*B$6 - $A12*Assumptions!$B$25 - Assumptions!$B$26 - Assumptions!$B$10*12*Assumptions!$B$28</f>
        <v/>
      </c>
      <c r="C12" s="44">
        <f>Assumptions!$B$10*12 - $A12*C$6 - $A12*Assumptions!$B$25 - Assumptions!$B$26 - Assumptions!$B$10*12*Assumptions!$B$28</f>
        <v/>
      </c>
      <c r="D12" s="44">
        <f>Assumptions!$B$10*12 - $A12*D$6 - $A12*Assumptions!$B$25 - Assumptions!$B$26 - Assumptions!$B$10*12*Assumptions!$B$28</f>
        <v/>
      </c>
      <c r="E12" s="44">
        <f>Assumptions!$B$10*12 - $A12*E$6 - $A12*Assumptions!$B$25 - Assumptions!$B$26 - Assumptions!$B$10*12*Assumptions!$B$28</f>
        <v/>
      </c>
      <c r="F12" s="44">
        <f>Assumptions!$B$10*12 - $A12*F$6 - $A12*Assumptions!$B$25 - Assumptions!$B$26 - Assumptions!$B$10*12*Assumptions!$B$28</f>
        <v/>
      </c>
      <c r="G12" s="44">
        <f>Assumptions!$B$10*12 - $A12*G$6 - $A12*Assumptions!$B$25 - Assumptions!$B$26 - Assumptions!$B$10*12*Assumptions!$B$28</f>
        <v/>
      </c>
    </row>
    <row r="13">
      <c r="A13" s="41" t="n">
        <v>0.4</v>
      </c>
      <c r="B13" s="44">
        <f>Assumptions!$B$10*12 - $A13*B$6 - $A13*Assumptions!$B$25 - Assumptions!$B$26 - Assumptions!$B$10*12*Assumptions!$B$28</f>
        <v/>
      </c>
      <c r="C13" s="44">
        <f>Assumptions!$B$10*12 - $A13*C$6 - $A13*Assumptions!$B$25 - Assumptions!$B$26 - Assumptions!$B$10*12*Assumptions!$B$28</f>
        <v/>
      </c>
      <c r="D13" s="44">
        <f>Assumptions!$B$10*12 - $A13*D$6 - $A13*Assumptions!$B$25 - Assumptions!$B$26 - Assumptions!$B$10*12*Assumptions!$B$28</f>
        <v/>
      </c>
      <c r="E13" s="44">
        <f>Assumptions!$B$10*12 - $A13*E$6 - $A13*Assumptions!$B$25 - Assumptions!$B$26 - Assumptions!$B$10*12*Assumptions!$B$28</f>
        <v/>
      </c>
      <c r="F13" s="44">
        <f>Assumptions!$B$10*12 - $A13*F$6 - $A13*Assumptions!$B$25 - Assumptions!$B$26 - Assumptions!$B$10*12*Assumptions!$B$28</f>
        <v/>
      </c>
      <c r="G13" s="44">
        <f>Assumptions!$B$10*12 - $A13*G$6 - $A13*Assumptions!$B$25 - Assumptions!$B$26 - Assumptions!$B$10*12*Assumptions!$B$28</f>
        <v/>
      </c>
    </row>
    <row r="16">
      <c r="A16" s="17" t="inlineStr">
        <is>
          <t>$4.99 — per-member annual contribution (rows=utilization, cols=loaded cost/call)</t>
        </is>
      </c>
    </row>
    <row r="17">
      <c r="A17" s="9" t="inlineStr">
        <is>
          <t>Util \ Cost</t>
        </is>
      </c>
      <c r="B17" s="43" t="n">
        <v>75</v>
      </c>
      <c r="C17" s="43" t="n">
        <v>100</v>
      </c>
      <c r="D17" s="43" t="n">
        <v>125</v>
      </c>
      <c r="E17" s="43" t="n">
        <v>150</v>
      </c>
      <c r="F17" s="43" t="n">
        <v>200</v>
      </c>
      <c r="G17" s="43" t="n">
        <v>250</v>
      </c>
    </row>
    <row r="18">
      <c r="A18" s="41" t="n">
        <v>0.05</v>
      </c>
      <c r="B18" s="44">
        <f>Assumptions!$B$11*12 - $A18*B$17 - $A18*Assumptions!$B$25 - Assumptions!$B$26 - Assumptions!$B$11*12*Assumptions!$B$28</f>
        <v/>
      </c>
      <c r="C18" s="44">
        <f>Assumptions!$B$11*12 - $A18*C$17 - $A18*Assumptions!$B$25 - Assumptions!$B$26 - Assumptions!$B$11*12*Assumptions!$B$28</f>
        <v/>
      </c>
      <c r="D18" s="44">
        <f>Assumptions!$B$11*12 - $A18*D$17 - $A18*Assumptions!$B$25 - Assumptions!$B$26 - Assumptions!$B$11*12*Assumptions!$B$28</f>
        <v/>
      </c>
      <c r="E18" s="44">
        <f>Assumptions!$B$11*12 - $A18*E$17 - $A18*Assumptions!$B$25 - Assumptions!$B$26 - Assumptions!$B$11*12*Assumptions!$B$28</f>
        <v/>
      </c>
      <c r="F18" s="44">
        <f>Assumptions!$B$11*12 - $A18*F$17 - $A18*Assumptions!$B$25 - Assumptions!$B$26 - Assumptions!$B$11*12*Assumptions!$B$28</f>
        <v/>
      </c>
      <c r="G18" s="44">
        <f>Assumptions!$B$11*12 - $A18*G$17 - $A18*Assumptions!$B$25 - Assumptions!$B$26 - Assumptions!$B$11*12*Assumptions!$B$28</f>
        <v/>
      </c>
    </row>
    <row r="19">
      <c r="A19" s="41" t="n">
        <v>0.1</v>
      </c>
      <c r="B19" s="44">
        <f>Assumptions!$B$11*12 - $A19*B$17 - $A19*Assumptions!$B$25 - Assumptions!$B$26 - Assumptions!$B$11*12*Assumptions!$B$28</f>
        <v/>
      </c>
      <c r="C19" s="44">
        <f>Assumptions!$B$11*12 - $A19*C$17 - $A19*Assumptions!$B$25 - Assumptions!$B$26 - Assumptions!$B$11*12*Assumptions!$B$28</f>
        <v/>
      </c>
      <c r="D19" s="44">
        <f>Assumptions!$B$11*12 - $A19*D$17 - $A19*Assumptions!$B$25 - Assumptions!$B$26 - Assumptions!$B$11*12*Assumptions!$B$28</f>
        <v/>
      </c>
      <c r="E19" s="44">
        <f>Assumptions!$B$11*12 - $A19*E$17 - $A19*Assumptions!$B$25 - Assumptions!$B$26 - Assumptions!$B$11*12*Assumptions!$B$28</f>
        <v/>
      </c>
      <c r="F19" s="44">
        <f>Assumptions!$B$11*12 - $A19*F$17 - $A19*Assumptions!$B$25 - Assumptions!$B$26 - Assumptions!$B$11*12*Assumptions!$B$28</f>
        <v/>
      </c>
      <c r="G19" s="44">
        <f>Assumptions!$B$11*12 - $A19*G$17 - $A19*Assumptions!$B$25 - Assumptions!$B$26 - Assumptions!$B$11*12*Assumptions!$B$28</f>
        <v/>
      </c>
    </row>
    <row r="20">
      <c r="A20" s="41" t="n">
        <v>0.15</v>
      </c>
      <c r="B20" s="44">
        <f>Assumptions!$B$11*12 - $A20*B$17 - $A20*Assumptions!$B$25 - Assumptions!$B$26 - Assumptions!$B$11*12*Assumptions!$B$28</f>
        <v/>
      </c>
      <c r="C20" s="44">
        <f>Assumptions!$B$11*12 - $A20*C$17 - $A20*Assumptions!$B$25 - Assumptions!$B$26 - Assumptions!$B$11*12*Assumptions!$B$28</f>
        <v/>
      </c>
      <c r="D20" s="44">
        <f>Assumptions!$B$11*12 - $A20*D$17 - $A20*Assumptions!$B$25 - Assumptions!$B$26 - Assumptions!$B$11*12*Assumptions!$B$28</f>
        <v/>
      </c>
      <c r="E20" s="44">
        <f>Assumptions!$B$11*12 - $A20*E$17 - $A20*Assumptions!$B$25 - Assumptions!$B$26 - Assumptions!$B$11*12*Assumptions!$B$28</f>
        <v/>
      </c>
      <c r="F20" s="44">
        <f>Assumptions!$B$11*12 - $A20*F$17 - $A20*Assumptions!$B$25 - Assumptions!$B$26 - Assumptions!$B$11*12*Assumptions!$B$28</f>
        <v/>
      </c>
      <c r="G20" s="44">
        <f>Assumptions!$B$11*12 - $A20*G$17 - $A20*Assumptions!$B$25 - Assumptions!$B$26 - Assumptions!$B$11*12*Assumptions!$B$28</f>
        <v/>
      </c>
    </row>
    <row r="21">
      <c r="A21" s="41" t="n">
        <v>0.2</v>
      </c>
      <c r="B21" s="44">
        <f>Assumptions!$B$11*12 - $A21*B$17 - $A21*Assumptions!$B$25 - Assumptions!$B$26 - Assumptions!$B$11*12*Assumptions!$B$28</f>
        <v/>
      </c>
      <c r="C21" s="44">
        <f>Assumptions!$B$11*12 - $A21*C$17 - $A21*Assumptions!$B$25 - Assumptions!$B$26 - Assumptions!$B$11*12*Assumptions!$B$28</f>
        <v/>
      </c>
      <c r="D21" s="44">
        <f>Assumptions!$B$11*12 - $A21*D$17 - $A21*Assumptions!$B$25 - Assumptions!$B$26 - Assumptions!$B$11*12*Assumptions!$B$28</f>
        <v/>
      </c>
      <c r="E21" s="44">
        <f>Assumptions!$B$11*12 - $A21*E$17 - $A21*Assumptions!$B$25 - Assumptions!$B$26 - Assumptions!$B$11*12*Assumptions!$B$28</f>
        <v/>
      </c>
      <c r="F21" s="44">
        <f>Assumptions!$B$11*12 - $A21*F$17 - $A21*Assumptions!$B$25 - Assumptions!$B$26 - Assumptions!$B$11*12*Assumptions!$B$28</f>
        <v/>
      </c>
      <c r="G21" s="44">
        <f>Assumptions!$B$11*12 - $A21*G$17 - $A21*Assumptions!$B$25 - Assumptions!$B$26 - Assumptions!$B$11*12*Assumptions!$B$28</f>
        <v/>
      </c>
    </row>
    <row r="22">
      <c r="A22" s="41" t="n">
        <v>0.25</v>
      </c>
      <c r="B22" s="44">
        <f>Assumptions!$B$11*12 - $A22*B$17 - $A22*Assumptions!$B$25 - Assumptions!$B$26 - Assumptions!$B$11*12*Assumptions!$B$28</f>
        <v/>
      </c>
      <c r="C22" s="44">
        <f>Assumptions!$B$11*12 - $A22*C$17 - $A22*Assumptions!$B$25 - Assumptions!$B$26 - Assumptions!$B$11*12*Assumptions!$B$28</f>
        <v/>
      </c>
      <c r="D22" s="44">
        <f>Assumptions!$B$11*12 - $A22*D$17 - $A22*Assumptions!$B$25 - Assumptions!$B$26 - Assumptions!$B$11*12*Assumptions!$B$28</f>
        <v/>
      </c>
      <c r="E22" s="44">
        <f>Assumptions!$B$11*12 - $A22*E$17 - $A22*Assumptions!$B$25 - Assumptions!$B$26 - Assumptions!$B$11*12*Assumptions!$B$28</f>
        <v/>
      </c>
      <c r="F22" s="44">
        <f>Assumptions!$B$11*12 - $A22*F$17 - $A22*Assumptions!$B$25 - Assumptions!$B$26 - Assumptions!$B$11*12*Assumptions!$B$28</f>
        <v/>
      </c>
      <c r="G22" s="44">
        <f>Assumptions!$B$11*12 - $A22*G$17 - $A22*Assumptions!$B$25 - Assumptions!$B$26 - Assumptions!$B$11*12*Assumptions!$B$28</f>
        <v/>
      </c>
    </row>
    <row r="23">
      <c r="A23" s="41" t="n">
        <v>0.3</v>
      </c>
      <c r="B23" s="44">
        <f>Assumptions!$B$11*12 - $A23*B$17 - $A23*Assumptions!$B$25 - Assumptions!$B$26 - Assumptions!$B$11*12*Assumptions!$B$28</f>
        <v/>
      </c>
      <c r="C23" s="44">
        <f>Assumptions!$B$11*12 - $A23*C$17 - $A23*Assumptions!$B$25 - Assumptions!$B$26 - Assumptions!$B$11*12*Assumptions!$B$28</f>
        <v/>
      </c>
      <c r="D23" s="44">
        <f>Assumptions!$B$11*12 - $A23*D$17 - $A23*Assumptions!$B$25 - Assumptions!$B$26 - Assumptions!$B$11*12*Assumptions!$B$28</f>
        <v/>
      </c>
      <c r="E23" s="44">
        <f>Assumptions!$B$11*12 - $A23*E$17 - $A23*Assumptions!$B$25 - Assumptions!$B$26 - Assumptions!$B$11*12*Assumptions!$B$28</f>
        <v/>
      </c>
      <c r="F23" s="44">
        <f>Assumptions!$B$11*12 - $A23*F$17 - $A23*Assumptions!$B$25 - Assumptions!$B$26 - Assumptions!$B$11*12*Assumptions!$B$28</f>
        <v/>
      </c>
      <c r="G23" s="44">
        <f>Assumptions!$B$11*12 - $A23*G$17 - $A23*Assumptions!$B$25 - Assumptions!$B$26 - Assumptions!$B$11*12*Assumptions!$B$28</f>
        <v/>
      </c>
    </row>
    <row r="24">
      <c r="A24" s="41" t="n">
        <v>0.4</v>
      </c>
      <c r="B24" s="44">
        <f>Assumptions!$B$11*12 - $A24*B$17 - $A24*Assumptions!$B$25 - Assumptions!$B$26 - Assumptions!$B$11*12*Assumptions!$B$28</f>
        <v/>
      </c>
      <c r="C24" s="44">
        <f>Assumptions!$B$11*12 - $A24*C$17 - $A24*Assumptions!$B$25 - Assumptions!$B$26 - Assumptions!$B$11*12*Assumptions!$B$28</f>
        <v/>
      </c>
      <c r="D24" s="44">
        <f>Assumptions!$B$11*12 - $A24*D$17 - $A24*Assumptions!$B$25 - Assumptions!$B$26 - Assumptions!$B$11*12*Assumptions!$B$28</f>
        <v/>
      </c>
      <c r="E24" s="44">
        <f>Assumptions!$B$11*12 - $A24*E$17 - $A24*Assumptions!$B$25 - Assumptions!$B$26 - Assumptions!$B$11*12*Assumptions!$B$28</f>
        <v/>
      </c>
      <c r="F24" s="44">
        <f>Assumptions!$B$11*12 - $A24*F$17 - $A24*Assumptions!$B$25 - Assumptions!$B$26 - Assumptions!$B$11*12*Assumptions!$B$28</f>
        <v/>
      </c>
      <c r="G24" s="44">
        <f>Assumptions!$B$11*12 - $A24*G$17 - $A24*Assumptions!$B$25 - Assumptions!$B$26 - Assumptions!$B$11*12*Assumptions!$B$28</f>
        <v/>
      </c>
    </row>
    <row r="27">
      <c r="A27" s="3" t="inlineStr">
        <is>
          <t>Green = profitable per member; Clay = unprofitable. Loaded cost/call default is computed on Assumptions.</t>
        </is>
      </c>
    </row>
  </sheetData>
  <mergeCells count="3">
    <mergeCell ref="A3:H3"/>
    <mergeCell ref="A2:H2"/>
    <mergeCell ref="A1:H1"/>
  </mergeCells>
  <conditionalFormatting sqref="B7:G1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18:G24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 ht="28" customHeight="1">
      <c r="A1" s="1" t="inlineStr">
        <is>
          <t>RIVR Tech — Churn Sensitivity</t>
        </is>
      </c>
    </row>
    <row r="2">
      <c r="A2" s="2" t="inlineStr">
        <is>
          <t>Net annual effect vs. incremental annual churn (mandatory, current subs)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Incremental churn wipes out plan value once net turns negative.</t>
        </is>
      </c>
    </row>
    <row r="6">
      <c r="A6" s="18" t="inlineStr">
        <is>
          <t>Incremental Annual Churn</t>
        </is>
      </c>
      <c r="B6" s="18" t="inlineStr">
        <is>
          <t>Churned Customers</t>
        </is>
      </c>
      <c r="C6" s="18" t="inlineStr">
        <is>
          <t>Lost Internet Rev</t>
        </is>
      </c>
      <c r="D6" s="18" t="inlineStr">
        <is>
          <t>Net $3.99 (Mandatory)</t>
        </is>
      </c>
      <c r="E6" s="18" t="inlineStr">
        <is>
          <t>Net $4.99 (Mandatory)</t>
        </is>
      </c>
    </row>
    <row r="7">
      <c r="A7" s="45" t="n">
        <v>0</v>
      </c>
      <c r="B7" s="32">
        <f>Assumptions!$B$7*A7</f>
        <v/>
      </c>
      <c r="C7" s="31">
        <f>B7*Assumptions!$B$9*12</f>
        <v/>
      </c>
      <c r="D7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7</f>
        <v/>
      </c>
      <c r="E7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7</f>
        <v/>
      </c>
    </row>
    <row r="8">
      <c r="A8" s="45" t="n">
        <v>0.0025</v>
      </c>
      <c r="B8" s="32">
        <f>Assumptions!$B$7*A8</f>
        <v/>
      </c>
      <c r="C8" s="31">
        <f>B8*Assumptions!$B$9*12</f>
        <v/>
      </c>
      <c r="D8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8</f>
        <v/>
      </c>
      <c r="E8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8</f>
        <v/>
      </c>
    </row>
    <row r="9">
      <c r="A9" s="45" t="n">
        <v>0.005</v>
      </c>
      <c r="B9" s="32">
        <f>Assumptions!$B$7*A9</f>
        <v/>
      </c>
      <c r="C9" s="31">
        <f>B9*Assumptions!$B$9*12</f>
        <v/>
      </c>
      <c r="D9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9</f>
        <v/>
      </c>
      <c r="E9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9</f>
        <v/>
      </c>
    </row>
    <row r="10">
      <c r="A10" s="45" t="n">
        <v>0.01</v>
      </c>
      <c r="B10" s="32">
        <f>Assumptions!$B$7*A10</f>
        <v/>
      </c>
      <c r="C10" s="31">
        <f>B10*Assumptions!$B$9*12</f>
        <v/>
      </c>
      <c r="D10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10</f>
        <v/>
      </c>
      <c r="E10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10</f>
        <v/>
      </c>
    </row>
    <row r="11">
      <c r="A11" s="45" t="n">
        <v>0.02</v>
      </c>
      <c r="B11" s="32">
        <f>Assumptions!$B$7*A11</f>
        <v/>
      </c>
      <c r="C11" s="31">
        <f>B11*Assumptions!$B$9*12</f>
        <v/>
      </c>
      <c r="D11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11</f>
        <v/>
      </c>
      <c r="E11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11</f>
        <v/>
      </c>
    </row>
    <row r="12">
      <c r="A12" s="45" t="n">
        <v>0.03</v>
      </c>
      <c r="B12" s="32">
        <f>Assumptions!$B$7*A12</f>
        <v/>
      </c>
      <c r="C12" s="31">
        <f>B12*Assumptions!$B$9*12</f>
        <v/>
      </c>
      <c r="D12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12</f>
        <v/>
      </c>
      <c r="E12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12</f>
        <v/>
      </c>
    </row>
    <row r="13">
      <c r="A13" s="45" t="n">
        <v>0.05</v>
      </c>
      <c r="B13" s="32">
        <f>Assumptions!$B$7*A13</f>
        <v/>
      </c>
      <c r="C13" s="31">
        <f>B13*Assumptions!$B$9*12</f>
        <v/>
      </c>
      <c r="D13" s="42">
        <f>Assumptions!$B$7*Assumptions!$B$10*12-(Assumptions!$B$7*Assumptions!$B$17*Assumptions!$B$35)-(Assumptions!$B$7*Assumptions!$B$17*Assumptions!$B$25)-(Assumptions!$B$7*Assumptions!$B$26)-(Assumptions!$B$7*Assumptions!$B$10*12*Assumptions!$B$28)-(Assumptions!$B$32+Assumptions!$B$33)-C13</f>
        <v/>
      </c>
      <c r="E13" s="42">
        <f>Assumptions!$B$7*Assumptions!$B$11*12-(Assumptions!$B$7*Assumptions!$B$17*Assumptions!$B$35)-(Assumptions!$B$7*Assumptions!$B$17*Assumptions!$B$25)-(Assumptions!$B$7*Assumptions!$B$26)-(Assumptions!$B$7*Assumptions!$B$11*12*Assumptions!$B$28)-(Assumptions!$B$32+Assumptions!$B$33)-C13</f>
        <v/>
      </c>
    </row>
    <row r="15">
      <c r="A15" s="3" t="inlineStr">
        <is>
          <t>Break-even incremental churn (mandatory): $3.99 ≈ 1.79% · $4.99 ≈ 3.10% (computed).</t>
        </is>
      </c>
    </row>
  </sheetData>
  <mergeCells count="3">
    <mergeCell ref="A2:E2"/>
    <mergeCell ref="A1:E1"/>
    <mergeCell ref="A3:E3"/>
  </mergeCells>
  <conditionalFormatting sqref="D7:E1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</cols>
  <sheetData>
    <row r="1" ht="28" customHeight="1">
      <c r="A1" s="1" t="inlineStr">
        <is>
          <t>RIVR Tech — Pay-Per-Visit Comparison</t>
        </is>
      </c>
    </row>
    <row r="2">
      <c r="A2" s="2" t="inlineStr">
        <is>
          <t>Charge non-enrolled customers per customer-caused visit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6">
      <c r="A6" s="18" t="inlineStr">
        <is>
          <t>Charge / Visit</t>
        </is>
      </c>
      <c r="B6" s="18" t="inlineStr">
        <is>
          <t>Customer-Caused Calls/yr</t>
        </is>
      </c>
      <c r="C6" s="18" t="inlineStr">
        <is>
          <t>Gross Billed</t>
        </is>
      </c>
      <c r="D6" s="18" t="inlineStr">
        <is>
          <t>Collected (recovered)</t>
        </is>
      </c>
      <c r="E6" s="18" t="inlineStr">
        <is>
          <t>Loaded Cost (incurred anyway)</t>
        </is>
      </c>
      <c r="F6" s="18" t="inlineStr">
        <is>
          <t>Cost Recovery %</t>
        </is>
      </c>
    </row>
    <row r="7">
      <c r="A7" s="46" t="n">
        <v>75</v>
      </c>
      <c r="B7" s="32">
        <f>Assumptions!$B$7*Assumptions!$B$15*Assumptions!$B$16</f>
        <v/>
      </c>
      <c r="C7" s="20">
        <f>B7*A7</f>
        <v/>
      </c>
      <c r="D7" s="39">
        <f>C7*Assumptions!$B$34</f>
        <v/>
      </c>
      <c r="E7" s="20">
        <f>B7*(Assumptions!$B$35+Assumptions!$B$25)</f>
        <v/>
      </c>
      <c r="F7" s="40">
        <f>D7/E7</f>
        <v/>
      </c>
    </row>
    <row r="8">
      <c r="A8" s="46" t="n">
        <v>99</v>
      </c>
      <c r="B8" s="32">
        <f>Assumptions!$B$7*Assumptions!$B$15*Assumptions!$B$16</f>
        <v/>
      </c>
      <c r="C8" s="20">
        <f>B8*A8</f>
        <v/>
      </c>
      <c r="D8" s="39">
        <f>C8*Assumptions!$B$34</f>
        <v/>
      </c>
      <c r="E8" s="20">
        <f>B8*(Assumptions!$B$35+Assumptions!$B$25)</f>
        <v/>
      </c>
      <c r="F8" s="40">
        <f>D8/E8</f>
        <v/>
      </c>
    </row>
    <row r="9">
      <c r="A9" s="46" t="n">
        <v>125</v>
      </c>
      <c r="B9" s="32">
        <f>Assumptions!$B$7*Assumptions!$B$15*Assumptions!$B$16</f>
        <v/>
      </c>
      <c r="C9" s="20">
        <f>B9*A9</f>
        <v/>
      </c>
      <c r="D9" s="39">
        <f>C9*Assumptions!$B$34</f>
        <v/>
      </c>
      <c r="E9" s="20">
        <f>B9*(Assumptions!$B$35+Assumptions!$B$25)</f>
        <v/>
      </c>
      <c r="F9" s="40">
        <f>D9/E9</f>
        <v/>
      </c>
    </row>
    <row r="10">
      <c r="A10" s="46" t="n">
        <v>150</v>
      </c>
      <c r="B10" s="32">
        <f>Assumptions!$B$7*Assumptions!$B$15*Assumptions!$B$16</f>
        <v/>
      </c>
      <c r="C10" s="20">
        <f>B10*A10</f>
        <v/>
      </c>
      <c r="D10" s="39">
        <f>C10*Assumptions!$B$34</f>
        <v/>
      </c>
      <c r="E10" s="20">
        <f>B10*(Assumptions!$B$35+Assumptions!$B$25)</f>
        <v/>
      </c>
      <c r="F10" s="40">
        <f>D10/E10</f>
        <v/>
      </c>
    </row>
    <row r="11">
      <c r="A11" s="3" t="inlineStr">
        <is>
          <t>Cost is incurred whether or not RIVR bills; 'Collected' is revenue recovered against an otherwise-absorbed cost. No single charge in this range fully covers the loaded call cost — an argument for the subscription risk-pool.</t>
        </is>
      </c>
    </row>
    <row r="12">
      <c r="A12" s="17" t="inlineStr">
        <is>
          <t>Qualitative comparison</t>
        </is>
      </c>
    </row>
    <row r="13">
      <c r="A13" s="18" t="inlineStr">
        <is>
          <t>Dimension</t>
        </is>
      </c>
      <c r="B13" s="18" t="inlineStr">
        <is>
          <t>Monthly Plan</t>
        </is>
      </c>
      <c r="C13" s="18" t="inlineStr">
        <is>
          <t>Pay-Per-Visit</t>
        </is>
      </c>
    </row>
    <row r="14">
      <c r="A14" s="47" t="inlineStr">
        <is>
          <t>Revenue predictability</t>
        </is>
      </c>
      <c r="B14" s="22" t="inlineStr">
        <is>
          <t>High (recurring)</t>
        </is>
      </c>
      <c r="C14" s="22" t="inlineStr">
        <is>
          <t>Low (event-driven)</t>
        </is>
      </c>
    </row>
    <row r="15">
      <c r="A15" s="47" t="inlineStr">
        <is>
          <t>Customer acceptance</t>
        </is>
      </c>
      <c r="B15" s="22" t="inlineStr">
        <is>
          <t>Mixed (if mandatory)</t>
        </is>
      </c>
      <c r="C15" s="22" t="inlineStr">
        <is>
          <t>Higher (only users pay)</t>
        </is>
      </c>
    </row>
    <row r="16">
      <c r="A16" s="47" t="inlineStr">
        <is>
          <t>Administrative complexity</t>
        </is>
      </c>
      <c r="B16" s="22" t="inlineStr">
        <is>
          <t>Higher (enrollment/billing)</t>
        </is>
      </c>
      <c r="C16" s="22" t="inlineStr">
        <is>
          <t>Lower per event, disputes per visit</t>
        </is>
      </c>
    </row>
    <row r="17">
      <c r="A17" s="47" t="inlineStr">
        <is>
          <t>Technician documentation</t>
        </is>
      </c>
      <c r="B17" s="22" t="inlineStr">
        <is>
          <t>Lighter (covered)</t>
        </is>
      </c>
      <c r="C17" s="22" t="inlineStr">
        <is>
          <t>Heavy (must justify each charge)</t>
        </is>
      </c>
    </row>
    <row r="18">
      <c r="A18" s="47" t="inlineStr">
        <is>
          <t>Billing disputes</t>
        </is>
      </c>
      <c r="B18" s="22" t="inlineStr">
        <is>
          <t>Fewer per-visit disputes</t>
        </is>
      </c>
      <c r="C18" s="22" t="inlineStr">
        <is>
          <t>More per-visit disputes</t>
        </is>
      </c>
    </row>
    <row r="19">
      <c r="A19" s="47" t="inlineStr">
        <is>
          <t>Collection risk</t>
        </is>
      </c>
      <c r="B19" s="22" t="inlineStr">
        <is>
          <t>Spread across base</t>
        </is>
      </c>
      <c r="C19" s="22" t="inlineStr">
        <is>
          <t>Concentrated at billing</t>
        </is>
      </c>
    </row>
    <row r="20">
      <c r="A20" s="47" t="inlineStr">
        <is>
          <t>Utilization risk</t>
        </is>
      </c>
      <c r="B20" s="22" t="inlineStr">
        <is>
          <t>Provider bears it</t>
        </is>
      </c>
      <c r="C20" s="22" t="inlineStr">
        <is>
          <t>Customer bears it</t>
        </is>
      </c>
    </row>
    <row r="21">
      <c r="A21" s="47" t="inlineStr">
        <is>
          <t>Fairness to non-users</t>
        </is>
      </c>
      <c r="B21" s="22" t="inlineStr">
        <is>
          <t>Low (all pay)</t>
        </is>
      </c>
      <c r="C21" s="22" t="inlineStr">
        <is>
          <t>High (only users pay)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RIVR Tech — Five-Year Forecast</t>
        </is>
      </c>
    </row>
    <row r="2">
      <c r="A2" s="2" t="inlineStr">
        <is>
          <t>Recommended structure: voluntary opt-in $3.99 at expected enrollment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4" t="inlineStr">
        <is>
          <t>Recommended enrollment (opt-in, editable):</t>
        </is>
      </c>
      <c r="C5" s="41" t="n">
        <v>0.35</v>
      </c>
    </row>
    <row r="7">
      <c r="A7" s="18" t="inlineStr">
        <is>
          <t>Year</t>
        </is>
      </c>
      <c r="B7" s="18" t="inlineStr">
        <is>
          <t>Subscribers</t>
        </is>
      </c>
      <c r="C7" s="18" t="inlineStr">
        <is>
          <t>Enrolled</t>
        </is>
      </c>
      <c r="D7" s="18" t="inlineStr">
        <is>
          <t>Price</t>
        </is>
      </c>
      <c r="E7" s="18" t="inlineStr">
        <is>
          <t>Gross Annual</t>
        </is>
      </c>
      <c r="F7" s="18" t="inlineStr">
        <is>
          <t>Net Annual</t>
        </is>
      </c>
      <c r="G7" s="18" t="inlineStr">
        <is>
          <t>Cum. Gross</t>
        </is>
      </c>
      <c r="H7" s="18" t="inlineStr">
        <is>
          <t>Cum. Net</t>
        </is>
      </c>
    </row>
    <row r="8">
      <c r="A8" s="21" t="n">
        <v>1</v>
      </c>
      <c r="B8" s="32">
        <f>Assumptions!$B$7</f>
        <v/>
      </c>
      <c r="C8" s="32">
        <f>B8*'Five-Year Forecast'!$C$5</f>
        <v/>
      </c>
      <c r="D8" s="33">
        <f>Assumptions!$B$10</f>
        <v/>
      </c>
      <c r="E8" s="31">
        <f>C8*D8*12</f>
        <v/>
      </c>
      <c r="F8" s="39">
        <f>E8-(C8*Assumptions!$B$17*Assumptions!$B$35)-(C8*Assumptions!$B$17*Assumptions!$B$25)-(C8*Assumptions!$B$26)-(E8*Assumptions!$B$28)-(Assumptions!$B$32+Assumptions!$B$33)-(Assumptions!$B$30+Assumptions!$B$31)</f>
        <v/>
      </c>
      <c r="G8" s="20">
        <f>E8</f>
        <v/>
      </c>
      <c r="H8" s="20">
        <f>F8</f>
        <v/>
      </c>
    </row>
    <row r="9">
      <c r="A9" s="21" t="n">
        <v>2</v>
      </c>
      <c r="B9" s="32">
        <f>B8*(1+Assumptions!$B$8)^12</f>
        <v/>
      </c>
      <c r="C9" s="32">
        <f>B9*'Five-Year Forecast'!$C$5</f>
        <v/>
      </c>
      <c r="D9" s="33">
        <f>D8*(1+Assumptions!$B$27)</f>
        <v/>
      </c>
      <c r="E9" s="31">
        <f>C9*D9*12</f>
        <v/>
      </c>
      <c r="F9" s="39">
        <f>E9-(C9*Assumptions!$B$17*Assumptions!$B$35)-(C9*Assumptions!$B$17*Assumptions!$B$25)-(C9*Assumptions!$B$26)-(E9*Assumptions!$B$28)-(Assumptions!$B$32+Assumptions!$B$33)-0</f>
        <v/>
      </c>
      <c r="G9" s="20">
        <f>G8+E9</f>
        <v/>
      </c>
      <c r="H9" s="20">
        <f>H8+F9</f>
        <v/>
      </c>
    </row>
    <row r="10">
      <c r="A10" s="21" t="n">
        <v>3</v>
      </c>
      <c r="B10" s="32">
        <f>B9*(1+Assumptions!$B$8)^12</f>
        <v/>
      </c>
      <c r="C10" s="32">
        <f>B10*'Five-Year Forecast'!$C$5</f>
        <v/>
      </c>
      <c r="D10" s="33">
        <f>D9*(1+Assumptions!$B$27)</f>
        <v/>
      </c>
      <c r="E10" s="31">
        <f>C10*D10*12</f>
        <v/>
      </c>
      <c r="F10" s="39">
        <f>E10-(C10*Assumptions!$B$17*Assumptions!$B$35)-(C10*Assumptions!$B$17*Assumptions!$B$25)-(C10*Assumptions!$B$26)-(E10*Assumptions!$B$28)-(Assumptions!$B$32+Assumptions!$B$33)-0</f>
        <v/>
      </c>
      <c r="G10" s="20">
        <f>G9+E10</f>
        <v/>
      </c>
      <c r="H10" s="20">
        <f>H9+F10</f>
        <v/>
      </c>
    </row>
    <row r="11">
      <c r="A11" s="21" t="n">
        <v>4</v>
      </c>
      <c r="B11" s="32">
        <f>B10*(1+Assumptions!$B$8)^12</f>
        <v/>
      </c>
      <c r="C11" s="32">
        <f>B11*'Five-Year Forecast'!$C$5</f>
        <v/>
      </c>
      <c r="D11" s="33">
        <f>D10*(1+Assumptions!$B$27)</f>
        <v/>
      </c>
      <c r="E11" s="31">
        <f>C11*D11*12</f>
        <v/>
      </c>
      <c r="F11" s="39">
        <f>E11-(C11*Assumptions!$B$17*Assumptions!$B$35)-(C11*Assumptions!$B$17*Assumptions!$B$25)-(C11*Assumptions!$B$26)-(E11*Assumptions!$B$28)-(Assumptions!$B$32+Assumptions!$B$33)-0</f>
        <v/>
      </c>
      <c r="G11" s="20">
        <f>G10+E11</f>
        <v/>
      </c>
      <c r="H11" s="20">
        <f>H10+F11</f>
        <v/>
      </c>
    </row>
    <row r="12">
      <c r="A12" s="21" t="n">
        <v>5</v>
      </c>
      <c r="B12" s="32">
        <f>B11*(1+Assumptions!$B$8)^12</f>
        <v/>
      </c>
      <c r="C12" s="32">
        <f>B12*'Five-Year Forecast'!$C$5</f>
        <v/>
      </c>
      <c r="D12" s="33">
        <f>D11*(1+Assumptions!$B$27)</f>
        <v/>
      </c>
      <c r="E12" s="31">
        <f>C12*D12*12</f>
        <v/>
      </c>
      <c r="F12" s="39">
        <f>E12-(C12*Assumptions!$B$17*Assumptions!$B$35)-(C12*Assumptions!$B$17*Assumptions!$B$25)-(C12*Assumptions!$B$26)-(E12*Assumptions!$B$28)-(Assumptions!$B$32+Assumptions!$B$33)-0</f>
        <v/>
      </c>
      <c r="G12" s="20">
        <f>G11+E12</f>
        <v/>
      </c>
      <c r="H12" s="20">
        <f>H11+F12</f>
        <v/>
      </c>
    </row>
    <row r="14">
      <c r="A14" s="3" t="inlineStr">
        <is>
          <t>Voluntary opt-in assumes ~0 fee-driven churn (enrollees chose the plan). Excludes pay-per-visit revenue from decliners — the hybrid adds that upside. Year 1 net absorbs one-time launch/billing costs.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4" customWidth="1" min="12" max="12"/>
    <col width="6" customWidth="1" min="13" max="13"/>
  </cols>
  <sheetData>
    <row r="1" ht="28" customHeight="1">
      <c r="A1" s="1" t="inlineStr">
        <is>
          <t>RIVR Tech — Recommendation Summary</t>
        </is>
      </c>
    </row>
    <row r="2">
      <c r="A2" s="2" t="inlineStr">
        <is>
          <t>Weighted decision matrix (scores 1-5; higher = better)</t>
        </is>
      </c>
    </row>
    <row r="3">
      <c r="A3" s="3" t="inlineStr">
        <is>
          <t>v1.0 (Draft for Executive Review) | 2026-07-29 | LREMC Technologies, LLC d/b/a RIVR Tech | NOT LEGAL ADVICE</t>
        </is>
      </c>
    </row>
    <row r="5">
      <c r="A5" s="17" t="inlineStr">
        <is>
          <t>Criteria &amp; Weights</t>
        </is>
      </c>
    </row>
    <row r="6">
      <c r="A6" s="18" t="inlineStr">
        <is>
          <t>Criterion</t>
        </is>
      </c>
      <c r="B6" s="18" t="inlineStr">
        <is>
          <t>Weight %</t>
        </is>
      </c>
    </row>
    <row r="7">
      <c r="A7" s="22" t="inlineStr">
        <is>
          <t>Net financial benefit</t>
        </is>
      </c>
      <c r="B7" s="37" t="n">
        <v>15</v>
      </c>
    </row>
    <row r="8">
      <c r="A8" s="22" t="inlineStr">
        <is>
          <t>Customer fairness</t>
        </is>
      </c>
      <c r="B8" s="37" t="n">
        <v>12</v>
      </c>
    </row>
    <row r="9">
      <c r="A9" s="22" t="inlineStr">
        <is>
          <t>Customer acceptance</t>
        </is>
      </c>
      <c r="B9" s="37" t="n">
        <v>12</v>
      </c>
    </row>
    <row r="10">
      <c r="A10" s="22" t="inlineStr">
        <is>
          <t>Regulatory risk (5=low risk)</t>
        </is>
      </c>
      <c r="B10" s="37" t="n">
        <v>15</v>
      </c>
    </row>
    <row r="11">
      <c r="A11" s="22" t="inlineStr">
        <is>
          <t>Operational simplicity</t>
        </is>
      </c>
      <c r="B11" s="37" t="n">
        <v>8</v>
      </c>
    </row>
    <row r="12">
      <c r="A12" s="22" t="inlineStr">
        <is>
          <t>Revenue predictability</t>
        </is>
      </c>
      <c r="B12" s="37" t="n">
        <v>8</v>
      </c>
    </row>
    <row r="13">
      <c r="A13" s="22" t="inlineStr">
        <is>
          <t>Churn risk (5=low risk)</t>
        </is>
      </c>
      <c r="B13" s="37" t="n">
        <v>12</v>
      </c>
    </row>
    <row r="14">
      <c r="A14" s="22" t="inlineStr">
        <is>
          <t>Brand impact</t>
        </is>
      </c>
      <c r="B14" s="37" t="n">
        <v>10</v>
      </c>
    </row>
    <row r="15">
      <c r="A15" s="22" t="inlineStr">
        <is>
          <t>Scalability</t>
        </is>
      </c>
      <c r="B15" s="37" t="n">
        <v>4</v>
      </c>
    </row>
    <row r="16">
      <c r="A16" s="22" t="inlineStr">
        <is>
          <t>Ease of implementation</t>
        </is>
      </c>
      <c r="B16" s="37" t="n">
        <v>4</v>
      </c>
    </row>
    <row r="18">
      <c r="A18" s="17" t="inlineStr">
        <is>
          <t>Weighted Scores by Option</t>
        </is>
      </c>
    </row>
    <row r="19" ht="54" customHeight="1">
      <c r="A19" s="18" t="inlineStr">
        <is>
          <t>Option</t>
        </is>
      </c>
      <c r="B19" s="18" t="inlineStr">
        <is>
          <t>Net financial benefit</t>
        </is>
      </c>
      <c r="C19" s="18" t="inlineStr">
        <is>
          <t>Customer fairness</t>
        </is>
      </c>
      <c r="D19" s="18" t="inlineStr">
        <is>
          <t>Customer acceptance</t>
        </is>
      </c>
      <c r="E19" s="18" t="inlineStr">
        <is>
          <t>Regulatory risk (5=low risk)</t>
        </is>
      </c>
      <c r="F19" s="18" t="inlineStr">
        <is>
          <t>Operational simplicity</t>
        </is>
      </c>
      <c r="G19" s="18" t="inlineStr">
        <is>
          <t>Revenue predictability</t>
        </is>
      </c>
      <c r="H19" s="18" t="inlineStr">
        <is>
          <t>Churn risk (5=low risk)</t>
        </is>
      </c>
      <c r="I19" s="18" t="inlineStr">
        <is>
          <t>Brand impact</t>
        </is>
      </c>
      <c r="J19" s="18" t="inlineStr">
        <is>
          <t>Scalability</t>
        </is>
      </c>
      <c r="K19" s="18" t="inlineStr">
        <is>
          <t>Ease of implementation</t>
        </is>
      </c>
      <c r="L19" s="18" t="inlineStr">
        <is>
          <t>Weighted Score</t>
        </is>
      </c>
      <c r="M19" s="18" t="inlineStr">
        <is>
          <t>Rank</t>
        </is>
      </c>
    </row>
    <row r="20">
      <c r="A20" s="47" t="inlineStr">
        <is>
          <t>Mandatory $3.99</t>
        </is>
      </c>
      <c r="B20" s="37" t="n">
        <v>5</v>
      </c>
      <c r="C20" s="37" t="n">
        <v>1</v>
      </c>
      <c r="D20" s="37" t="n">
        <v>1</v>
      </c>
      <c r="E20" s="37" t="n">
        <v>1</v>
      </c>
      <c r="F20" s="37" t="n">
        <v>4</v>
      </c>
      <c r="G20" s="37" t="n">
        <v>5</v>
      </c>
      <c r="H20" s="37" t="n">
        <v>1</v>
      </c>
      <c r="I20" s="37" t="n">
        <v>1</v>
      </c>
      <c r="J20" s="37" t="n">
        <v>5</v>
      </c>
      <c r="K20" s="37" t="n">
        <v>3</v>
      </c>
      <c r="L20" s="48">
        <f>SUMPRODUCT(B20:K20,TRANSPOSE($B$7:$B$16))/SUM($B$7:$B$16)</f>
        <v/>
      </c>
      <c r="M20" s="49">
        <f>RANK(L20,L20:L28)</f>
        <v/>
      </c>
    </row>
    <row r="21">
      <c r="A21" s="47" t="inlineStr">
        <is>
          <t>Mandatory $4.99</t>
        </is>
      </c>
      <c r="B21" s="37" t="n">
        <v>5</v>
      </c>
      <c r="C21" s="37" t="n">
        <v>1</v>
      </c>
      <c r="D21" s="37" t="n">
        <v>1</v>
      </c>
      <c r="E21" s="37" t="n">
        <v>1</v>
      </c>
      <c r="F21" s="37" t="n">
        <v>4</v>
      </c>
      <c r="G21" s="37" t="n">
        <v>5</v>
      </c>
      <c r="H21" s="37" t="n">
        <v>1</v>
      </c>
      <c r="I21" s="37" t="n">
        <v>1</v>
      </c>
      <c r="J21" s="37" t="n">
        <v>5</v>
      </c>
      <c r="K21" s="37" t="n">
        <v>3</v>
      </c>
      <c r="L21" s="48">
        <f>SUMPRODUCT(B21:K21,TRANSPOSE($B$7:$B$16))/SUM($B$7:$B$16)</f>
        <v/>
      </c>
      <c r="M21" s="49">
        <f>RANK(L21,L20:L28)</f>
        <v/>
      </c>
    </row>
    <row r="22">
      <c r="A22" s="47" t="inlineStr">
        <is>
          <t>Opt-out $3.99</t>
        </is>
      </c>
      <c r="B22" s="37" t="n">
        <v>4</v>
      </c>
      <c r="C22" s="37" t="n">
        <v>2</v>
      </c>
      <c r="D22" s="37" t="n">
        <v>2</v>
      </c>
      <c r="E22" s="37" t="n">
        <v>2</v>
      </c>
      <c r="F22" s="37" t="n">
        <v>3</v>
      </c>
      <c r="G22" s="37" t="n">
        <v>4</v>
      </c>
      <c r="H22" s="37" t="n">
        <v>2</v>
      </c>
      <c r="I22" s="37" t="n">
        <v>2</v>
      </c>
      <c r="J22" s="37" t="n">
        <v>4</v>
      </c>
      <c r="K22" s="37" t="n">
        <v>3</v>
      </c>
      <c r="L22" s="48">
        <f>SUMPRODUCT(B22:K22,TRANSPOSE($B$7:$B$16))/SUM($B$7:$B$16)</f>
        <v/>
      </c>
      <c r="M22" s="49">
        <f>RANK(L22,L20:L28)</f>
        <v/>
      </c>
    </row>
    <row r="23">
      <c r="A23" s="47" t="inlineStr">
        <is>
          <t>Opt-out $4.99</t>
        </is>
      </c>
      <c r="B23" s="37" t="n">
        <v>4</v>
      </c>
      <c r="C23" s="37" t="n">
        <v>2</v>
      </c>
      <c r="D23" s="37" t="n">
        <v>2</v>
      </c>
      <c r="E23" s="37" t="n">
        <v>2</v>
      </c>
      <c r="F23" s="37" t="n">
        <v>3</v>
      </c>
      <c r="G23" s="37" t="n">
        <v>4</v>
      </c>
      <c r="H23" s="37" t="n">
        <v>2</v>
      </c>
      <c r="I23" s="37" t="n">
        <v>2</v>
      </c>
      <c r="J23" s="37" t="n">
        <v>4</v>
      </c>
      <c r="K23" s="37" t="n">
        <v>3</v>
      </c>
      <c r="L23" s="48">
        <f>SUMPRODUCT(B23:K23,TRANSPOSE($B$7:$B$16))/SUM($B$7:$B$16)</f>
        <v/>
      </c>
      <c r="M23" s="49">
        <f>RANK(L23,L20:L28)</f>
        <v/>
      </c>
    </row>
    <row r="24">
      <c r="A24" s="47" t="inlineStr">
        <is>
          <t>Opt-in $3.99</t>
        </is>
      </c>
      <c r="B24" s="37" t="n">
        <v>3</v>
      </c>
      <c r="C24" s="37" t="n">
        <v>5</v>
      </c>
      <c r="D24" s="37" t="n">
        <v>5</v>
      </c>
      <c r="E24" s="37" t="n">
        <v>5</v>
      </c>
      <c r="F24" s="37" t="n">
        <v>3</v>
      </c>
      <c r="G24" s="37" t="n">
        <v>3</v>
      </c>
      <c r="H24" s="37" t="n">
        <v>5</v>
      </c>
      <c r="I24" s="37" t="n">
        <v>5</v>
      </c>
      <c r="J24" s="37" t="n">
        <v>4</v>
      </c>
      <c r="K24" s="37" t="n">
        <v>4</v>
      </c>
      <c r="L24" s="48">
        <f>SUMPRODUCT(B24:K24,TRANSPOSE($B$7:$B$16))/SUM($B$7:$B$16)</f>
        <v/>
      </c>
      <c r="M24" s="49">
        <f>RANK(L24,L20:L28)</f>
        <v/>
      </c>
    </row>
    <row r="25">
      <c r="A25" s="47" t="inlineStr">
        <is>
          <t>Opt-in $4.99</t>
        </is>
      </c>
      <c r="B25" s="37" t="n">
        <v>3</v>
      </c>
      <c r="C25" s="37" t="n">
        <v>5</v>
      </c>
      <c r="D25" s="37" t="n">
        <v>4</v>
      </c>
      <c r="E25" s="37" t="n">
        <v>5</v>
      </c>
      <c r="F25" s="37" t="n">
        <v>3</v>
      </c>
      <c r="G25" s="37" t="n">
        <v>3</v>
      </c>
      <c r="H25" s="37" t="n">
        <v>5</v>
      </c>
      <c r="I25" s="37" t="n">
        <v>5</v>
      </c>
      <c r="J25" s="37" t="n">
        <v>4</v>
      </c>
      <c r="K25" s="37" t="n">
        <v>4</v>
      </c>
      <c r="L25" s="48">
        <f>SUMPRODUCT(B25:K25,TRANSPOSE($B$7:$B$16))/SUM($B$7:$B$16)</f>
        <v/>
      </c>
      <c r="M25" s="49">
        <f>RANK(L25,L20:L28)</f>
        <v/>
      </c>
    </row>
    <row r="26">
      <c r="A26" s="47" t="inlineStr">
        <is>
          <t>Pay-per-visit only</t>
        </is>
      </c>
      <c r="B26" s="37" t="n">
        <v>2</v>
      </c>
      <c r="C26" s="37" t="n">
        <v>4</v>
      </c>
      <c r="D26" s="37" t="n">
        <v>3</v>
      </c>
      <c r="E26" s="37" t="n">
        <v>4</v>
      </c>
      <c r="F26" s="37" t="n">
        <v>2</v>
      </c>
      <c r="G26" s="37" t="n">
        <v>1</v>
      </c>
      <c r="H26" s="37" t="n">
        <v>4</v>
      </c>
      <c r="I26" s="37" t="n">
        <v>3</v>
      </c>
      <c r="J26" s="37" t="n">
        <v>3</v>
      </c>
      <c r="K26" s="37" t="n">
        <v>3</v>
      </c>
      <c r="L26" s="48">
        <f>SUMPRODUCT(B26:K26,TRANSPOSE($B$7:$B$16))/SUM($B$7:$B$16)</f>
        <v/>
      </c>
      <c r="M26" s="49">
        <f>RANK(L26,L20:L28)</f>
        <v/>
      </c>
    </row>
    <row r="27">
      <c r="A27" s="47" t="inlineStr">
        <is>
          <t>Hybrid (opt-in + PPV)</t>
        </is>
      </c>
      <c r="B27" s="37" t="n">
        <v>4</v>
      </c>
      <c r="C27" s="37" t="n">
        <v>5</v>
      </c>
      <c r="D27" s="37" t="n">
        <v>4</v>
      </c>
      <c r="E27" s="37" t="n">
        <v>4</v>
      </c>
      <c r="F27" s="37" t="n">
        <v>2</v>
      </c>
      <c r="G27" s="37" t="n">
        <v>3</v>
      </c>
      <c r="H27" s="37" t="n">
        <v>5</v>
      </c>
      <c r="I27" s="37" t="n">
        <v>5</v>
      </c>
      <c r="J27" s="37" t="n">
        <v>4</v>
      </c>
      <c r="K27" s="37" t="n">
        <v>3</v>
      </c>
      <c r="L27" s="48">
        <f>SUMPRODUCT(B27:K27,TRANSPOSE($B$7:$B$16))/SUM($B$7:$B$16)</f>
        <v/>
      </c>
      <c r="M27" s="49">
        <f>RANK(L27,L20:L28)</f>
        <v/>
      </c>
    </row>
    <row r="28">
      <c r="A28" s="47" t="inlineStr">
        <is>
          <t>Do not implement</t>
        </is>
      </c>
      <c r="B28" s="37" t="n">
        <v>1</v>
      </c>
      <c r="C28" s="37" t="n">
        <v>4</v>
      </c>
      <c r="D28" s="37" t="n">
        <v>5</v>
      </c>
      <c r="E28" s="37" t="n">
        <v>5</v>
      </c>
      <c r="F28" s="37" t="n">
        <v>5</v>
      </c>
      <c r="G28" s="37" t="n">
        <v>1</v>
      </c>
      <c r="H28" s="37" t="n">
        <v>5</v>
      </c>
      <c r="I28" s="37" t="n">
        <v>4</v>
      </c>
      <c r="J28" s="37" t="n">
        <v>2</v>
      </c>
      <c r="K28" s="37" t="n">
        <v>5</v>
      </c>
      <c r="L28" s="48">
        <f>SUMPRODUCT(B28:K28,TRANSPOSE($B$7:$B$16))/SUM($B$7:$B$16)</f>
        <v/>
      </c>
      <c r="M28" s="49">
        <f>RANK(L28,L20:L28)</f>
        <v/>
      </c>
    </row>
    <row r="31">
      <c r="A31" s="50" t="inlineStr">
        <is>
          <t>RECOMMENDATION</t>
        </is>
      </c>
    </row>
    <row r="32">
      <c r="A32" s="51" t="inlineStr">
        <is>
          <t>Voluntary opt-in at $3.99 (Basic/Standard coverage) delivered as a HYBRID: enrollees get the plan; customers who decline pay a per-visit dispatch charge. Do NOT implement a mandatory blanket fee. Exempt Lifeline/Tribal/low-income (opt-in only); exclude bulk/managed properties. Requires legal review of negative-option/consumer-protection rules.</t>
        </is>
      </c>
    </row>
    <row r="33"/>
    <row r="34"/>
  </sheetData>
  <mergeCells count="4">
    <mergeCell ref="A1:D1"/>
    <mergeCell ref="A3:D3"/>
    <mergeCell ref="A2:D2"/>
    <mergeCell ref="A32:M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2026-07-29T13:50:36Z</dcterms:created>
  <dcterms:modified xmlns:dcterms="http://purl.org/dc/terms/" xmlns:xsi="http://www.w3.org/2001/XMLSchema-instance" xsi:type="dcterms:W3CDTF">2026-07-29T13:50:36Z</dcterms:modified>
</cp:coreProperties>
</file>