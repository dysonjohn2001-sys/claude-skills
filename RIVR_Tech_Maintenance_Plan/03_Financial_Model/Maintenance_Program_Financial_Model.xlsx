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urrent State" sheetId="3" state="visible" r:id="rId3"/>
    <sheet xmlns:r="http://schemas.openxmlformats.org/officeDocument/2006/relationships" name="Fee Scenarios" sheetId="4" state="visible" r:id="rId4"/>
    <sheet xmlns:r="http://schemas.openxmlformats.org/officeDocument/2006/relationships" name="Protection Plan" sheetId="5" state="visible" r:id="rId5"/>
    <sheet xmlns:r="http://schemas.openxmlformats.org/officeDocument/2006/relationships" name="Three-Year Forecast" sheetId="6" state="visible" r:id="rId6"/>
    <sheet xmlns:r="http://schemas.openxmlformats.org/officeDocument/2006/relationships" name="Sensitivity Analysis" sheetId="7" state="visible" r:id="rId7"/>
    <sheet xmlns:r="http://schemas.openxmlformats.org/officeDocument/2006/relationships" name="KPI Definitions" sheetId="8" state="visible" r:id="rId8"/>
    <sheet xmlns:r="http://schemas.openxmlformats.org/officeDocument/2006/relationships" name="Data Need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FFFFFF"/>
      <sz val="10"/>
    </font>
    <font>
      <name val="Calibri"/>
      <i val="1"/>
      <color rgb="006B7A82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B3D5C"/>
      <sz val="10"/>
    </font>
    <font>
      <i val="1"/>
      <color rgb="00C0562B"/>
      <sz val="9"/>
    </font>
    <font>
      <name val="Calibri"/>
      <b val="1"/>
      <color rgb="00FFFFFF"/>
      <sz val="11"/>
    </font>
    <font>
      <b val="1"/>
      <color rgb="000B3D5C"/>
      <sz val="14"/>
    </font>
    <font>
      <b val="1"/>
      <color rgb="002E7D5B"/>
      <sz val="13"/>
    </font>
  </fonts>
  <fills count="9">
    <fill>
      <patternFill/>
    </fill>
    <fill>
      <patternFill patternType="gray125"/>
    </fill>
    <fill>
      <patternFill patternType="solid">
        <fgColor rgb="0010222E"/>
      </patternFill>
    </fill>
    <fill>
      <patternFill patternType="solid">
        <fgColor rgb="001B87B5"/>
      </patternFill>
    </fill>
    <fill>
      <patternFill patternType="solid">
        <fgColor rgb="00FFF3C4"/>
      </patternFill>
    </fill>
    <fill>
      <patternFill patternType="solid">
        <fgColor rgb="00E3F0F6"/>
      </patternFill>
    </fill>
    <fill>
      <patternFill patternType="solid">
        <fgColor rgb="00D7F0E7"/>
      </patternFill>
    </fill>
    <fill>
      <patternFill patternType="solid">
        <fgColor rgb="00F6D9CC"/>
      </patternFill>
    </fill>
    <fill>
      <patternFill patternType="solid">
        <fgColor rgb="000B3D5C"/>
      </patternFill>
    </fill>
  </fills>
  <borders count="9">
    <border>
      <left/>
      <right/>
      <top/>
      <bottom/>
      <diagonal/>
    </border>
    <border>
      <left style="thin">
        <color rgb="00C9D6DC"/>
      </left>
      <right style="thin">
        <color rgb="00C9D6DC"/>
      </right>
      <top style="thin">
        <color rgb="00C9D6DC"/>
      </top>
      <bottom style="thin">
        <color rgb="00C9D6DC"/>
      </bottom>
    </border>
    <border>
      <left/>
      <right/>
      <top style="thin">
        <color rgb="00C9D6DC"/>
      </top>
      <bottom/>
      <diagonal/>
    </border>
    <border>
      <left/>
      <right style="thin">
        <color rgb="00C9D6DC"/>
      </right>
      <top style="thin">
        <color rgb="00C9D6DC"/>
      </top>
      <bottom/>
      <diagonal/>
    </border>
    <border>
      <left/>
      <right style="thin">
        <color rgb="00C9D6DC"/>
      </right>
      <top style="thin">
        <color rgb="00C9D6DC"/>
      </top>
      <bottom style="thin">
        <color rgb="00C9D6DC"/>
      </bottom>
      <diagonal/>
    </border>
    <border>
      <left style="thin">
        <color rgb="00C9D6DC"/>
      </left>
      <right/>
      <top/>
      <bottom/>
      <diagonal/>
    </border>
    <border>
      <left/>
      <right style="thin">
        <color rgb="00C9D6DC"/>
      </right>
      <top/>
      <bottom/>
      <diagonal/>
    </border>
    <border>
      <left style="thin">
        <color rgb="00C9D6DC"/>
      </left>
      <right/>
      <top/>
      <bottom style="thin">
        <color rgb="00C9D6DC"/>
      </bottom>
      <diagonal/>
    </border>
    <border>
      <left/>
      <right style="thin">
        <color rgb="00C9D6DC"/>
      </right>
      <top/>
      <bottom style="thin">
        <color rgb="00C9D6DC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165" fontId="10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166" fontId="10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9" fontId="11" fillId="6" borderId="1" pivotButton="0" quotePrefix="0" xfId="0"/>
    <xf numFmtId="0" fontId="7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0" fillId="0" borderId="1" pivotButton="0" quotePrefix="0" xfId="0"/>
    <xf numFmtId="0" fontId="5" fillId="0" borderId="1" pivotButton="0" quotePrefix="0" xfId="0"/>
    <xf numFmtId="3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166" fontId="5" fillId="0" borderId="1" pivotButton="0" quotePrefix="0" xfId="0"/>
    <xf numFmtId="165" fontId="5" fillId="0" borderId="1" pivotButton="0" quotePrefix="0" xfId="0"/>
    <xf numFmtId="166" fontId="5" fillId="6" borderId="1" pivotButton="0" quotePrefix="0" xfId="0"/>
    <xf numFmtId="165" fontId="5" fillId="6" borderId="1" pivotButton="0" quotePrefix="0" xfId="0"/>
    <xf numFmtId="0" fontId="8" fillId="0" borderId="0" pivotButton="0" quotePrefix="0" xfId="0"/>
    <xf numFmtId="3" fontId="0" fillId="5" borderId="1" pivotButton="0" quotePrefix="0" xfId="0"/>
    <xf numFmtId="166" fontId="0" fillId="5" borderId="1" pivotButton="0" quotePrefix="0" xfId="0"/>
    <xf numFmtId="0" fontId="0" fillId="0" borderId="1" pivotButton="0" quotePrefix="0" xfId="0"/>
    <xf numFmtId="166" fontId="4" fillId="6" borderId="1" pivotButton="0" quotePrefix="0" xfId="0"/>
    <xf numFmtId="9" fontId="6" fillId="3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Financial Effect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Dashboard'!E22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Dashboard'!$A$23:$A$25</f>
            </numRef>
          </cat>
          <val>
            <numRef>
              <f>'Executive Dashboard'!$E$23:$E$25</f>
            </numRef>
          </val>
        </ser>
        <ser>
          <idx val="1"/>
          <order val="1"/>
          <tx>
            <strRef>
              <f>'Executive Dashboard'!F22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Dashboard'!$A$23:$A$25</f>
            </numRef>
          </cat>
          <val>
            <numRef>
              <f>'Executive Dashboard'!$F$23:$F$25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Program Revenue Components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Dashboard'!$A$23:$A$25</f>
            </numRef>
          </cat>
          <val>
            <numRef>
              <f>'Executive Dashboard'!$B$23:$B$25</f>
            </numRef>
          </val>
        </ser>
        <ser>
          <idx val="1"/>
          <order val="1"/>
          <tx>
            <strRef>
              <f>'Executive Dashboard'!C22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Dashboard'!$A$23:$A$25</f>
            </numRef>
          </cat>
          <val>
            <numRef>
              <f>'Executive Dashboard'!$C$23:$C$25</f>
            </numRef>
          </val>
        </ser>
        <ser>
          <idx val="2"/>
          <order val="2"/>
          <tx>
            <strRef>
              <f>'Executive Dashboard'!D22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Dashboard'!$A$23:$A$25</f>
            </numRef>
          </cat>
          <val>
            <numRef>
              <f>'Executive Dashboard'!$D$23:$D$25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Protection Plan Margin by Price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Dashboard'!B47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Dashboard'!$A$48:$A$50</f>
            </numRef>
          </cat>
          <val>
            <numRef>
              <f>'Executive Dashboard'!$B$48:$B$50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27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52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0" customHeight="1">
      <c r="A1" s="1" t="inlineStr">
        <is>
          <t>RIVR Tech — Executive Dashboard</t>
        </is>
      </c>
    </row>
    <row r="2">
      <c r="A2" s="2" t="inlineStr">
        <is>
          <t>Headline results — Expected scenario (live)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4">
      <c r="A4" s="4" t="inlineStr">
        <is>
          <t>LEGEND:</t>
        </is>
      </c>
      <c r="B4" s="5" t="inlineStr">
        <is>
          <t>User input</t>
        </is>
      </c>
      <c r="C4" s="6" t="inlineStr">
        <is>
          <t>Calculated</t>
        </is>
      </c>
      <c r="D4" s="7" t="inlineStr">
        <is>
          <t>Recommended</t>
        </is>
      </c>
      <c r="E4" s="8" t="inlineStr">
        <is>
          <t>Review / warning</t>
        </is>
      </c>
    </row>
    <row r="6">
      <c r="A6" s="9" t="inlineStr">
        <is>
          <t>Cost per dispatch</t>
        </is>
      </c>
      <c r="B6" s="10" t="n"/>
      <c r="C6" s="9" t="inlineStr">
        <is>
          <t>Annual dispatch expense</t>
        </is>
      </c>
      <c r="D6" s="10" t="n"/>
      <c r="E6" s="9" t="inlineStr">
        <is>
          <t>Customer-caused dispatch cost</t>
        </is>
      </c>
      <c r="F6" s="10" t="n"/>
    </row>
    <row r="7">
      <c r="A7" s="11">
        <f>'Current State'!$B$9</f>
        <v/>
      </c>
      <c r="B7" s="12" t="n"/>
      <c r="C7" s="13">
        <f>'Current State'!$B$10</f>
        <v/>
      </c>
      <c r="D7" s="12" t="n"/>
      <c r="E7" s="13">
        <f>'Current State'!$B$11</f>
        <v/>
      </c>
      <c r="F7" s="12" t="n"/>
    </row>
    <row r="8">
      <c r="A8" s="14" t="n"/>
      <c r="B8" s="15" t="n"/>
      <c r="C8" s="14" t="n"/>
      <c r="D8" s="15" t="n"/>
      <c r="E8" s="14" t="n"/>
      <c r="F8" s="15" t="n"/>
    </row>
    <row r="10">
      <c r="A10" s="9" t="inlineStr">
        <is>
          <t>Net fee revenue (Yr 1)</t>
        </is>
      </c>
      <c r="B10" s="10" t="n"/>
      <c r="C10" s="9" t="inlineStr">
        <is>
          <t>Protection margin (Yr 1)</t>
        </is>
      </c>
      <c r="D10" s="10" t="n"/>
      <c r="E10" s="9" t="inlineStr">
        <is>
          <t>Deflection savings</t>
        </is>
      </c>
      <c r="F10" s="10" t="n"/>
    </row>
    <row r="11">
      <c r="A11" s="13">
        <f>'Fee Scenarios'!$B$13</f>
        <v/>
      </c>
      <c r="B11" s="12" t="n"/>
      <c r="C11" s="13">
        <f>'Protection Plan'!$B$9</f>
        <v/>
      </c>
      <c r="D11" s="12" t="n"/>
      <c r="E11" s="13">
        <f>'Three-Year Forecast'!$B$5</f>
        <v/>
      </c>
      <c r="F11" s="12" t="n"/>
    </row>
    <row r="12">
      <c r="A12" s="14" t="n"/>
      <c r="B12" s="15" t="n"/>
      <c r="C12" s="14" t="n"/>
      <c r="D12" s="15" t="n"/>
      <c r="E12" s="14" t="n"/>
      <c r="F12" s="15" t="n"/>
    </row>
    <row r="14">
      <c r="A14" s="9" t="inlineStr">
        <is>
          <t>Year 1 net effect</t>
        </is>
      </c>
      <c r="B14" s="10" t="n"/>
      <c r="C14" s="9" t="inlineStr">
        <is>
          <t>Three-year net effect</t>
        </is>
      </c>
      <c r="D14" s="10" t="n"/>
    </row>
    <row r="15">
      <c r="A15" s="13">
        <f>'Three-Year Forecast'!$B$13</f>
        <v/>
      </c>
      <c r="B15" s="12" t="n"/>
      <c r="C15" s="13">
        <f>'Three-Year Forecast'!$E$13</f>
        <v/>
      </c>
      <c r="D15" s="12" t="n"/>
    </row>
    <row r="16">
      <c r="A16" s="14" t="n"/>
      <c r="B16" s="15" t="n"/>
      <c r="C16" s="14" t="n"/>
      <c r="D16" s="15" t="n"/>
    </row>
    <row r="18">
      <c r="A18" s="4" t="inlineStr">
        <is>
          <t>Cost recovery of customer-caused dispatch cost:</t>
        </is>
      </c>
      <c r="C18" s="16">
        <f>('Fee Scenarios'!$B$13+'Protection Plan'!$B$9)/'Current State'!$B$11</f>
        <v/>
      </c>
    </row>
    <row r="21">
      <c r="A21" s="17" t="inlineStr">
        <is>
          <t>Chart Data (Scenario comparison)</t>
        </is>
      </c>
    </row>
    <row r="22">
      <c r="A22" s="18" t="inlineStr">
        <is>
          <t>Scenario</t>
        </is>
      </c>
      <c r="B22" s="18" t="inlineStr">
        <is>
          <t>Net Fees</t>
        </is>
      </c>
      <c r="C22" s="18" t="inlineStr">
        <is>
          <t>Plan Margin</t>
        </is>
      </c>
      <c r="D22" s="18" t="inlineStr">
        <is>
          <t>Deflection</t>
        </is>
      </c>
      <c r="E22" s="18" t="inlineStr">
        <is>
          <t>Year 1 Net</t>
        </is>
      </c>
      <c r="F22" s="18" t="inlineStr">
        <is>
          <t>3-Yr Net</t>
        </is>
      </c>
    </row>
    <row r="23">
      <c r="A23" s="19" t="inlineStr">
        <is>
          <t>Low</t>
        </is>
      </c>
      <c r="B23" s="20" t="n">
        <v>52963</v>
      </c>
      <c r="C23" s="20" t="n">
        <v>99593</v>
      </c>
      <c r="D23" s="20" t="n">
        <v>86580</v>
      </c>
      <c r="E23" s="20" t="n">
        <v>100847</v>
      </c>
      <c r="F23" s="20" t="n">
        <v>521917</v>
      </c>
    </row>
    <row r="24">
      <c r="A24" s="19" t="inlineStr">
        <is>
          <t>Expected</t>
        </is>
      </c>
      <c r="B24" s="20" t="n">
        <v>97436</v>
      </c>
      <c r="C24" s="20" t="n">
        <v>142276</v>
      </c>
      <c r="D24" s="20" t="n">
        <v>144300</v>
      </c>
      <c r="E24" s="20" t="n">
        <v>245722</v>
      </c>
      <c r="F24" s="20" t="n">
        <v>978275</v>
      </c>
    </row>
    <row r="25">
      <c r="A25" s="19" t="inlineStr">
        <is>
          <t>High</t>
        </is>
      </c>
      <c r="B25" s="20" t="n">
        <v>142864</v>
      </c>
      <c r="C25" s="20" t="n">
        <v>256097</v>
      </c>
      <c r="D25" s="20" t="n">
        <v>259740</v>
      </c>
      <c r="E25" s="20" t="n">
        <v>520412</v>
      </c>
      <c r="F25" s="20" t="n">
        <v>1843546</v>
      </c>
    </row>
    <row r="46">
      <c r="A46" s="17" t="inlineStr">
        <is>
          <t>Protection Plan — Margin by Price Point</t>
        </is>
      </c>
    </row>
    <row r="47">
      <c r="A47" s="18" t="inlineStr">
        <is>
          <t>Price</t>
        </is>
      </c>
      <c r="B47" s="18" t="inlineStr">
        <is>
          <t>Contribution Margin</t>
        </is>
      </c>
    </row>
    <row r="48">
      <c r="A48" s="19" t="inlineStr">
        <is>
          <t>$7.99</t>
        </is>
      </c>
      <c r="B48" s="20" t="n">
        <v>104150</v>
      </c>
    </row>
    <row r="49">
      <c r="A49" s="19" t="inlineStr">
        <is>
          <t>$9.99</t>
        </is>
      </c>
      <c r="B49" s="20" t="n">
        <v>142276</v>
      </c>
    </row>
    <row r="50">
      <c r="A50" s="19" t="inlineStr">
        <is>
          <t>$12.99</t>
        </is>
      </c>
      <c r="B50" s="20" t="n">
        <v>199466</v>
      </c>
    </row>
  </sheetData>
  <mergeCells count="19">
    <mergeCell ref="C6:D6"/>
    <mergeCell ref="C11:D12"/>
    <mergeCell ref="E11:F12"/>
    <mergeCell ref="C14:D14"/>
    <mergeCell ref="A3:F3"/>
    <mergeCell ref="A6:B6"/>
    <mergeCell ref="A2:F2"/>
    <mergeCell ref="C10:D10"/>
    <mergeCell ref="C7:D8"/>
    <mergeCell ref="E10:F10"/>
    <mergeCell ref="E7:F8"/>
    <mergeCell ref="E6:F6"/>
    <mergeCell ref="A15:B16"/>
    <mergeCell ref="C15:D16"/>
    <mergeCell ref="A11:B12"/>
    <mergeCell ref="A14:B14"/>
    <mergeCell ref="A7:B8"/>
    <mergeCell ref="A1:F1"/>
    <mergeCell ref="A10:B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8" customWidth="1" min="3" max="3"/>
    <col width="14" customWidth="1" min="4" max="4"/>
    <col width="50" customWidth="1" min="5" max="5"/>
  </cols>
  <sheetData>
    <row r="1" ht="30" customHeight="1">
      <c r="A1" s="1" t="inlineStr">
        <is>
          <t>RIVR Tech — Financial Model — Inputs</t>
        </is>
      </c>
    </row>
    <row r="2">
      <c r="A2" s="2" t="inlineStr">
        <is>
          <t>Edit yellow cells. Everything else recalculates.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4">
      <c r="A4" s="4" t="inlineStr">
        <is>
          <t>LEGEND:</t>
        </is>
      </c>
      <c r="B4" s="5" t="inlineStr">
        <is>
          <t>User input</t>
        </is>
      </c>
      <c r="C4" s="6" t="inlineStr">
        <is>
          <t>Calculated</t>
        </is>
      </c>
      <c r="D4" s="7" t="inlineStr">
        <is>
          <t>Recommended</t>
        </is>
      </c>
      <c r="E4" s="8" t="inlineStr">
        <is>
          <t>Review / warning</t>
        </is>
      </c>
    </row>
    <row r="6">
      <c r="A6" s="18" t="inlineStr">
        <is>
          <t>Input</t>
        </is>
      </c>
      <c r="B6" s="18" t="inlineStr">
        <is>
          <t>Value</t>
        </is>
      </c>
      <c r="C6" s="18" t="inlineStr">
        <is>
          <t>Unit</t>
        </is>
      </c>
      <c r="D6" s="18" t="inlineStr">
        <is>
          <t>Type</t>
        </is>
      </c>
      <c r="E6" s="18" t="inlineStr">
        <is>
          <t>Note</t>
        </is>
      </c>
    </row>
    <row r="7">
      <c r="A7" s="21" t="inlineStr">
        <is>
          <t>Total customers</t>
        </is>
      </c>
      <c r="B7" s="22" t="n">
        <v>18500</v>
      </c>
      <c r="C7" s="23" t="inlineStr">
        <is>
          <t>count</t>
        </is>
      </c>
      <c r="D7" s="21" t="inlineStr">
        <is>
          <t>Assumption</t>
        </is>
      </c>
      <c r="E7" s="24" t="inlineStr">
        <is>
          <t>Assumption — replace with billing-system count.</t>
        </is>
      </c>
    </row>
    <row r="8">
      <c r="A8" s="21" t="inlineStr">
        <is>
          <t>Residential customers</t>
        </is>
      </c>
      <c r="B8" s="22" t="n">
        <v>16900</v>
      </c>
      <c r="C8" s="23" t="inlineStr">
        <is>
          <t>count</t>
        </is>
      </c>
      <c r="D8" s="21" t="inlineStr">
        <is>
          <t>Assumption</t>
        </is>
      </c>
      <c r="E8" s="24" t="inlineStr">
        <is>
          <t>Assumption.</t>
        </is>
      </c>
    </row>
    <row r="9">
      <c r="A9" s="21" t="inlineStr">
        <is>
          <t>Business customers</t>
        </is>
      </c>
      <c r="B9" s="22" t="n">
        <v>1600</v>
      </c>
      <c r="C9" s="23" t="inlineStr">
        <is>
          <t>count</t>
        </is>
      </c>
      <c r="D9" s="21" t="inlineStr">
        <is>
          <t>Assumption</t>
        </is>
      </c>
      <c r="E9" s="24" t="inlineStr">
        <is>
          <t>Assumption.</t>
        </is>
      </c>
    </row>
    <row r="10">
      <c r="A10" s="21" t="inlineStr">
        <is>
          <t>Monthly trouble tickets</t>
        </is>
      </c>
      <c r="B10" s="22" t="n">
        <v>1850</v>
      </c>
      <c r="C10" s="23" t="inlineStr">
        <is>
          <t>count</t>
        </is>
      </c>
      <c r="D10" s="21" t="inlineStr">
        <is>
          <t>Assumption</t>
        </is>
      </c>
      <c r="E10" s="24" t="inlineStr">
        <is>
          <t>Assumption — replace with ticketing export.</t>
        </is>
      </c>
    </row>
    <row r="11">
      <c r="A11" s="21" t="inlineStr">
        <is>
          <t>Remote-resolution rate</t>
        </is>
      </c>
      <c r="B11" s="25" t="n">
        <v>0.62</v>
      </c>
      <c r="C11" s="23" t="inlineStr">
        <is>
          <t>pct</t>
        </is>
      </c>
      <c r="D11" s="21" t="inlineStr">
        <is>
          <t>Assumption</t>
        </is>
      </c>
      <c r="E11" s="24" t="inlineStr">
        <is>
          <t>Assumption — baseline before program.</t>
        </is>
      </c>
    </row>
    <row r="12">
      <c r="A12" s="21" t="inlineStr">
        <is>
          <t>Dispatch rate (of tickets)</t>
        </is>
      </c>
      <c r="B12" s="25" t="n">
        <v>0.38</v>
      </c>
      <c r="C12" s="23" t="inlineStr">
        <is>
          <t>pct</t>
        </is>
      </c>
      <c r="D12" s="21" t="inlineStr">
        <is>
          <t>Assumption</t>
        </is>
      </c>
      <c r="E12" s="24" t="inlineStr">
        <is>
          <t>Derived complement of remote resolution.</t>
        </is>
      </c>
    </row>
    <row r="13">
      <c r="A13" s="21" t="inlineStr">
        <is>
          <t>Customer-caused % of dispatches</t>
        </is>
      </c>
      <c r="B13" s="25" t="n">
        <v>0.3</v>
      </c>
      <c r="C13" s="23" t="inlineStr">
        <is>
          <t>pct</t>
        </is>
      </c>
      <c r="D13" s="21" t="inlineStr">
        <is>
          <t>Assumption</t>
        </is>
      </c>
      <c r="E13" s="24" t="inlineStr">
        <is>
          <t>Assumption — validate from historical dispositions.</t>
        </is>
      </c>
    </row>
    <row r="14">
      <c r="A14" s="21" t="inlineStr">
        <is>
          <t>Billable % of customer-caused</t>
        </is>
      </c>
      <c r="B14" s="25" t="n">
        <v>0.62</v>
      </c>
      <c r="C14" s="23" t="inlineStr">
        <is>
          <t>pct</t>
        </is>
      </c>
      <c r="D14" s="21" t="inlineStr">
        <is>
          <t>Assumption</t>
        </is>
      </c>
      <c r="E14" s="24" t="inlineStr">
        <is>
          <t>After inconclusive/shared/courtesy removals.</t>
        </is>
      </c>
    </row>
    <row r="15">
      <c r="A15" s="21" t="inlineStr">
        <is>
          <t>Average billable visit duration (hr)</t>
        </is>
      </c>
      <c r="B15" s="22" t="n">
        <v>0.75</v>
      </c>
      <c r="C15" s="23" t="inlineStr">
        <is>
          <t>hours</t>
        </is>
      </c>
      <c r="D15" s="21" t="inlineStr">
        <is>
          <t>Assumption</t>
        </is>
      </c>
      <c r="E15" s="24" t="inlineStr">
        <is>
          <t>45 minutes on site.</t>
        </is>
      </c>
    </row>
    <row r="16">
      <c r="A16" s="21" t="inlineStr">
        <is>
          <t>Loaded technician hourly cost</t>
        </is>
      </c>
      <c r="B16" s="26" t="n">
        <v>68</v>
      </c>
      <c r="C16" s="23" t="inlineStr">
        <is>
          <t>usd</t>
        </is>
      </c>
      <c r="D16" s="21" t="inlineStr">
        <is>
          <t>Assumption</t>
        </is>
      </c>
      <c r="E16" s="24" t="inlineStr">
        <is>
          <t>Wages + benefits + burden.</t>
        </is>
      </c>
    </row>
    <row r="17">
      <c r="A17" s="21" t="inlineStr">
        <is>
          <t>Avg travel time per dispatch (hr)</t>
        </is>
      </c>
      <c r="B17" s="22" t="n">
        <v>0.5</v>
      </c>
      <c r="C17" s="23" t="inlineStr">
        <is>
          <t>hours</t>
        </is>
      </c>
      <c r="D17" s="21" t="inlineStr">
        <is>
          <t>Assumption</t>
        </is>
      </c>
      <c r="E17" s="24" t="inlineStr">
        <is>
          <t>Windshield time per truck roll.</t>
        </is>
      </c>
    </row>
    <row r="18">
      <c r="A18" s="21" t="inlineStr">
        <is>
          <t>Vehicle cost per visit</t>
        </is>
      </c>
      <c r="B18" s="26" t="n">
        <v>22</v>
      </c>
      <c r="C18" s="23" t="inlineStr">
        <is>
          <t>usd</t>
        </is>
      </c>
      <c r="D18" s="21" t="inlineStr">
        <is>
          <t>Assumption</t>
        </is>
      </c>
      <c r="E18" s="24" t="inlineStr">
        <is>
          <t>Depreciation + maintenance allocation.</t>
        </is>
      </c>
    </row>
    <row r="19">
      <c r="A19" s="21" t="inlineStr">
        <is>
          <t>Fuel per visit</t>
        </is>
      </c>
      <c r="B19" s="26" t="n">
        <v>9</v>
      </c>
      <c r="C19" s="23" t="inlineStr">
        <is>
          <t>usd</t>
        </is>
      </c>
      <c r="D19" s="21" t="inlineStr">
        <is>
          <t>Assumption</t>
        </is>
      </c>
      <c r="E19" s="24" t="inlineStr">
        <is>
          <t>Assumption.</t>
        </is>
      </c>
    </row>
    <row r="20">
      <c r="A20" s="21" t="inlineStr">
        <is>
          <t>Materials per visit</t>
        </is>
      </c>
      <c r="B20" s="26" t="n">
        <v>6</v>
      </c>
      <c r="C20" s="23" t="inlineStr">
        <is>
          <t>usd</t>
        </is>
      </c>
      <c r="D20" s="21" t="inlineStr">
        <is>
          <t>Assumption</t>
        </is>
      </c>
      <c r="E20" s="24" t="inlineStr">
        <is>
          <t>Average consumables.</t>
        </is>
      </c>
    </row>
    <row r="21">
      <c r="A21" s="21" t="inlineStr">
        <is>
          <t>Billing &amp; admin cost per fee</t>
        </is>
      </c>
      <c r="B21" s="26" t="n">
        <v>8</v>
      </c>
      <c r="C21" s="23" t="inlineStr">
        <is>
          <t>usd</t>
        </is>
      </c>
      <c r="D21" s="21" t="inlineStr">
        <is>
          <t>Assumption</t>
        </is>
      </c>
      <c r="E21" s="24" t="inlineStr">
        <is>
          <t>Invoice, posting, support handling.</t>
        </is>
      </c>
    </row>
    <row r="22">
      <c r="A22" s="21" t="inlineStr">
        <is>
          <t>Residential fee</t>
        </is>
      </c>
      <c r="B22" s="27" t="n">
        <v>75</v>
      </c>
      <c r="C22" s="23" t="inlineStr">
        <is>
          <t>usd</t>
        </is>
      </c>
      <c r="D22" s="21" t="inlineStr">
        <is>
          <t>Recommended</t>
        </is>
      </c>
      <c r="E22" s="24" t="inlineStr">
        <is>
          <t>Recommended (Balanced).</t>
        </is>
      </c>
    </row>
    <row r="23">
      <c r="A23" s="21" t="inlineStr">
        <is>
          <t>Business fee</t>
        </is>
      </c>
      <c r="B23" s="27" t="n">
        <v>125</v>
      </c>
      <c r="C23" s="23" t="inlineStr">
        <is>
          <t>usd</t>
        </is>
      </c>
      <c r="D23" s="21" t="inlineStr">
        <is>
          <t>Recommended</t>
        </is>
      </c>
      <c r="E23" s="24" t="inlineStr">
        <is>
          <t>Recommended (Balanced).</t>
        </is>
      </c>
    </row>
    <row r="24">
      <c r="A24" s="21" t="inlineStr">
        <is>
          <t>Collection rate</t>
        </is>
      </c>
      <c r="B24" s="25" t="n">
        <v>0.85</v>
      </c>
      <c r="C24" s="23" t="inlineStr">
        <is>
          <t>pct</t>
        </is>
      </c>
      <c r="D24" s="21" t="inlineStr">
        <is>
          <t>Assumption</t>
        </is>
      </c>
      <c r="E24" s="24" t="inlineStr">
        <is>
          <t>Share of net-of-waiver fees collected.</t>
        </is>
      </c>
    </row>
    <row r="25">
      <c r="A25" s="21" t="inlineStr">
        <is>
          <t>Waiver rate</t>
        </is>
      </c>
      <c r="B25" s="25" t="n">
        <v>0.15</v>
      </c>
      <c r="C25" s="23" t="inlineStr">
        <is>
          <t>pct</t>
        </is>
      </c>
      <c r="D25" s="21" t="inlineStr">
        <is>
          <t>Assumption</t>
        </is>
      </c>
      <c r="E25" s="24" t="inlineStr">
        <is>
          <t>Courtesy + hardship + dispute waivers.</t>
        </is>
      </c>
    </row>
    <row r="26">
      <c r="A26" s="21" t="inlineStr">
        <is>
          <t>Bad-debt rate</t>
        </is>
      </c>
      <c r="B26" s="25" t="n">
        <v>0.06</v>
      </c>
      <c r="C26" s="23" t="inlineStr">
        <is>
          <t>pct</t>
        </is>
      </c>
      <c r="D26" s="21" t="inlineStr">
        <is>
          <t>Assumption</t>
        </is>
      </c>
      <c r="E26" s="24" t="inlineStr">
        <is>
          <t>Uncollectible assessed fees.</t>
        </is>
      </c>
    </row>
    <row r="27">
      <c r="A27" s="21" t="inlineStr">
        <is>
          <t>Ancillary fees gross (missed/reloc/wire/AH)</t>
        </is>
      </c>
      <c r="B27" s="26" t="n">
        <v>19000</v>
      </c>
      <c r="C27" s="23" t="inlineStr">
        <is>
          <t>usd</t>
        </is>
      </c>
      <c r="D27" s="21" t="inlineStr">
        <is>
          <t>Assumption</t>
        </is>
      </c>
      <c r="E27" s="24" t="inlineStr">
        <is>
          <t>Annual gross from secondary fees.</t>
        </is>
      </c>
    </row>
    <row r="28">
      <c r="A28" s="21" t="inlineStr">
        <is>
          <t>Protection-plan price (monthly)</t>
        </is>
      </c>
      <c r="B28" s="27" t="n">
        <v>9.99</v>
      </c>
      <c r="C28" s="23" t="inlineStr">
        <is>
          <t>usd</t>
        </is>
      </c>
      <c r="D28" s="21" t="inlineStr">
        <is>
          <t>Recommended</t>
        </is>
      </c>
      <c r="E28" s="24" t="inlineStr">
        <is>
          <t>Recommended price point.</t>
        </is>
      </c>
    </row>
    <row r="29">
      <c r="A29" s="21" t="inlineStr">
        <is>
          <t>Protection-plan enrollment (of res)</t>
        </is>
      </c>
      <c r="B29" s="25" t="n">
        <v>0.1</v>
      </c>
      <c r="C29" s="23" t="inlineStr">
        <is>
          <t>pct</t>
        </is>
      </c>
      <c r="D29" s="21" t="inlineStr">
        <is>
          <t>Assumption</t>
        </is>
      </c>
      <c r="E29" s="24" t="inlineStr">
        <is>
          <t>Assumption — conservative mature-state target (upside 12-18%).</t>
        </is>
      </c>
    </row>
    <row r="30">
      <c r="A30" s="21" t="inlineStr">
        <is>
          <t>Protection-plan annual usage rate</t>
        </is>
      </c>
      <c r="B30" s="25" t="n">
        <v>0.3</v>
      </c>
      <c r="C30" s="23" t="inlineStr">
        <is>
          <t>pct</t>
        </is>
      </c>
      <c r="D30" s="21" t="inlineStr">
        <is>
          <t>Assumption</t>
        </is>
      </c>
      <c r="E30" s="24" t="inlineStr">
        <is>
          <t>Share of members using a covered visit/yr.</t>
        </is>
      </c>
    </row>
    <row r="31">
      <c r="A31" s="21" t="inlineStr">
        <is>
          <t>Cost per covered protection visit</t>
        </is>
      </c>
      <c r="B31" s="26" t="n">
        <v>95</v>
      </c>
      <c r="C31" s="23" t="inlineStr">
        <is>
          <t>usd</t>
        </is>
      </c>
      <c r="D31" s="21" t="inlineStr">
        <is>
          <t>Assumption</t>
        </is>
      </c>
      <c r="E31" s="24" t="inlineStr">
        <is>
          <t>Loaded cost of a covered service event.</t>
        </is>
      </c>
    </row>
    <row r="32">
      <c r="A32" s="21" t="inlineStr">
        <is>
          <t>Protection-plan admin (% of rev)</t>
        </is>
      </c>
      <c r="B32" s="25" t="n">
        <v>0.06</v>
      </c>
      <c r="C32" s="23" t="inlineStr">
        <is>
          <t>pct</t>
        </is>
      </c>
      <c r="D32" s="21" t="inlineStr">
        <is>
          <t>Assumption</t>
        </is>
      </c>
      <c r="E32" s="24" t="inlineStr">
        <is>
          <t>Billing, servicing, marketing.</t>
        </is>
      </c>
    </row>
    <row r="33">
      <c r="A33" s="21" t="inlineStr">
        <is>
          <t>Policy-related churn impact</t>
        </is>
      </c>
      <c r="B33" s="25" t="n">
        <v>0.003</v>
      </c>
      <c r="C33" s="23" t="inlineStr">
        <is>
          <t>pct</t>
        </is>
      </c>
      <c r="D33" s="21" t="inlineStr">
        <is>
          <t>Assumption</t>
        </is>
      </c>
      <c r="E33" s="24" t="inlineStr">
        <is>
          <t>Incremental annual churn from policy.</t>
        </is>
      </c>
    </row>
    <row r="34">
      <c r="A34" s="21" t="inlineStr">
        <is>
          <t>Average annual revenue per customer</t>
        </is>
      </c>
      <c r="B34" s="26" t="n">
        <v>780</v>
      </c>
      <c r="C34" s="23" t="inlineStr">
        <is>
          <t>usd</t>
        </is>
      </c>
      <c r="D34" s="21" t="inlineStr">
        <is>
          <t>Assumption</t>
        </is>
      </c>
      <c r="E34" s="24" t="inlineStr">
        <is>
          <t>Blended ARPU (for churn cost).</t>
        </is>
      </c>
    </row>
    <row r="35">
      <c r="A35" s="21" t="inlineStr">
        <is>
          <t>Remote-resolution improvement (pts)</t>
        </is>
      </c>
      <c r="B35" s="25" t="n">
        <v>0.05</v>
      </c>
      <c r="C35" s="23" t="inlineStr">
        <is>
          <t>pct</t>
        </is>
      </c>
      <c r="D35" s="21" t="inlineStr">
        <is>
          <t>Assumption</t>
        </is>
      </c>
      <c r="E35" s="24" t="inlineStr">
        <is>
          <t>Expected lift from triage discipline.</t>
        </is>
      </c>
    </row>
    <row r="36">
      <c r="A36" s="21" t="inlineStr">
        <is>
          <t>Implementation cost (one-time)</t>
        </is>
      </c>
      <c r="B36" s="26" t="n">
        <v>42000</v>
      </c>
      <c r="C36" s="23" t="inlineStr">
        <is>
          <t>usd</t>
        </is>
      </c>
      <c r="D36" s="21" t="inlineStr">
        <is>
          <t>Assumption</t>
        </is>
      </c>
      <c r="E36" s="24" t="inlineStr">
        <is>
          <t>Project, PM, comms, legal review.</t>
        </is>
      </c>
    </row>
    <row r="37">
      <c r="A37" s="21" t="inlineStr">
        <is>
          <t>Training cost (one-time)</t>
        </is>
      </c>
      <c r="B37" s="26" t="n">
        <v>23000</v>
      </c>
      <c r="C37" s="23" t="inlineStr">
        <is>
          <t>usd</t>
        </is>
      </c>
      <c r="D37" s="21" t="inlineStr">
        <is>
          <t>Assumption</t>
        </is>
      </c>
      <c r="E37" s="24" t="inlineStr">
        <is>
          <t>Development + delivery + labor.</t>
        </is>
      </c>
    </row>
    <row r="38">
      <c r="A38" s="21" t="inlineStr">
        <is>
          <t>Billing-system configuration (one-time)</t>
        </is>
      </c>
      <c r="B38" s="26" t="n">
        <v>30000</v>
      </c>
      <c r="C38" s="23" t="inlineStr">
        <is>
          <t>usd</t>
        </is>
      </c>
      <c r="D38" s="21" t="inlineStr">
        <is>
          <t>Assumption</t>
        </is>
      </c>
      <c r="E38" s="24" t="inlineStr">
        <is>
          <t>Codes, disclosures, portal.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 ht="30" customHeight="1">
      <c r="A1" s="1" t="inlineStr">
        <is>
          <t>RIVR Tech — Current State (No Program)</t>
        </is>
      </c>
    </row>
    <row r="2">
      <c r="A2" s="2" t="inlineStr">
        <is>
          <t>Today's cost of the free-visit model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4">
      <c r="A4" s="19" t="inlineStr">
        <is>
          <t>Annual trouble tickets</t>
        </is>
      </c>
      <c r="B4" s="28">
        <f>Inputs!$B$10*12</f>
        <v/>
      </c>
    </row>
    <row r="5">
      <c r="A5" s="19" t="inlineStr">
        <is>
          <t>Annual dispatches</t>
        </is>
      </c>
      <c r="B5" s="28">
        <f>'Current State'!B4*Inputs!$B$12</f>
        <v/>
      </c>
    </row>
    <row r="6">
      <c r="A6" s="19" t="inlineStr">
        <is>
          <t>Remote-resolved tickets</t>
        </is>
      </c>
      <c r="B6" s="28">
        <f>'Current State'!B4*Inputs!$B$11</f>
        <v/>
      </c>
    </row>
    <row r="7">
      <c r="A7" s="19" t="inlineStr">
        <is>
          <t>Customer-caused dispatches</t>
        </is>
      </c>
      <c r="B7" s="28">
        <f>'Current State'!B5*Inputs!$B$13</f>
        <v/>
      </c>
    </row>
    <row r="8">
      <c r="A8" s="19" t="inlineStr">
        <is>
          <t>Labor per dispatch</t>
        </is>
      </c>
      <c r="B8" s="29">
        <f>(Inputs!$B$15+Inputs!$B$17)*Inputs!$B$16</f>
        <v/>
      </c>
    </row>
    <row r="9">
      <c r="A9" s="19" t="inlineStr">
        <is>
          <t>Cost per dispatch (loaded)</t>
        </is>
      </c>
      <c r="B9" s="29">
        <f>'Current State'!B8+Inputs!$B$18+Inputs!$B$19+Inputs!$B$20+Inputs!$B$21</f>
        <v/>
      </c>
    </row>
    <row r="10">
      <c r="A10" s="19" t="inlineStr">
        <is>
          <t>Annual dispatch expense</t>
        </is>
      </c>
      <c r="B10" s="30">
        <f>'Current State'!B5*'Current State'!B9</f>
        <v/>
      </c>
    </row>
    <row r="11">
      <c r="A11" s="19" t="inlineStr">
        <is>
          <t>Annual customer-caused dispatch cost</t>
        </is>
      </c>
      <c r="B11" s="30">
        <f>'Current State'!B7*'Current State'!B9</f>
        <v/>
      </c>
    </row>
    <row r="13">
      <c r="A13" s="3" t="inlineStr">
        <is>
          <t>The customer-caused dispatch cost is what the program aims to partly recover.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30" customHeight="1">
      <c r="A1" s="1" t="inlineStr">
        <is>
          <t>RIVR Tech — Fee Scenarios</t>
        </is>
      </c>
    </row>
    <row r="2">
      <c r="A2" s="2" t="inlineStr">
        <is>
          <t>Gross and net trouble-visit fee revenue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4">
      <c r="A4" s="21" t="inlineStr">
        <is>
          <t>Billable visits (customer-caused x billable %)</t>
        </is>
      </c>
      <c r="B4" s="31">
        <f>'Current State'!$B$7*Inputs!$B$14</f>
        <v/>
      </c>
    </row>
    <row r="5">
      <c r="A5" s="21" t="inlineStr">
        <is>
          <t>Residential billable visits</t>
        </is>
      </c>
      <c r="B5" s="31">
        <f>'Fee Scenarios'!B4*(Inputs!$B$8/Inputs!$B$7)</f>
        <v/>
      </c>
    </row>
    <row r="6">
      <c r="A6" s="21" t="inlineStr">
        <is>
          <t>Business billable visits</t>
        </is>
      </c>
      <c r="B6" s="31">
        <f>'Fee Scenarios'!B4*(Inputs!$B$9/Inputs!$B$7)</f>
        <v/>
      </c>
    </row>
    <row r="7">
      <c r="A7" s="21" t="inlineStr">
        <is>
          <t>Gross fee revenue (visits)</t>
        </is>
      </c>
      <c r="B7" s="32">
        <f>'Fee Scenarios'!B5*Inputs!$B$22+'Fee Scenarios'!B6*Inputs!$B$23</f>
        <v/>
      </c>
    </row>
    <row r="8">
      <c r="A8" s="21" t="inlineStr">
        <is>
          <t>Ancillary fees (gross)</t>
        </is>
      </c>
      <c r="B8" s="32">
        <f>Inputs!$B$27</f>
        <v/>
      </c>
    </row>
    <row r="9">
      <c r="A9" s="21" t="inlineStr">
        <is>
          <t>Total gross fee revenue</t>
        </is>
      </c>
      <c r="B9" s="32">
        <f>'Fee Scenarios'!B7+'Fee Scenarios'!B8</f>
        <v/>
      </c>
    </row>
    <row r="10">
      <c r="A10" s="21" t="inlineStr">
        <is>
          <t>Less waivers</t>
        </is>
      </c>
      <c r="B10" s="32">
        <f>-'Fee Scenarios'!B9*Inputs!$B$25</f>
        <v/>
      </c>
    </row>
    <row r="11">
      <c r="A11" s="21" t="inlineStr">
        <is>
          <t>Less bad debt</t>
        </is>
      </c>
      <c r="B11" s="32">
        <f>-('Fee Scenarios'!B9+'Fee Scenarios'!B10)*Inputs!$B$26</f>
        <v/>
      </c>
    </row>
    <row r="12">
      <c r="A12" s="21" t="inlineStr">
        <is>
          <t>Net billable (after waivers &amp; bad debt)</t>
        </is>
      </c>
      <c r="B12" s="32">
        <f>'Fee Scenarios'!B9+'Fee Scenarios'!B10+'Fee Scenarios'!B11</f>
        <v/>
      </c>
    </row>
    <row r="13">
      <c r="A13" s="19" t="inlineStr">
        <is>
          <t>Net fee revenue (x collection rate)</t>
        </is>
      </c>
      <c r="B13" s="33">
        <f>'Fee Scenarios'!B12*Inputs!$B$24</f>
        <v/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RIVR Tech — Protection Plan</t>
        </is>
      </c>
    </row>
    <row r="2">
      <c r="A2" s="2" t="inlineStr">
        <is>
          <t>Optional maintenance-protection economics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4">
      <c r="A4" s="21" t="inlineStr">
        <is>
          <t>Enrolled members (of residential)</t>
        </is>
      </c>
      <c r="B4" s="31">
        <f>Inputs!$B$8*Inputs!$B$29</f>
        <v/>
      </c>
    </row>
    <row r="5">
      <c r="A5" s="21" t="inlineStr">
        <is>
          <t>Annual plan revenue</t>
        </is>
      </c>
      <c r="B5" s="32">
        <f>'Protection Plan'!B4*Inputs!$B$28*12</f>
        <v/>
      </c>
    </row>
    <row r="6">
      <c r="A6" s="21" t="inlineStr">
        <is>
          <t>Covered service events/year</t>
        </is>
      </c>
      <c r="B6" s="31">
        <f>'Protection Plan'!B4*Inputs!$B$30</f>
        <v/>
      </c>
    </row>
    <row r="7">
      <c r="A7" s="21" t="inlineStr">
        <is>
          <t>Plan service cost</t>
        </is>
      </c>
      <c r="B7" s="32">
        <f>'Protection Plan'!B6*Inputs!$B$31</f>
        <v/>
      </c>
    </row>
    <row r="8">
      <c r="A8" s="21" t="inlineStr">
        <is>
          <t>Plan admin cost</t>
        </is>
      </c>
      <c r="B8" s="32">
        <f>'Protection Plan'!B5*Inputs!$B$32</f>
        <v/>
      </c>
    </row>
    <row r="9">
      <c r="A9" s="19" t="inlineStr">
        <is>
          <t>Contribution margin</t>
        </is>
      </c>
      <c r="B9" s="33">
        <f>'Protection Plan'!B5-'Protection Plan'!B7-'Protection Plan'!B8</f>
        <v/>
      </c>
    </row>
    <row r="10">
      <c r="A10" s="19" t="inlineStr">
        <is>
          <t>Margin per member (annual)</t>
        </is>
      </c>
      <c r="B10" s="34">
        <f>IF('Protection Plan'!B4=0,0,'Protection Plan'!B9/'Protection Plan'!B4)</f>
        <v/>
      </c>
    </row>
    <row r="11">
      <c r="A11" s="19" t="inlineStr">
        <is>
          <t>Break-even monthly price</t>
        </is>
      </c>
      <c r="B11" s="34">
        <f>(Inputs!$B$30*Inputs!$B$31)/(12*(1-Inputs!$B$32))</f>
        <v/>
      </c>
    </row>
    <row r="12">
      <c r="A12" s="19" t="inlineStr">
        <is>
          <t>Break-even enrollment (members to cover admin at $0 usage)</t>
        </is>
      </c>
      <c r="B12" s="31">
        <f>0</f>
        <v/>
      </c>
    </row>
    <row r="14">
      <c r="A14" s="17" t="inlineStr">
        <is>
          <t>Price-Point Comparison</t>
        </is>
      </c>
    </row>
    <row r="15">
      <c r="A15" s="18" t="inlineStr">
        <is>
          <t>Monthly Price</t>
        </is>
      </c>
      <c r="B15" s="18" t="inlineStr">
        <is>
          <t>Annual Revenue</t>
        </is>
      </c>
      <c r="C15" s="18" t="inlineStr">
        <is>
          <t>Contribution Margin</t>
        </is>
      </c>
      <c r="D15" s="18" t="inlineStr">
        <is>
          <t>Margin/Member</t>
        </is>
      </c>
    </row>
    <row r="16">
      <c r="A16" s="35" t="inlineStr">
        <is>
          <t>$7.99</t>
        </is>
      </c>
      <c r="B16" s="36" t="n">
        <v>162037.2</v>
      </c>
      <c r="C16" s="36" t="n">
        <v>104149.968</v>
      </c>
      <c r="D16" s="37" t="n">
        <v>61.6272</v>
      </c>
    </row>
    <row r="17">
      <c r="A17" s="7" t="inlineStr">
        <is>
          <t>$9.99</t>
        </is>
      </c>
      <c r="B17" s="38" t="n">
        <v>202597.2</v>
      </c>
      <c r="C17" s="38" t="n">
        <v>142276.368</v>
      </c>
      <c r="D17" s="39" t="n">
        <v>84.18719999999999</v>
      </c>
    </row>
    <row r="18">
      <c r="A18" s="35" t="inlineStr">
        <is>
          <t>$12.99</t>
        </is>
      </c>
      <c r="B18" s="36" t="n">
        <v>263437.2</v>
      </c>
      <c r="C18" s="36" t="n">
        <v>199465.968</v>
      </c>
      <c r="D18" s="37" t="n">
        <v>118.0272</v>
      </c>
    </row>
    <row r="20">
      <c r="A20" s="3" t="inlineStr">
        <is>
          <t>NOTE: Price-comparison values are static snapshots; the live cells above respond to Inputs.</t>
        </is>
      </c>
    </row>
    <row r="21">
      <c r="A21" s="40" t="inlineStr">
        <is>
          <t>REVIEW: Confirm plan is a service plan, NOT insurance (legal/insurance review).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RIVR Tech — Three-Year Forecast</t>
        </is>
      </c>
    </row>
    <row r="2">
      <c r="A2" s="2" t="inlineStr">
        <is>
          <t>Net financial effect over three years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4">
      <c r="A4" s="21" t="inlineStr">
        <is>
          <t>Avoided dispatches (deflection)</t>
        </is>
      </c>
      <c r="B4" s="41">
        <f>'Current State'!$B$4*Inputs!$B$35</f>
        <v/>
      </c>
    </row>
    <row r="5">
      <c r="A5" s="21" t="inlineStr">
        <is>
          <t>Deflection savings</t>
        </is>
      </c>
      <c r="B5" s="42">
        <f>'Three-Year Forecast'!B4*'Current State'!$B$9</f>
        <v/>
      </c>
    </row>
    <row r="6">
      <c r="A6" s="21" t="inlineStr">
        <is>
          <t>Churn cost</t>
        </is>
      </c>
      <c r="B6" s="42">
        <f>Inputs!$B$7*Inputs!$B$33*Inputs!$B$34</f>
        <v/>
      </c>
    </row>
    <row r="7">
      <c r="A7" s="19" t="inlineStr">
        <is>
          <t>Annual recurring net (fees+plan+deflection-churn)</t>
        </is>
      </c>
      <c r="B7" s="42">
        <f>'Fee Scenarios'!$B$13+'Protection Plan'!$B$9+'Three-Year Forecast'!B5-'Three-Year Forecast'!B6</f>
        <v/>
      </c>
    </row>
    <row r="8">
      <c r="A8" s="21" t="inlineStr">
        <is>
          <t>One-time cost</t>
        </is>
      </c>
      <c r="B8" s="42">
        <f>Inputs!$B$36+Inputs!$B$37+Inputs!$B$38</f>
        <v/>
      </c>
    </row>
    <row r="10">
      <c r="A10" s="18" t="inlineStr"/>
      <c r="B10" s="18" t="inlineStr">
        <is>
          <t>Year 1</t>
        </is>
      </c>
      <c r="C10" s="18" t="inlineStr">
        <is>
          <t>Year 2</t>
        </is>
      </c>
      <c r="D10" s="18" t="inlineStr">
        <is>
          <t>Year 3</t>
        </is>
      </c>
      <c r="E10" s="18" t="inlineStr">
        <is>
          <t>3-Year Total</t>
        </is>
      </c>
    </row>
    <row r="11">
      <c r="A11" s="21" t="inlineStr">
        <is>
          <t>Recurring net</t>
        </is>
      </c>
      <c r="B11" s="20">
        <f>'Three-Year Forecast'!B7</f>
        <v/>
      </c>
      <c r="C11" s="20">
        <f>'Three-Year Forecast'!B7*1.05</f>
        <v/>
      </c>
      <c r="D11" s="20">
        <f>'Three-Year Forecast'!B7*1.10</f>
        <v/>
      </c>
      <c r="E11" s="43" t="n"/>
    </row>
    <row r="12">
      <c r="A12" s="21" t="inlineStr">
        <is>
          <t>Less one-time (Year 1)</t>
        </is>
      </c>
      <c r="B12" s="20">
        <f>-'Three-Year Forecast'!B8</f>
        <v/>
      </c>
      <c r="C12" s="20" t="n">
        <v>0</v>
      </c>
      <c r="D12" s="20" t="n">
        <v>0</v>
      </c>
      <c r="E12" s="43" t="n"/>
    </row>
    <row r="13">
      <c r="A13" s="19" t="inlineStr">
        <is>
          <t>Net effect</t>
        </is>
      </c>
      <c r="B13" s="44">
        <f>SUM(B11:B12)</f>
        <v/>
      </c>
      <c r="C13" s="44">
        <f>SUM(C11:C12)</f>
        <v/>
      </c>
      <c r="D13" s="44">
        <f>SUM(D11:D12)</f>
        <v/>
      </c>
      <c r="E13" s="44">
        <f>SUM(B13:D13)</f>
        <v/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RIVR Tech — Sensitivity Analysis</t>
        </is>
      </c>
    </row>
    <row r="2">
      <c r="A2" s="2" t="inlineStr">
        <is>
          <t>How key drivers move net fee revenue &amp; plan margin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5">
      <c r="A5" s="17" t="inlineStr">
        <is>
          <t>1) Customer-caused % of dispatches -&gt; Net fee revenue</t>
        </is>
      </c>
    </row>
    <row r="6">
      <c r="A6" s="19" t="inlineStr">
        <is>
          <t>Cust-caused %</t>
        </is>
      </c>
      <c r="B6" s="45" t="n">
        <v>0.1</v>
      </c>
      <c r="C6" s="45" t="n">
        <v>0.15</v>
      </c>
      <c r="D6" s="45" t="n">
        <v>0.2</v>
      </c>
      <c r="E6" s="45" t="n">
        <v>0.25</v>
      </c>
      <c r="F6" s="45" t="n">
        <v>0.3</v>
      </c>
      <c r="G6" s="45" t="n">
        <v>0.35</v>
      </c>
      <c r="H6" s="45" t="n">
        <v>0.4</v>
      </c>
    </row>
    <row r="7">
      <c r="A7" s="21" t="inlineStr">
        <is>
          <t>Result</t>
        </is>
      </c>
      <c r="B7" s="46" t="n">
        <v>41081.21301399999</v>
      </c>
      <c r="C7" s="46" t="n">
        <v>55169.89452099999</v>
      </c>
      <c r="D7" s="46" t="n">
        <v>69258.576028</v>
      </c>
      <c r="E7" s="46" t="n">
        <v>83347.25753499998</v>
      </c>
      <c r="F7" s="46" t="n">
        <v>97435.93904199998</v>
      </c>
      <c r="G7" s="46" t="n">
        <v>111524.620549</v>
      </c>
      <c r="H7" s="46" t="n">
        <v>125613.302056</v>
      </c>
    </row>
    <row r="10">
      <c r="A10" s="17" t="inlineStr">
        <is>
          <t>2) Residential visit fee ($50-$100) -&gt; Net fee revenue</t>
        </is>
      </c>
    </row>
    <row r="11">
      <c r="A11" s="19" t="inlineStr">
        <is>
          <t>Res fee $</t>
        </is>
      </c>
      <c r="B11" s="47" t="n">
        <v>50</v>
      </c>
      <c r="C11" s="47" t="n">
        <v>60</v>
      </c>
      <c r="D11" s="47" t="n">
        <v>70</v>
      </c>
      <c r="E11" s="47" t="n">
        <v>75</v>
      </c>
      <c r="F11" s="47" t="n">
        <v>80</v>
      </c>
      <c r="G11" s="47" t="n">
        <v>90</v>
      </c>
      <c r="H11" s="47" t="n">
        <v>100</v>
      </c>
    </row>
    <row r="12">
      <c r="A12" s="21" t="inlineStr">
        <is>
          <t>Result</t>
        </is>
      </c>
      <c r="B12" s="46" t="n">
        <v>70794.65033199998</v>
      </c>
      <c r="C12" s="46" t="n">
        <v>81451.16581599998</v>
      </c>
      <c r="D12" s="46" t="n">
        <v>92107.68129999997</v>
      </c>
      <c r="E12" s="46" t="n">
        <v>97435.93904199998</v>
      </c>
      <c r="F12" s="46" t="n">
        <v>102764.196784</v>
      </c>
      <c r="G12" s="46" t="n">
        <v>113420.712268</v>
      </c>
      <c r="H12" s="46" t="n">
        <v>124077.227752</v>
      </c>
    </row>
    <row r="15">
      <c r="A15" s="17" t="inlineStr">
        <is>
          <t>3) Protection-plan enrollment (5%-30%) -&gt; Plan contribution margin</t>
        </is>
      </c>
    </row>
    <row r="16">
      <c r="A16" s="19" t="inlineStr">
        <is>
          <t>Enrollment %</t>
        </is>
      </c>
      <c r="B16" s="45" t="n">
        <v>0.05</v>
      </c>
      <c r="C16" s="45" t="n">
        <v>0.1</v>
      </c>
      <c r="D16" s="45" t="n">
        <v>0.15</v>
      </c>
      <c r="E16" s="45" t="n">
        <v>0.2</v>
      </c>
      <c r="F16" s="45" t="n">
        <v>0.25</v>
      </c>
      <c r="G16" s="45" t="n">
        <v>0.3</v>
      </c>
    </row>
    <row r="17">
      <c r="A17" s="21" t="inlineStr">
        <is>
          <t>Result</t>
        </is>
      </c>
      <c r="B17" s="46" t="n">
        <v>71138.18399999999</v>
      </c>
      <c r="C17" s="46" t="n">
        <v>142276.368</v>
      </c>
      <c r="D17" s="46" t="n">
        <v>213414.5520000001</v>
      </c>
      <c r="E17" s="46" t="n">
        <v>284552.736</v>
      </c>
      <c r="F17" s="46" t="n">
        <v>355690.92</v>
      </c>
      <c r="G17" s="46" t="n">
        <v>426829.1040000001</v>
      </c>
    </row>
    <row r="20">
      <c r="A20" s="17" t="inlineStr">
        <is>
          <t>4) Remote-resolution improvement (5%-20%) -&gt; Deflection savings</t>
        </is>
      </c>
    </row>
    <row r="21">
      <c r="A21" s="19" t="inlineStr">
        <is>
          <t>Improvement pts</t>
        </is>
      </c>
      <c r="B21" s="45" t="n">
        <v>0.05</v>
      </c>
      <c r="C21" s="45" t="n">
        <v>0.08</v>
      </c>
      <c r="D21" s="45" t="n">
        <v>0.1</v>
      </c>
      <c r="E21" s="45" t="n">
        <v>0.12</v>
      </c>
      <c r="F21" s="45" t="n">
        <v>0.15</v>
      </c>
      <c r="G21" s="45" t="n">
        <v>0.2</v>
      </c>
    </row>
    <row r="22">
      <c r="A22" s="21" t="inlineStr">
        <is>
          <t>Result</t>
        </is>
      </c>
      <c r="B22" s="46" t="n">
        <v>144300</v>
      </c>
      <c r="C22" s="46" t="n">
        <v>230880</v>
      </c>
      <c r="D22" s="46" t="n">
        <v>288600</v>
      </c>
      <c r="E22" s="46" t="n">
        <v>346320</v>
      </c>
      <c r="F22" s="46" t="n">
        <v>432900</v>
      </c>
      <c r="G22" s="46" t="n">
        <v>577200</v>
      </c>
    </row>
    <row r="25">
      <c r="A25" s="3" t="inlineStr">
        <is>
          <t>Sensitivity tables are computed snapshots to illustrate driver impact; the Inputs sheet drives the live model.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</cols>
  <sheetData>
    <row r="1" ht="30" customHeight="1">
      <c r="A1" s="1" t="inlineStr">
        <is>
          <t>RIVR Tech — KPI Definitions</t>
        </is>
      </c>
    </row>
    <row r="2">
      <c r="A2" s="2" t="inlineStr">
        <is>
          <t>How each metric is defined and measured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5">
      <c r="A5" s="18" t="inlineStr">
        <is>
          <t>KPI</t>
        </is>
      </c>
      <c r="B5" s="18" t="inlineStr">
        <is>
          <t>Definition</t>
        </is>
      </c>
      <c r="C5" s="18" t="inlineStr">
        <is>
          <t>Source</t>
        </is>
      </c>
    </row>
    <row r="6">
      <c r="A6" s="48" t="inlineStr">
        <is>
          <t>Remote-resolution %</t>
        </is>
      </c>
      <c r="B6" s="49" t="inlineStr">
        <is>
          <t>Tickets closed without dispatch / total tickets.</t>
        </is>
      </c>
      <c r="C6" s="49" t="inlineStr">
        <is>
          <t>Ticketing</t>
        </is>
      </c>
    </row>
    <row r="7">
      <c r="A7" s="48" t="inlineStr">
        <is>
          <t>Customer-premises issue %</t>
        </is>
      </c>
      <c r="B7" s="49" t="inlineStr">
        <is>
          <t>Dispatches classified as customer-premises / dispatches.</t>
        </is>
      </c>
      <c r="C7" s="49" t="inlineStr">
        <is>
          <t>Field disposition</t>
        </is>
      </c>
    </row>
    <row r="8">
      <c r="A8" s="48" t="inlineStr">
        <is>
          <t>Billable visits</t>
        </is>
      </c>
      <c r="B8" s="49" t="inlineStr">
        <is>
          <t>Customer-premises visits with documented findings &amp; disclosure.</t>
        </is>
      </c>
      <c r="C8" s="49" t="inlineStr">
        <is>
          <t>Billing</t>
        </is>
      </c>
    </row>
    <row r="9">
      <c r="A9" s="48" t="inlineStr">
        <is>
          <t>Fees assessed / collected / waived</t>
        </is>
      </c>
      <c r="B9" s="49" t="inlineStr">
        <is>
          <t>Gross fees, collected fees, and waived fees.</t>
        </is>
      </c>
      <c r="C9" s="49" t="inlineStr">
        <is>
          <t>Billing / AR</t>
        </is>
      </c>
    </row>
    <row r="10">
      <c r="A10" s="48" t="inlineStr">
        <is>
          <t>Waiver %</t>
        </is>
      </c>
      <c r="B10" s="49" t="inlineStr">
        <is>
          <t>Waived fees / assessed fees.</t>
        </is>
      </c>
      <c r="C10" s="49" t="inlineStr">
        <is>
          <t>Billing</t>
        </is>
      </c>
    </row>
    <row r="11">
      <c r="A11" s="48" t="inlineStr">
        <is>
          <t>Dispute rate / approved disputes</t>
        </is>
      </c>
      <c r="B11" s="49" t="inlineStr">
        <is>
          <t>Disputes / billable visits; approved / disputes.</t>
        </is>
      </c>
      <c r="C11" s="49" t="inlineStr">
        <is>
          <t>CX</t>
        </is>
      </c>
    </row>
    <row r="12">
      <c r="A12" s="48" t="inlineStr">
        <is>
          <t>Repeat visits (7/14/30 days)</t>
        </is>
      </c>
      <c r="B12" s="49" t="inlineStr">
        <is>
          <t>Repeat dispatches within window / dispatches.</t>
        </is>
      </c>
      <c r="C12" s="49" t="inlineStr">
        <is>
          <t>Ticketing</t>
        </is>
      </c>
    </row>
    <row r="13">
      <c r="A13" s="48" t="inlineStr">
        <is>
          <t>Cost per dispatch</t>
        </is>
      </c>
      <c r="B13" s="49" t="inlineStr">
        <is>
          <t>Loaded labor + vehicle + fuel + materials + admin.</t>
        </is>
      </c>
      <c r="C13" s="49" t="inlineStr">
        <is>
          <t>Finance</t>
        </is>
      </c>
    </row>
    <row r="14">
      <c r="A14" s="48" t="inlineStr">
        <is>
          <t>Avoided truck rolls</t>
        </is>
      </c>
      <c r="B14" s="49" t="inlineStr">
        <is>
          <t>Deflected dispatches from improved remote resolution.</t>
        </is>
      </c>
      <c r="C14" s="49" t="inlineStr">
        <is>
          <t>Ops</t>
        </is>
      </c>
    </row>
    <row r="15">
      <c r="A15" s="48" t="inlineStr">
        <is>
          <t>Protection enrollment / revenue / cost</t>
        </is>
      </c>
      <c r="B15" s="49" t="inlineStr">
        <is>
          <t>Members, plan revenue, and plan service cost.</t>
        </is>
      </c>
      <c r="C15" s="49" t="inlineStr">
        <is>
          <t>Billing</t>
        </is>
      </c>
    </row>
    <row r="16">
      <c r="A16" s="48" t="inlineStr">
        <is>
          <t>Policy-related churn</t>
        </is>
      </c>
      <c r="B16" s="49" t="inlineStr">
        <is>
          <t>Churn attributable to the policy.</t>
        </is>
      </c>
      <c r="C16" s="49" t="inlineStr">
        <is>
          <t>CX / Finance</t>
        </is>
      </c>
    </row>
    <row r="17">
      <c r="A17" s="48" t="inlineStr">
        <is>
          <t>Technician coding accuracy</t>
        </is>
      </c>
      <c r="B17" s="49" t="inlineStr">
        <is>
          <t>Correctly coded tickets / audited tickets.</t>
        </is>
      </c>
      <c r="C17" s="49" t="inlineStr">
        <is>
          <t>QA</t>
        </is>
      </c>
    </row>
    <row r="18">
      <c r="A18" s="48" t="inlineStr">
        <is>
          <t>Support disclosure compliance</t>
        </is>
      </c>
      <c r="B18" s="49" t="inlineStr">
        <is>
          <t>Tickets with proper advance disclosure / eligible.</t>
        </is>
      </c>
      <c r="C18" s="49" t="inlineStr">
        <is>
          <t>QA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2" customWidth="1" min="3" max="3"/>
  </cols>
  <sheetData>
    <row r="1" ht="30" customHeight="1">
      <c r="A1" s="1" t="inlineStr">
        <is>
          <t>RIVR Tech — Data Needed</t>
        </is>
      </c>
    </row>
    <row r="2">
      <c r="A2" s="2" t="inlineStr">
        <is>
          <t>Ten RIVR Tech data points to replace assumptions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5">
      <c r="A5" s="18" t="inlineStr">
        <is>
          <t>Data Point</t>
        </is>
      </c>
      <c r="B5" s="18" t="inlineStr">
        <is>
          <t>Why It Matters</t>
        </is>
      </c>
      <c r="C5" s="18" t="inlineStr">
        <is>
          <t>Source</t>
        </is>
      </c>
    </row>
    <row r="6">
      <c r="A6" s="48" t="inlineStr">
        <is>
          <t>Total and segment customer counts</t>
        </is>
      </c>
      <c r="B6" s="49" t="inlineStr">
        <is>
          <t>Exact residential vs. business active-service counts.</t>
        </is>
      </c>
      <c r="C6" s="49" t="inlineStr">
        <is>
          <t>Billing system</t>
        </is>
      </c>
    </row>
    <row r="7">
      <c r="A7" s="48" t="inlineStr">
        <is>
          <t>12-month trouble-ticket volume</t>
        </is>
      </c>
      <c r="B7" s="49" t="inlineStr">
        <is>
          <t>Monthly tickets, dispatch rate, and remote-resolution rate.</t>
        </is>
      </c>
      <c r="C7" s="49" t="inlineStr">
        <is>
          <t>Ticketing / support platform</t>
        </is>
      </c>
    </row>
    <row r="8">
      <c r="A8" s="48" t="inlineStr">
        <is>
          <t>Historical dispatch dispositions</t>
        </is>
      </c>
      <c r="B8" s="49" t="inlineStr">
        <is>
          <t>Share of dispatches that were customer-caused vs. network.</t>
        </is>
      </c>
      <c r="C8" s="49" t="inlineStr">
        <is>
          <t>Field/ops records</t>
        </is>
      </c>
    </row>
    <row r="9">
      <c r="A9" s="48" t="inlineStr">
        <is>
          <t>Actual loaded technician cost</t>
        </is>
      </c>
      <c r="B9" s="49" t="inlineStr">
        <is>
          <t>Fully burdened hourly cost per field technician.</t>
        </is>
      </c>
      <c r="C9" s="49" t="inlineStr">
        <is>
          <t>Finance / HR</t>
        </is>
      </c>
    </row>
    <row r="10">
      <c r="A10" s="48" t="inlineStr">
        <is>
          <t>True cost per truck roll</t>
        </is>
      </c>
      <c r="B10" s="49" t="inlineStr">
        <is>
          <t>Vehicle, fuel, materials, and admin per dispatch.</t>
        </is>
      </c>
      <c r="C10" s="49" t="inlineStr">
        <is>
          <t>Finance / Fleet</t>
        </is>
      </c>
    </row>
    <row r="11">
      <c r="A11" s="48" t="inlineStr">
        <is>
          <t>Average and travel time per visit</t>
        </is>
      </c>
      <c r="B11" s="49" t="inlineStr">
        <is>
          <t>On-site plus windshield time per dispatch.</t>
        </is>
      </c>
      <c r="C11" s="49" t="inlineStr">
        <is>
          <t>Field ops</t>
        </is>
      </c>
    </row>
    <row r="12">
      <c r="A12" s="48" t="inlineStr">
        <is>
          <t>Current collection &amp; bad-debt rates</t>
        </is>
      </c>
      <c r="B12" s="49" t="inlineStr">
        <is>
          <t>Collection and write-off experience on customer charges.</t>
        </is>
      </c>
      <c r="C12" s="49" t="inlineStr">
        <is>
          <t>Finance / AR</t>
        </is>
      </c>
    </row>
    <row r="13">
      <c r="A13" s="48" t="inlineStr">
        <is>
          <t>Protection-plan interest / benchmark</t>
        </is>
      </c>
      <c r="B13" s="49" t="inlineStr">
        <is>
          <t>Take-rate benchmark or survey for the optional plan.</t>
        </is>
      </c>
      <c r="C13" s="49" t="inlineStr">
        <is>
          <t>Marketing / CX</t>
        </is>
      </c>
    </row>
    <row r="14">
      <c r="A14" s="48" t="inlineStr">
        <is>
          <t>Blended ARPU and churn baseline</t>
        </is>
      </c>
      <c r="B14" s="49" t="inlineStr">
        <is>
          <t>Revenue per customer and current churn for impact modeling.</t>
        </is>
      </c>
      <c r="C14" s="49" t="inlineStr">
        <is>
          <t>Finance</t>
        </is>
      </c>
    </row>
    <row r="15">
      <c r="A15" s="48" t="inlineStr">
        <is>
          <t>Implementation and billing-config quotes</t>
        </is>
      </c>
      <c r="B15" s="49" t="inlineStr">
        <is>
          <t>Real quotes for billing changes, portal, and training.</t>
        </is>
      </c>
      <c r="C15" s="49" t="inlineStr">
        <is>
          <t>IT / Finance / Vendors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2026-07-20T01:44:01Z</dcterms:created>
  <dcterms:modified xmlns:dcterms="http://purl.org/dc/terms/" xmlns:xsi="http://www.w3.org/2001/XMLSchema-instance" xsi:type="dcterms:W3CDTF">2026-07-20T01:44:01Z</dcterms:modified>
</cp:coreProperties>
</file>