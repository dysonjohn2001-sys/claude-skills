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Waiver 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FFFFFF"/>
      <sz val="10"/>
    </font>
    <font>
      <name val="Calibri"/>
      <i val="1"/>
      <color rgb="006B7A82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0222E"/>
      </patternFill>
    </fill>
    <fill>
      <patternFill patternType="solid">
        <fgColor rgb="001B87B5"/>
      </patternFill>
    </fill>
    <fill>
      <patternFill patternType="solid">
        <fgColor rgb="00FFF3C4"/>
      </patternFill>
    </fill>
    <fill>
      <patternFill patternType="solid">
        <fgColor rgb="00E3F0F6"/>
      </patternFill>
    </fill>
    <fill>
      <patternFill patternType="solid">
        <fgColor rgb="00D7F0E7"/>
      </patternFill>
    </fill>
    <fill>
      <patternFill patternType="solid">
        <fgColor rgb="00F6D9CC"/>
      </patternFill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9D6DC"/>
      </left>
      <right style="thin">
        <color rgb="00C9D6DC"/>
      </right>
      <top style="thin">
        <color rgb="00C9D6DC"/>
      </top>
      <bottom style="thin">
        <color rgb="00C9D6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RIVR Tech — Maintenance Program KPI Dashboard</t>
        </is>
      </c>
    </row>
    <row r="2">
      <c r="A2" s="2" t="inlineStr">
        <is>
          <t>Editable targets with red/yellow/green thresholds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Review / warning</t>
        </is>
      </c>
    </row>
    <row r="6">
      <c r="A6" s="9" t="inlineStr">
        <is>
          <t>KPI</t>
        </is>
      </c>
      <c r="B6" s="9" t="inlineStr">
        <is>
          <t>Target</t>
        </is>
      </c>
      <c r="C6" s="9" t="inlineStr">
        <is>
          <t>Green (&gt;=)</t>
        </is>
      </c>
      <c r="D6" s="9" t="inlineStr">
        <is>
          <t>Yellow</t>
        </is>
      </c>
      <c r="E6" s="9" t="inlineStr">
        <is>
          <t>Red (&lt;=)</t>
        </is>
      </c>
      <c r="F6" s="9" t="inlineStr">
        <is>
          <t>Current (entry)</t>
        </is>
      </c>
      <c r="G6" s="9" t="inlineStr">
        <is>
          <t>Status</t>
        </is>
      </c>
    </row>
    <row r="7">
      <c r="A7" s="10" t="inlineStr">
        <is>
          <t>Total trouble tickets (monthly)</t>
        </is>
      </c>
      <c r="B7" s="11" t="n">
        <v>1850</v>
      </c>
      <c r="C7" s="12" t="n"/>
      <c r="D7" s="12" t="n"/>
      <c r="E7" s="12" t="n"/>
      <c r="F7" s="11" t="n"/>
      <c r="G7" s="13" t="inlineStr">
        <is>
          <t>—</t>
        </is>
      </c>
    </row>
    <row r="8">
      <c r="A8" s="10" t="inlineStr">
        <is>
          <t>Total dispatches (monthly)</t>
        </is>
      </c>
      <c r="B8" s="11" t="n">
        <v>700</v>
      </c>
      <c r="C8" s="12" t="n"/>
      <c r="D8" s="12" t="n"/>
      <c r="E8" s="12" t="n"/>
      <c r="F8" s="11" t="n"/>
      <c r="G8" s="13" t="inlineStr">
        <is>
          <t>—</t>
        </is>
      </c>
    </row>
    <row r="9">
      <c r="A9" s="10" t="inlineStr">
        <is>
          <t>Remote-resolution %</t>
        </is>
      </c>
      <c r="B9" s="14" t="n">
        <v>0.67</v>
      </c>
      <c r="C9" s="15" t="n">
        <v>0.67</v>
      </c>
      <c r="D9" s="15" t="n">
        <v>0.6</v>
      </c>
      <c r="E9" s="15" t="n">
        <v>0.55</v>
      </c>
      <c r="F9" s="14" t="n"/>
      <c r="G9" s="13">
        <f>IF(F9="","—",IF(F9&gt;=C9,"GREEN",IF(F9&lt;=E9,"RED","YELLOW")))</f>
        <v/>
      </c>
    </row>
    <row r="10">
      <c r="A10" s="10" t="inlineStr">
        <is>
          <t>Customer-premises issue %</t>
        </is>
      </c>
      <c r="B10" s="14" t="n">
        <v>0.3</v>
      </c>
      <c r="C10" s="15" t="n"/>
      <c r="D10" s="15" t="n"/>
      <c r="E10" s="15" t="n"/>
      <c r="F10" s="14" t="n"/>
      <c r="G10" s="13" t="inlineStr">
        <is>
          <t>—</t>
        </is>
      </c>
    </row>
    <row r="11">
      <c r="A11" s="10" t="inlineStr">
        <is>
          <t>Billable visits (monthly)</t>
        </is>
      </c>
      <c r="B11" s="11" t="n">
        <v>130</v>
      </c>
      <c r="C11" s="12" t="n"/>
      <c r="D11" s="12" t="n"/>
      <c r="E11" s="12" t="n"/>
      <c r="F11" s="11" t="n"/>
      <c r="G11" s="13" t="inlineStr">
        <is>
          <t>—</t>
        </is>
      </c>
    </row>
    <row r="12">
      <c r="A12" s="10" t="inlineStr">
        <is>
          <t>Fees assessed (monthly)</t>
        </is>
      </c>
      <c r="B12" s="16" t="n">
        <v>10000</v>
      </c>
      <c r="C12" s="17" t="n"/>
      <c r="D12" s="17" t="n"/>
      <c r="E12" s="17" t="n"/>
      <c r="F12" s="16" t="n"/>
      <c r="G12" s="13" t="inlineStr">
        <is>
          <t>—</t>
        </is>
      </c>
    </row>
    <row r="13">
      <c r="A13" s="10" t="inlineStr">
        <is>
          <t>Fees collected (monthly)</t>
        </is>
      </c>
      <c r="B13" s="16" t="n">
        <v>8000</v>
      </c>
      <c r="C13" s="17" t="n"/>
      <c r="D13" s="17" t="n"/>
      <c r="E13" s="17" t="n"/>
      <c r="F13" s="16" t="n"/>
      <c r="G13" s="13" t="inlineStr">
        <is>
          <t>—</t>
        </is>
      </c>
    </row>
    <row r="14">
      <c r="A14" s="10" t="inlineStr">
        <is>
          <t>Fees waived (monthly)</t>
        </is>
      </c>
      <c r="B14" s="16" t="n">
        <v>1500</v>
      </c>
      <c r="C14" s="17" t="n"/>
      <c r="D14" s="17" t="n"/>
      <c r="E14" s="17" t="n"/>
      <c r="F14" s="16" t="n"/>
      <c r="G14" s="13" t="inlineStr">
        <is>
          <t>—</t>
        </is>
      </c>
    </row>
    <row r="15">
      <c r="A15" s="10" t="inlineStr">
        <is>
          <t>Waiver %</t>
        </is>
      </c>
      <c r="B15" s="14" t="n">
        <v>0.15</v>
      </c>
      <c r="C15" s="15" t="n">
        <v>0.2</v>
      </c>
      <c r="D15" s="15" t="n">
        <v>0.3</v>
      </c>
      <c r="E15" s="15" t="n">
        <v>0.4</v>
      </c>
      <c r="F15" s="14" t="n"/>
      <c r="G15" s="13">
        <f>IF(F15="","—",IF(F15&lt;=C15,"GREEN",IF(F15&gt;=E15,"RED","YELLOW")))</f>
        <v/>
      </c>
    </row>
    <row r="16">
      <c r="A16" s="10" t="inlineStr">
        <is>
          <t>Disputes (monthly)</t>
        </is>
      </c>
      <c r="B16" s="11" t="n">
        <v>12</v>
      </c>
      <c r="C16" s="12" t="n"/>
      <c r="D16" s="12" t="n"/>
      <c r="E16" s="12" t="n"/>
      <c r="F16" s="11" t="n"/>
      <c r="G16" s="13" t="inlineStr">
        <is>
          <t>—</t>
        </is>
      </c>
    </row>
    <row r="17">
      <c r="A17" s="10" t="inlineStr">
        <is>
          <t>Approved disputes %</t>
        </is>
      </c>
      <c r="B17" s="14" t="n">
        <v>0.3</v>
      </c>
      <c r="C17" s="15" t="n"/>
      <c r="D17" s="15" t="n"/>
      <c r="E17" s="15" t="n"/>
      <c r="F17" s="14" t="n"/>
      <c r="G17" s="13" t="inlineStr">
        <is>
          <t>—</t>
        </is>
      </c>
    </row>
    <row r="18">
      <c r="A18" s="10" t="inlineStr">
        <is>
          <t>Repeat visits within 7 days %</t>
        </is>
      </c>
      <c r="B18" s="14" t="n">
        <v>0.04</v>
      </c>
      <c r="C18" s="15" t="n">
        <v>0.04</v>
      </c>
      <c r="D18" s="15" t="n">
        <v>0.07000000000000001</v>
      </c>
      <c r="E18" s="15" t="n">
        <v>0.1</v>
      </c>
      <c r="F18" s="14" t="n"/>
      <c r="G18" s="13">
        <f>IF(F18="","—",IF(F18&lt;=C18,"GREEN",IF(F18&gt;=E18,"RED","YELLOW")))</f>
        <v/>
      </c>
    </row>
    <row r="19">
      <c r="A19" s="10" t="inlineStr">
        <is>
          <t>Repeat visits within 14 days %</t>
        </is>
      </c>
      <c r="B19" s="14" t="n">
        <v>0.06</v>
      </c>
      <c r="C19" s="15" t="n">
        <v>0.06</v>
      </c>
      <c r="D19" s="15" t="n">
        <v>0.1</v>
      </c>
      <c r="E19" s="15" t="n">
        <v>0.14</v>
      </c>
      <c r="F19" s="14" t="n"/>
      <c r="G19" s="13">
        <f>IF(F19="","—",IF(F19&lt;=C19,"GREEN",IF(F19&gt;=E19,"RED","YELLOW")))</f>
        <v/>
      </c>
    </row>
    <row r="20">
      <c r="A20" s="10" t="inlineStr">
        <is>
          <t>Repeat visits within 30 days %</t>
        </is>
      </c>
      <c r="B20" s="14" t="n">
        <v>0.09</v>
      </c>
      <c r="C20" s="15" t="n">
        <v>0.09</v>
      </c>
      <c r="D20" s="15" t="n">
        <v>0.14</v>
      </c>
      <c r="E20" s="15" t="n">
        <v>0.18</v>
      </c>
      <c r="F20" s="14" t="n"/>
      <c r="G20" s="13">
        <f>IF(F20="","—",IF(F20&lt;=C20,"GREEN",IF(F20&gt;=E20,"RED","YELLOW")))</f>
        <v/>
      </c>
    </row>
    <row r="21">
      <c r="A21" s="10" t="inlineStr">
        <is>
          <t>Average visit duration (hr)</t>
        </is>
      </c>
      <c r="B21" s="18" t="n">
        <v>0.75</v>
      </c>
      <c r="C21" s="19" t="n"/>
      <c r="D21" s="19" t="n"/>
      <c r="E21" s="19" t="n"/>
      <c r="F21" s="18" t="n"/>
      <c r="G21" s="13" t="inlineStr">
        <is>
          <t>—</t>
        </is>
      </c>
    </row>
    <row r="22">
      <c r="A22" s="10" t="inlineStr">
        <is>
          <t>Cost per dispatch</t>
        </is>
      </c>
      <c r="B22" s="16" t="n">
        <v>130</v>
      </c>
      <c r="C22" s="17" t="n"/>
      <c r="D22" s="17" t="n"/>
      <c r="E22" s="17" t="n"/>
      <c r="F22" s="16" t="n"/>
      <c r="G22" s="13" t="inlineStr">
        <is>
          <t>—</t>
        </is>
      </c>
    </row>
    <row r="23">
      <c r="A23" s="10" t="inlineStr">
        <is>
          <t>Avoided truck rolls (monthly)</t>
        </is>
      </c>
      <c r="B23" s="11" t="n">
        <v>90</v>
      </c>
      <c r="C23" s="12" t="n">
        <v>90</v>
      </c>
      <c r="D23" s="12" t="n">
        <v>60</v>
      </c>
      <c r="E23" s="12" t="n">
        <v>40</v>
      </c>
      <c r="F23" s="11" t="n"/>
      <c r="G23" s="13">
        <f>IF(F23="","—",IF(F23&gt;=C23,"GREEN",IF(F23&lt;=E23,"RED","YELLOW")))</f>
        <v/>
      </c>
    </row>
    <row r="24">
      <c r="A24" s="10" t="inlineStr">
        <is>
          <t>Protection-plan enrollment %</t>
        </is>
      </c>
      <c r="B24" s="14" t="n">
        <v>0.1</v>
      </c>
      <c r="C24" s="15" t="n">
        <v>0.1</v>
      </c>
      <c r="D24" s="15" t="n">
        <v>0.06</v>
      </c>
      <c r="E24" s="15" t="n">
        <v>0.04</v>
      </c>
      <c r="F24" s="14" t="n"/>
      <c r="G24" s="13">
        <f>IF(F24="","—",IF(F24&gt;=C24,"GREEN",IF(F24&lt;=E24,"RED","YELLOW")))</f>
        <v/>
      </c>
    </row>
    <row r="25">
      <c r="A25" s="10" t="inlineStr">
        <is>
          <t>Protection-plan revenue (monthly)</t>
        </is>
      </c>
      <c r="B25" s="16" t="n">
        <v>14000</v>
      </c>
      <c r="C25" s="17" t="n"/>
      <c r="D25" s="17" t="n"/>
      <c r="E25" s="17" t="n"/>
      <c r="F25" s="16" t="n"/>
      <c r="G25" s="13" t="inlineStr">
        <is>
          <t>—</t>
        </is>
      </c>
    </row>
    <row r="26">
      <c r="A26" s="10" t="inlineStr">
        <is>
          <t>Protection-plan cost (monthly)</t>
        </is>
      </c>
      <c r="B26" s="16" t="n">
        <v>4000</v>
      </c>
      <c r="C26" s="17" t="n"/>
      <c r="D26" s="17" t="n"/>
      <c r="E26" s="17" t="n"/>
      <c r="F26" s="16" t="n"/>
      <c r="G26" s="13" t="inlineStr">
        <is>
          <t>—</t>
        </is>
      </c>
    </row>
    <row r="27">
      <c r="A27" s="10" t="inlineStr">
        <is>
          <t>Complaints (monthly)</t>
        </is>
      </c>
      <c r="B27" s="11" t="n">
        <v>15</v>
      </c>
      <c r="C27" s="12" t="n">
        <v>15</v>
      </c>
      <c r="D27" s="12" t="n">
        <v>30</v>
      </c>
      <c r="E27" s="12" t="n">
        <v>45</v>
      </c>
      <c r="F27" s="11" t="n"/>
      <c r="G27" s="13">
        <f>IF(F27="","—",IF(F27&lt;=C27,"GREEN",IF(F27&gt;=E27,"RED","YELLOW")))</f>
        <v/>
      </c>
    </row>
    <row r="28">
      <c r="A28" s="10" t="inlineStr">
        <is>
          <t>Policy-related churn %</t>
        </is>
      </c>
      <c r="B28" s="20" t="n">
        <v>0.003</v>
      </c>
      <c r="C28" s="21" t="n">
        <v>0.003</v>
      </c>
      <c r="D28" s="21" t="n">
        <v>0.006</v>
      </c>
      <c r="E28" s="21" t="n">
        <v>0.01</v>
      </c>
      <c r="F28" s="20" t="n"/>
      <c r="G28" s="13">
        <f>IF(F28="","—",IF(F28&lt;=C28,"GREEN",IF(F28&gt;=E28,"RED","YELLOW")))</f>
        <v/>
      </c>
    </row>
    <row r="29">
      <c r="A29" s="10" t="inlineStr">
        <is>
          <t>Customer satisfaction (CSAT)</t>
        </is>
      </c>
      <c r="B29" s="14" t="n">
        <v>0.9</v>
      </c>
      <c r="C29" s="15" t="n">
        <v>0.9</v>
      </c>
      <c r="D29" s="15" t="n">
        <v>0.85</v>
      </c>
      <c r="E29" s="15" t="n">
        <v>0.8</v>
      </c>
      <c r="F29" s="14" t="n"/>
      <c r="G29" s="13">
        <f>IF(F29="","—",IF(F29&gt;=C29,"GREEN",IF(F29&lt;=E29,"RED","YELLOW")))</f>
        <v/>
      </c>
    </row>
    <row r="30">
      <c r="A30" s="10" t="inlineStr">
        <is>
          <t>Technician coding accuracy %</t>
        </is>
      </c>
      <c r="B30" s="14" t="n">
        <v>0.95</v>
      </c>
      <c r="C30" s="15" t="n">
        <v>0.95</v>
      </c>
      <c r="D30" s="15" t="n">
        <v>0.9</v>
      </c>
      <c r="E30" s="15" t="n">
        <v>0.85</v>
      </c>
      <c r="F30" s="14" t="n"/>
      <c r="G30" s="13">
        <f>IF(F30="","—",IF(F30&gt;=C30,"GREEN",IF(F30&lt;=E30,"RED","YELLOW")))</f>
        <v/>
      </c>
    </row>
    <row r="31">
      <c r="A31" s="10" t="inlineStr">
        <is>
          <t>Support disclosure compliance %</t>
        </is>
      </c>
      <c r="B31" s="14" t="n">
        <v>0.98</v>
      </c>
      <c r="C31" s="15" t="n">
        <v>0.98</v>
      </c>
      <c r="D31" s="15" t="n">
        <v>0.93</v>
      </c>
      <c r="E31" s="15" t="n">
        <v>0.88</v>
      </c>
      <c r="F31" s="14" t="n"/>
      <c r="G31" s="13">
        <f>IF(F31="","—",IF(F31&gt;=C31,"GREEN",IF(F31&lt;=E31,"RED","YELLOW")))</f>
        <v/>
      </c>
    </row>
    <row r="33">
      <c r="A33" s="3" t="inlineStr">
        <is>
          <t>Enter the Current value (yellow) each period; Status auto-colors where a direction is defined. Some volume metrics are informational (no threshold).</t>
        </is>
      </c>
    </row>
  </sheetData>
  <mergeCells count="3">
    <mergeCell ref="A3:G3"/>
    <mergeCell ref="A2:G2"/>
    <mergeCell ref="A1:G1"/>
  </mergeCells>
  <conditionalFormatting sqref="G7:G31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6" customWidth="1" min="5" max="5"/>
    <col width="14" customWidth="1" min="6" max="6"/>
    <col width="12" customWidth="1" min="7" max="7"/>
    <col width="14" customWidth="1" min="8" max="8"/>
  </cols>
  <sheetData>
    <row r="1" ht="30" customHeight="1">
      <c r="A1" s="1" t="inlineStr">
        <is>
          <t>RIVR Tech — Waiver Tracking Log</t>
        </is>
      </c>
    </row>
    <row r="2">
      <c r="A2" s="2" t="inlineStr">
        <is>
          <t>Track waivers by employee, technician, reason, area, type, and amount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5">
      <c r="A5" s="9" t="inlineStr">
        <is>
          <t>Date</t>
        </is>
      </c>
      <c r="B5" s="9" t="inlineStr">
        <is>
          <t>Employee</t>
        </is>
      </c>
      <c r="C5" s="9" t="inlineStr">
        <is>
          <t>Technician</t>
        </is>
      </c>
      <c r="D5" s="9" t="inlineStr">
        <is>
          <t>Reason</t>
        </is>
      </c>
      <c r="E5" s="9" t="inlineStr">
        <is>
          <t>Service Area</t>
        </is>
      </c>
      <c r="F5" s="9" t="inlineStr">
        <is>
          <t>Customer Type</t>
        </is>
      </c>
      <c r="G5" s="9" t="inlineStr">
        <is>
          <t>Fee Amount</t>
        </is>
      </c>
      <c r="H5" s="9" t="inlineStr">
        <is>
          <t>Supervisor</t>
        </is>
      </c>
    </row>
    <row r="6">
      <c r="A6" s="22" t="inlineStr">
        <is>
          <t>[date]</t>
        </is>
      </c>
      <c r="B6" s="22" t="inlineStr">
        <is>
          <t>[name]</t>
        </is>
      </c>
      <c r="C6" s="22" t="inlineStr">
        <is>
          <t>[tech]</t>
        </is>
      </c>
      <c r="D6" s="22" t="inlineStr">
        <is>
          <t>First-time courtesy</t>
        </is>
      </c>
      <c r="E6" s="22" t="inlineStr">
        <is>
          <t>[area]</t>
        </is>
      </c>
      <c r="F6" s="22" t="inlineStr">
        <is>
          <t>Residential</t>
        </is>
      </c>
      <c r="G6" s="17" t="n">
        <v>75</v>
      </c>
      <c r="H6" s="22" t="inlineStr">
        <is>
          <t>[sup]</t>
        </is>
      </c>
    </row>
    <row r="7">
      <c r="A7" s="22" t="inlineStr">
        <is>
          <t>[date]</t>
        </is>
      </c>
      <c r="B7" s="22" t="inlineStr">
        <is>
          <t>[name]</t>
        </is>
      </c>
      <c r="C7" s="22" t="inlineStr">
        <is>
          <t>[tech]</t>
        </is>
      </c>
      <c r="D7" s="22" t="inlineStr">
        <is>
          <t>Hardship</t>
        </is>
      </c>
      <c r="E7" s="22" t="inlineStr">
        <is>
          <t>[area]</t>
        </is>
      </c>
      <c r="F7" s="22" t="inlineStr">
        <is>
          <t>Residential</t>
        </is>
      </c>
      <c r="G7" s="17" t="n">
        <v>75</v>
      </c>
      <c r="H7" s="22" t="inlineStr">
        <is>
          <t>[mgr]</t>
        </is>
      </c>
    </row>
    <row r="8">
      <c r="A8" s="22" t="inlineStr">
        <is>
          <t>[date]</t>
        </is>
      </c>
      <c r="B8" s="22" t="inlineStr">
        <is>
          <t>[name]</t>
        </is>
      </c>
      <c r="C8" s="22" t="inlineStr">
        <is>
          <t>[tech]</t>
        </is>
      </c>
      <c r="D8" s="22" t="inlineStr">
        <is>
          <t>Documentation error</t>
        </is>
      </c>
      <c r="E8" s="22" t="inlineStr">
        <is>
          <t>[area]</t>
        </is>
      </c>
      <c r="F8" s="22" t="inlineStr">
        <is>
          <t>Business</t>
        </is>
      </c>
      <c r="G8" s="17" t="n">
        <v>125</v>
      </c>
      <c r="H8" s="22" t="inlineStr">
        <is>
          <t>[sup]</t>
        </is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2">
      <c r="A22" s="4" t="inlineStr">
        <is>
          <t>Totals:</t>
        </is>
      </c>
      <c r="G22" s="23">
        <f>SUM(G6:G20)</f>
        <v/>
      </c>
    </row>
  </sheetData>
  <mergeCells count="3">
    <mergeCell ref="A3:H3"/>
    <mergeCell ref="A2:H2"/>
    <mergeCell ref="A1:H1"/>
  </mergeCells>
  <dataValidations count="2">
    <dataValidation sqref="D6:D20" showDropDown="0" showInputMessage="0" showErrorMessage="0" allowBlank="1" type="list">
      <formula1>"First-time courtesy,Documentation error,Shared responsibility,Inconclusive findings,Hardship,Reasonable accommodation,Incorrect disclosure,Repeat failure after RIVR repair,Customer-retention exception"</formula1>
    </dataValidation>
    <dataValidation sqref="F6:F20" showDropDown="0" showInputMessage="0" showErrorMessage="0" allowBlank="1" type="list">
      <formula1>"Residential,Business"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2026-07-20T01:44:01Z</dcterms:created>
  <dcterms:modified xmlns:dcterms="http://purl.org/dc/terms/" xmlns:xsi="http://www.w3.org/2001/XMLSchema-instance" xsi:type="dcterms:W3CDTF">2026-07-20T01:44:01Z</dcterms:modified>
</cp:coreProperties>
</file>