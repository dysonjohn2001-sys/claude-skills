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Pricing Matrix" sheetId="3" state="visible" r:id="rId3"/>
    <sheet xmlns:r="http://schemas.openxmlformats.org/officeDocument/2006/relationships" name="Senior Alternatives" sheetId="4" state="visible" r:id="rId4"/>
    <sheet xmlns:r="http://schemas.openxmlformats.org/officeDocument/2006/relationships" name="Subscriber Model" sheetId="5" state="visible" r:id="rId5"/>
    <sheet xmlns:r="http://schemas.openxmlformats.org/officeDocument/2006/relationships" name="P&amp;L 12mo" sheetId="6" state="visible" r:id="rId6"/>
    <sheet xmlns:r="http://schemas.openxmlformats.org/officeDocument/2006/relationships" name="Break-even" sheetId="7" state="visible" r:id="rId7"/>
    <sheet xmlns:r="http://schemas.openxmlformats.org/officeDocument/2006/relationships" name="36mo Scenarios" sheetId="8" state="visible" r:id="rId8"/>
  </sheets>
  <definedNames>
    <definedName name="LL_STD">Assumptions!$C$7</definedName>
    <definedName name="LL_TRIBAL_ADD">Assumptions!$C$8</definedName>
    <definedName name="LL_TRIBAL_TOTAL">Assumptions!$C$9</definedName>
    <definedName name="RETAIL_SENIOR">Assumptions!$C$12</definedName>
    <definedName name="RETAIL_STD">Assumptions!$C$13</definedName>
    <definedName name="TARGET_PAY">Assumptions!$C$14</definedName>
    <definedName name="EQUIP_MO">Assumptions!$C$15</definedName>
    <definedName name="INSTALL">Assumptions!$C$16</definedName>
    <definedName name="VOICE_MO">Assumptions!$C$17</definedName>
    <definedName name="VAR_COST">Assumptions!$C$18</definedName>
    <definedName name="ADMIN_COST">Assumptions!$C$19</definedName>
    <definedName name="CAC">Assumptions!$C$20</definedName>
    <definedName name="BADDEBT">Assumptions!$C$21</definedName>
    <definedName name="USAC_LAG">Assumptions!$C$22</definedName>
    <definedName name="RIVR_DISC">Assumptions!$C$24</definedName>
    <definedName name="TRIBE_DISC">Assumptions!$C$25</definedName>
    <definedName name="N_STD">Assumptions!$C$27</definedName>
    <definedName name="N_TRIBAL">Assumptions!$C$28</definedName>
    <definedName name="N_NOLL">Assumptions!$C$29</definedName>
    <definedName name="ENROLL_MO">Assumptions!$C$30</definedName>
    <definedName name="CHURN">Assumptions!$C$31</definedName>
    <definedName name="ALT_C_RATE_MINUS">'Senior Alternatives'!$H$20</definedName>
    <definedName name="SCEN_MULT">Subscriber Model!$C$6</definedName>
    <definedName name="N_NOLL_ZERO">Assumptions!$C$6</definedName>
  </definedNames>
  <calcPr calcId="124519" fullCalcOnLoad="1"/>
</workbook>
</file>

<file path=xl/styles.xml><?xml version="1.0" encoding="utf-8"?>
<styleSheet xmlns="http://schemas.openxmlformats.org/spreadsheetml/2006/main">
  <numFmts count="4">
    <numFmt numFmtId="164" formatCode="&quot;$&quot;#,##0.00"/>
    <numFmt numFmtId="165" formatCode="0.0%"/>
    <numFmt numFmtId="166" formatCode="0.0"/>
    <numFmt numFmtId="167" formatCode="&quot;$&quot;#,##0"/>
  </numFmts>
  <fonts count="23">
    <font>
      <name val="Calibri"/>
      <family val="2"/>
      <color theme="1"/>
      <sz val="11"/>
      <scheme val="minor"/>
    </font>
    <font>
      <b val="1"/>
      <color rgb="001F3864"/>
      <sz val="18"/>
    </font>
    <font>
      <b val="1"/>
      <color rgb="001F3864"/>
      <sz val="14"/>
    </font>
    <font>
      <i val="1"/>
      <color rgb="00595959"/>
      <sz val="11"/>
    </font>
    <font>
      <b val="1"/>
      <sz val="11"/>
    </font>
    <font>
      <sz val="11"/>
    </font>
    <font>
      <b val="1"/>
      <color rgb="00C00000"/>
      <sz val="10"/>
    </font>
    <font>
      <b val="1"/>
      <sz val="9"/>
    </font>
    <font>
      <sz val="9"/>
    </font>
    <font>
      <b val="1"/>
      <color rgb="001F3864"/>
      <sz val="15"/>
    </font>
    <font>
      <b val="1"/>
      <color rgb="00FFFFFF"/>
      <sz val="10"/>
    </font>
    <font>
      <b val="1"/>
      <color rgb="00000000"/>
      <sz val="10"/>
    </font>
    <font>
      <b val="1"/>
      <i val="1"/>
      <color rgb="002E5496"/>
    </font>
    <font>
      <color rgb="00000000"/>
      <sz val="10"/>
    </font>
    <font>
      <color rgb="00000000"/>
      <sz val="9"/>
    </font>
    <font>
      <b val="1"/>
      <i val="1"/>
      <color rgb="00C00000"/>
    </font>
    <font>
      <color rgb="00C00000"/>
      <sz val="10"/>
    </font>
    <font>
      <b val="1"/>
      <i val="1"/>
      <color rgb="001F3864"/>
    </font>
    <font>
      <b val="1"/>
    </font>
    <font>
      <b val="1"/>
      <color rgb="00000000"/>
      <sz val="9"/>
    </font>
    <font>
      <color rgb="00C00000"/>
      <sz val="9"/>
    </font>
    <font>
      <color rgb="00000000"/>
      <sz val="8"/>
    </font>
    <font>
      <b val="1"/>
      <color rgb="001F3864"/>
      <sz val="13"/>
    </font>
  </fonts>
  <fills count="9">
    <fill>
      <patternFill/>
    </fill>
    <fill>
      <patternFill patternType="gray125"/>
    </fill>
    <fill>
      <patternFill patternType="solid">
        <fgColor rgb="00FFF2CC"/>
      </patternFill>
    </fill>
    <fill>
      <patternFill patternType="solid">
        <fgColor rgb="00FCE4D6"/>
      </patternFill>
    </fill>
    <fill>
      <patternFill patternType="solid">
        <fgColor rgb="00D9E1F2"/>
      </patternFill>
    </fill>
    <fill>
      <patternFill patternType="solid">
        <fgColor rgb="00FFFFFF"/>
      </patternFill>
    </fill>
    <fill>
      <patternFill patternType="solid">
        <fgColor rgb="002E5496"/>
      </patternFill>
    </fill>
    <fill>
      <patternFill patternType="solid">
        <fgColor rgb="00F2F2F2"/>
      </patternFill>
    </fill>
    <fill>
      <patternFill patternType="solid">
        <fgColor rgb="00E2EFDA"/>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style="thin">
        <color rgb="00BFBFBF"/>
      </left>
      <right/>
      <top/>
      <bottom/>
      <diagonal/>
    </border>
    <border>
      <left/>
      <right style="thin">
        <color rgb="00BFBFBF"/>
      </right>
      <top style="thin">
        <color rgb="00BFBFBF"/>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2" borderId="1" pivotButton="0" quotePrefix="0" xfId="0"/>
    <xf numFmtId="0" fontId="8" fillId="3" borderId="1" pivotButton="0" quotePrefix="0" xfId="0"/>
    <xf numFmtId="0" fontId="8" fillId="4" borderId="1" pivotButton="0" quotePrefix="0" xfId="0"/>
    <xf numFmtId="0" fontId="8" fillId="5" borderId="1" pivotButton="0" quotePrefix="0" xfId="0"/>
    <xf numFmtId="0" fontId="9" fillId="0" borderId="0" pivotButton="0" quotePrefix="0" xfId="0"/>
    <xf numFmtId="0" fontId="11" fillId="4" borderId="1" applyAlignment="1" pivotButton="0" quotePrefix="0" xfId="0">
      <alignment horizontal="center" vertical="center" wrapText="1"/>
    </xf>
    <xf numFmtId="0" fontId="10" fillId="6" borderId="1" applyAlignment="1" pivotButton="0" quotePrefix="0" xfId="0">
      <alignment horizontal="center" vertical="center" wrapText="1"/>
    </xf>
    <xf numFmtId="0" fontId="12" fillId="0" borderId="0" pivotButton="0" quotePrefix="0" xfId="0"/>
    <xf numFmtId="0" fontId="11" fillId="7" borderId="1" pivotButton="0" quotePrefix="0" xfId="0"/>
    <xf numFmtId="164" fontId="13" fillId="4" borderId="1" pivotButton="0" quotePrefix="0" xfId="0"/>
    <xf numFmtId="0" fontId="13" fillId="7" borderId="1" pivotButton="0" quotePrefix="0" xfId="0"/>
    <xf numFmtId="0" fontId="14" fillId="7" borderId="1" applyAlignment="1" pivotButton="0" quotePrefix="0" xfId="0">
      <alignment vertical="top" wrapText="1"/>
    </xf>
    <xf numFmtId="164" fontId="13" fillId="0" borderId="1" pivotButton="0" quotePrefix="0" xfId="0"/>
    <xf numFmtId="165" fontId="13" fillId="4" borderId="1" pivotButton="0" quotePrefix="0" xfId="0"/>
    <xf numFmtId="0" fontId="15" fillId="0" borderId="0" pivotButton="0" quotePrefix="0" xfId="0"/>
    <xf numFmtId="164" fontId="16" fillId="3" borderId="1" pivotButton="0" quotePrefix="0" xfId="0"/>
    <xf numFmtId="164" fontId="13" fillId="2" borderId="1" pivotButton="0" quotePrefix="0" xfId="0"/>
    <xf numFmtId="165" fontId="13" fillId="2" borderId="1" pivotButton="0" quotePrefix="0" xfId="0"/>
    <xf numFmtId="3" fontId="13" fillId="2" borderId="1" pivotButton="0" quotePrefix="0" xfId="0"/>
    <xf numFmtId="0" fontId="17" fillId="0" borderId="0" pivotButton="0" quotePrefix="0" xfId="0"/>
    <xf numFmtId="0" fontId="18" fillId="0" borderId="0" pivotButton="0" quotePrefix="0" xfId="0"/>
    <xf numFmtId="0" fontId="19" fillId="7" borderId="1" pivotButton="0" quotePrefix="0" xfId="0"/>
    <xf numFmtId="0" fontId="19" fillId="8" borderId="1" pivotButton="0" quotePrefix="0" xfId="0"/>
    <xf numFmtId="164" fontId="11" fillId="8" borderId="1" pivotButton="0" quotePrefix="0" xfId="0"/>
    <xf numFmtId="0" fontId="14" fillId="7" borderId="1" pivotButton="0" quotePrefix="0" xfId="0"/>
    <xf numFmtId="0" fontId="20" fillId="3" borderId="1" applyAlignment="1" pivotButton="0" quotePrefix="0" xfId="0">
      <alignment horizontal="center" vertical="top"/>
    </xf>
    <xf numFmtId="0" fontId="21" fillId="7" borderId="1" applyAlignment="1" pivotButton="0" quotePrefix="0" xfId="0">
      <alignment vertical="top"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164" fontId="14" fillId="0" borderId="1" pivotButton="0" quotePrefix="0" xfId="0"/>
    <xf numFmtId="0" fontId="14" fillId="0" borderId="1" applyAlignment="1" pivotButton="0" quotePrefix="0" xfId="0">
      <alignment horizontal="center" vertical="top"/>
    </xf>
    <xf numFmtId="164" fontId="0" fillId="0" borderId="0" pivotButton="0" quotePrefix="0" xfId="0"/>
    <xf numFmtId="0" fontId="22" fillId="0" borderId="0" pivotButton="0" quotePrefix="0" xfId="0"/>
    <xf numFmtId="166" fontId="13" fillId="2" borderId="1" pivotButton="0" quotePrefix="0" xfId="0"/>
    <xf numFmtId="0" fontId="0" fillId="2" borderId="0" pivotButton="0" quotePrefix="0" xfId="0"/>
    <xf numFmtId="3" fontId="13" fillId="0" borderId="1" pivotButton="0" quotePrefix="0" xfId="0"/>
    <xf numFmtId="3" fontId="11" fillId="0" borderId="1" pivotButton="0" quotePrefix="0" xfId="0"/>
    <xf numFmtId="0" fontId="0" fillId="0" borderId="9" pivotButton="0" quotePrefix="0" xfId="0"/>
    <xf numFmtId="0" fontId="0" fillId="0" borderId="10" pivotButton="0" quotePrefix="0" xfId="0"/>
    <xf numFmtId="167" fontId="13" fillId="0" borderId="1" pivotButton="0" quotePrefix="0" xfId="0"/>
    <xf numFmtId="167" fontId="11"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3" customWidth="1" min="1" max="1"/>
    <col width="90" customWidth="1" min="2" max="2"/>
  </cols>
  <sheetData>
    <row r="2">
      <c r="B2" s="1" t="inlineStr">
        <is>
          <t>RIVR Tech — Lifeline &amp; Lumbee Broadband Affordability</t>
        </is>
      </c>
    </row>
    <row r="3">
      <c r="B3" s="2" t="inlineStr">
        <is>
          <t>Financial Model  (Deliverable 06)</t>
        </is>
      </c>
    </row>
    <row r="5">
      <c r="B5" s="3" t="inlineStr">
        <is>
          <t>LREMC Technologies, LLC d/b/a RIVR Tech</t>
        </is>
      </c>
    </row>
    <row r="7">
      <c r="B7" s="4" t="inlineStr">
        <is>
          <t>Document owner:  Finance / FP&amp;A  (with Program Owner)</t>
        </is>
      </c>
    </row>
    <row r="8">
      <c r="B8" s="5" t="inlineStr">
        <is>
          <t>Version:  v0.1 — DRAFT for internal review</t>
        </is>
      </c>
    </row>
    <row r="9">
      <c r="B9" s="5" t="inlineStr">
        <is>
          <t>Prepared:  Program build phase (Phase 0 — ETC application pending)</t>
        </is>
      </c>
    </row>
    <row r="10">
      <c r="B10" s="5" t="inlineStr">
        <is>
          <t>Status:  PRE-DECISION. All retail prices, costs and volumes are ILLUSTRATIVE PLACEHOLDERS.</t>
        </is>
      </c>
    </row>
    <row r="12" ht="90" customHeight="1">
      <c r="B12" s="6" t="inlineStr">
        <is>
          <t>HOW TO USE:  Edit only the yellow (INPUT) and orange (PLACEHOLDER) cells. Orange cells contain illustrative numbers that MUST be replaced with figures confirmed by RIVR Tech (retail rates, costs) or USAC (benefit amounts) before any decision relies on this model. Blue cells are federal program constants — re-verify each program year against the cited source. White cells are formulas; do not hand-edit.</t>
        </is>
      </c>
    </row>
    <row r="14" ht="90" customHeight="1">
      <c r="B14" s="7" t="inlineStr">
        <is>
          <t>CRITICAL COMPLIANCE NOTE:  The enhanced Tribal Lifeline benefit ($34.25) is modeled ONLY for subscribers whose PRINCIPAL RESIDENCE is confirmed on qualifying Tribal lands per 47 C.F.R. 54.400(e). Lumbee tribal membership does NOT by itself qualify a customer for enhanced support. Until a written USAC/legal determination confirms qualifying Tribal lands exist in the service area, set the enhanced-Tribal subscriber count to ZERO in the Assumptions tab.</t>
        </is>
      </c>
    </row>
    <row r="17">
      <c r="B17" s="8" t="inlineStr">
        <is>
          <t>Legend:</t>
        </is>
      </c>
    </row>
    <row r="18">
      <c r="B18" s="9" t="inlineStr">
        <is>
          <t>INPUT — edit me</t>
        </is>
      </c>
    </row>
    <row r="19">
      <c r="B19" s="10" t="inlineStr">
        <is>
          <t>PLACEHOLDER — replace w/ confirmed figure</t>
        </is>
      </c>
    </row>
    <row r="20">
      <c r="B20" s="11" t="inlineStr">
        <is>
          <t>PROGRAM CONSTANT — re-verify each year</t>
        </is>
      </c>
    </row>
    <row r="21">
      <c r="B21" s="12" t="inlineStr">
        <is>
          <t>CALCULATED — do not edit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38"/>
  <sheetViews>
    <sheetView showGridLines="0" workbookViewId="0">
      <selection activeCell="A1" sqref="A1"/>
    </sheetView>
  </sheetViews>
  <sheetFormatPr baseColWidth="8" defaultRowHeight="15"/>
  <cols>
    <col width="3" customWidth="1" min="1" max="1"/>
    <col width="48" customWidth="1" min="2" max="2"/>
    <col width="14" customWidth="1" min="3" max="3"/>
    <col width="10" customWidth="1" min="4" max="4"/>
    <col width="60" customWidth="1" min="5" max="5"/>
  </cols>
  <sheetData>
    <row r="2">
      <c r="B2" s="13" t="inlineStr">
        <is>
          <t>Editable Assumptions</t>
        </is>
      </c>
    </row>
    <row r="3">
      <c r="B3" s="3" t="inlineStr">
        <is>
          <t>Named ranges drive every other tab. Confirm every orange cell before use.</t>
        </is>
      </c>
    </row>
    <row r="5">
      <c r="B5" s="14" t="inlineStr">
        <is>
          <t>Assumption</t>
        </is>
      </c>
      <c r="C5" s="15" t="inlineStr">
        <is>
          <t>Value</t>
        </is>
      </c>
      <c r="D5" s="15" t="inlineStr">
        <is>
          <t>Unit</t>
        </is>
      </c>
      <c r="E5" s="15" t="inlineStr">
        <is>
          <t>Source / note</t>
        </is>
      </c>
    </row>
    <row r="6">
      <c r="B6" s="16" t="inlineStr">
        <is>
          <t>— FEDERAL PROGRAM CONSTANTS (re-verify each program year) —</t>
        </is>
      </c>
    </row>
    <row r="7" ht="28" customHeight="1">
      <c r="B7" s="17" t="inlineStr">
        <is>
          <t>Standard Lifeline benefit (broadband)</t>
        </is>
      </c>
      <c r="C7" s="18" t="n">
        <v>9.25</v>
      </c>
      <c r="D7" s="19" t="inlineStr">
        <is>
          <t>$/mo</t>
        </is>
      </c>
      <c r="E7" s="20" t="inlineStr">
        <is>
          <t>47 C.F.R. 54.403(a). Confirm current amount at USAC.</t>
        </is>
      </c>
    </row>
    <row r="8" ht="28" customHeight="1">
      <c r="B8" s="17" t="inlineStr">
        <is>
          <t>Enhanced Tribal ADDITIONAL support</t>
        </is>
      </c>
      <c r="C8" s="18" t="n">
        <v>25</v>
      </c>
      <c r="D8" s="19" t="inlineStr">
        <is>
          <t>$/mo</t>
        </is>
      </c>
      <c r="E8" s="20" t="inlineStr">
        <is>
          <t>47 C.F.R. 54.403(a)(3). Added ON TOP of standard; total up to $34.25.</t>
        </is>
      </c>
    </row>
    <row r="9" ht="28" customHeight="1">
      <c r="B9" s="17" t="inlineStr">
        <is>
          <t>Enhanced Tribal TOTAL benefit</t>
        </is>
      </c>
      <c r="C9" s="21">
        <f>LL_STD+LL_TRIBAL_ADD</f>
        <v/>
      </c>
      <c r="D9" s="19" t="inlineStr">
        <is>
          <t>$/mo</t>
        </is>
      </c>
      <c r="E9" s="20" t="inlineStr">
        <is>
          <t>Standard + Tribal enhancement.</t>
        </is>
      </c>
    </row>
    <row r="10" ht="28" customHeight="1">
      <c r="B10" s="17" t="inlineStr">
        <is>
          <t>Lifeline income threshold</t>
        </is>
      </c>
      <c r="C10" s="22" t="n">
        <v>1.35</v>
      </c>
      <c r="D10" s="19" t="inlineStr">
        <is>
          <t>x FPG</t>
        </is>
      </c>
      <c r="E10" s="20" t="inlineStr">
        <is>
          <t>135% of Federal Poverty Guidelines — 47 C.F.R. 54.409(a). Verify annual $ figures.</t>
        </is>
      </c>
    </row>
    <row r="11">
      <c r="B11" s="23" t="inlineStr">
        <is>
          <t>— RIVR TECH RETAIL &amp; COST INPUTS (PLACEHOLDER — replace with confirmed figures) —</t>
        </is>
      </c>
    </row>
    <row r="12" ht="28" customHeight="1">
      <c r="B12" s="17" t="inlineStr">
        <is>
          <t>Senior 100/100 plan — retail (list) rate</t>
        </is>
      </c>
      <c r="C12" s="24" t="n">
        <v>55</v>
      </c>
      <c r="D12" s="19" t="inlineStr">
        <is>
          <t>$/mo</t>
        </is>
      </c>
      <c r="E12" s="20" t="inlineStr">
        <is>
          <t>ILLUSTRATIVE. NEW tier below current 250/250 entry. Confirm rate w/ RIVR.</t>
        </is>
      </c>
    </row>
    <row r="13" ht="28" customHeight="1">
      <c r="B13" s="17" t="inlineStr">
        <is>
          <t>Current ENTRY tier (250/250 sym.) retail rate</t>
        </is>
      </c>
      <c r="C13" s="24" t="n">
        <v>69.95</v>
      </c>
      <c r="D13" s="19" t="inlineStr">
        <is>
          <t>$/mo</t>
        </is>
      </c>
      <c r="E13" s="20" t="inlineStr">
        <is>
          <t>ILLUSTRATIVE. RIVR's lowest current tier is 250/250. Confirm price w/ RIVR.</t>
        </is>
      </c>
    </row>
    <row r="14" ht="28" customHeight="1">
      <c r="B14" s="17" t="inlineStr">
        <is>
          <t>Senior plan target CUSTOMER payment</t>
        </is>
      </c>
      <c r="C14" s="25" t="n">
        <v>10</v>
      </c>
      <c r="D14" s="19" t="inlineStr">
        <is>
          <t>$/mo</t>
        </is>
      </c>
      <c r="E14" s="20" t="inlineStr">
        <is>
          <t>Program design target (before tax). Executive decision.</t>
        </is>
      </c>
    </row>
    <row r="15" ht="28" customHeight="1">
      <c r="B15" s="17" t="inlineStr">
        <is>
          <t>Equipment / managed Wi-Fi charge (monthly)</t>
        </is>
      </c>
      <c r="C15" s="24" t="n">
        <v>5</v>
      </c>
      <c r="D15" s="19" t="inlineStr">
        <is>
          <t>$/mo</t>
        </is>
      </c>
      <c r="E15" s="20" t="inlineStr">
        <is>
          <t>RIVR site: $5/mo indoor Wi-Fi 6 router (/$10 outdoor mesh). Confirm &amp; decide if waived for program. Sep. tax.</t>
        </is>
      </c>
    </row>
    <row r="16" ht="28" customHeight="1">
      <c r="B16" s="17" t="inlineStr">
        <is>
          <t>Installation charge (one-time)</t>
        </is>
      </c>
      <c r="C16" s="24" t="n">
        <v>0</v>
      </c>
      <c r="D16" s="19" t="inlineStr">
        <is>
          <t>$ one-time</t>
        </is>
      </c>
      <c r="E16" s="20" t="inlineStr">
        <is>
          <t>RIVR site: install advertised free ($99 value, promotional). Confirm program policy.</t>
        </is>
      </c>
    </row>
    <row r="17" ht="28" customHeight="1">
      <c r="B17" s="17" t="inlineStr">
        <is>
          <t>Optional voice add-on charge</t>
        </is>
      </c>
      <c r="C17" s="24" t="n">
        <v>0</v>
      </c>
      <c r="D17" s="19" t="inlineStr">
        <is>
          <t>$/mo</t>
        </is>
      </c>
      <c r="E17" s="20" t="inlineStr">
        <is>
          <t>ILLUSTRATIVE. Voice is optional; Lifeline min-standard is broadband.</t>
        </is>
      </c>
    </row>
    <row r="18" ht="28" customHeight="1">
      <c r="B18" s="17" t="inlineStr">
        <is>
          <t>Variable network + support cost / sub</t>
        </is>
      </c>
      <c r="C18" s="24" t="n">
        <v>22</v>
      </c>
      <c r="D18" s="19" t="inlineStr">
        <is>
          <t>$/mo</t>
        </is>
      </c>
      <c r="E18" s="20" t="inlineStr">
        <is>
          <t>ILLUSTRATIVE avoided/served cost per subscriber. Confirm w/ Finance.</t>
        </is>
      </c>
    </row>
    <row r="19" ht="28" customHeight="1">
      <c r="B19" s="17" t="inlineStr">
        <is>
          <t>Billing + compliance labor / sub / mo</t>
        </is>
      </c>
      <c r="C19" s="24" t="n">
        <v>3.5</v>
      </c>
      <c r="D19" s="19" t="inlineStr">
        <is>
          <t>$/mo</t>
        </is>
      </c>
      <c r="E19" s="20" t="inlineStr">
        <is>
          <t>ILLUSTRATIVE fully-loaded ongoing admin per active Lifeline sub.</t>
        </is>
      </c>
    </row>
    <row r="20" ht="28" customHeight="1">
      <c r="B20" s="17" t="inlineStr">
        <is>
          <t>Customer acquisition cost (one-time)</t>
        </is>
      </c>
      <c r="C20" s="24" t="n">
        <v>45</v>
      </c>
      <c r="D20" s="19" t="inlineStr">
        <is>
          <t>$/enroll</t>
        </is>
      </c>
      <c r="E20" s="20" t="inlineStr">
        <is>
          <t>ILLUSTRATIVE. Outreach, enrollment labor, QC per new enrollee.</t>
        </is>
      </c>
    </row>
    <row r="21" ht="28" customHeight="1">
      <c r="B21" s="17" t="inlineStr">
        <is>
          <t>Bad-debt rate (on customer-paid portion)</t>
        </is>
      </c>
      <c r="C21" s="26" t="n">
        <v>0.04</v>
      </c>
      <c r="D21" s="19" t="inlineStr">
        <is>
          <t xml:space="preserve">% </t>
        </is>
      </c>
      <c r="E21" s="20" t="inlineStr">
        <is>
          <t>ILLUSTRATIVE. Lifeline reduces customer bill so exposure is low.</t>
        </is>
      </c>
    </row>
    <row r="22" ht="28" customHeight="1">
      <c r="B22" s="17" t="inlineStr">
        <is>
          <t>USAC reimbursement lag</t>
        </is>
      </c>
      <c r="C22" s="27" t="n">
        <v>1</v>
      </c>
      <c r="D22" s="19" t="inlineStr">
        <is>
          <t>months</t>
        </is>
      </c>
      <c r="E22" s="20" t="inlineStr">
        <is>
          <t>Claim filed after service month; cash received after. Confirm cycle.</t>
        </is>
      </c>
    </row>
    <row r="23">
      <c r="B23" s="28" t="inlineStr">
        <is>
          <t>— OPTIONAL PROGRAM DISCOUNTS (executive decisions) —</t>
        </is>
      </c>
    </row>
    <row r="24" ht="28" customHeight="1">
      <c r="B24" s="17" t="inlineStr">
        <is>
          <t>RIVR-funded discount / sub (non-Lifeline senior)</t>
        </is>
      </c>
      <c r="C24" s="25" t="n">
        <v>0</v>
      </c>
      <c r="D24" s="19" t="inlineStr">
        <is>
          <t>$/mo</t>
        </is>
      </c>
      <c r="E24" s="20" t="inlineStr">
        <is>
          <t>Company subsidy to reach target for seniors w/o Lifeline (Alt A).</t>
        </is>
      </c>
    </row>
    <row r="25" ht="28" customHeight="1">
      <c r="B25" s="17" t="inlineStr">
        <is>
          <t>Lumbee Tribe-funded discount / sub</t>
        </is>
      </c>
      <c r="C25" s="25" t="n">
        <v>0</v>
      </c>
      <c r="D25" s="19" t="inlineStr">
        <is>
          <t>$/mo</t>
        </is>
      </c>
      <c r="E25" s="20" t="inlineStr">
        <is>
          <t>ONLY if Tribe funds it under a signed MOU. Separate accounting.</t>
        </is>
      </c>
    </row>
    <row r="26">
      <c r="B26" s="28" t="inlineStr">
        <is>
          <t>— SUBSCRIBER VOLUMES (Expected scenario — see Subscriber Model for all 3) —</t>
        </is>
      </c>
    </row>
    <row r="27" ht="28" customHeight="1">
      <c r="B27" s="17" t="inlineStr">
        <is>
          <t>Std-Lifeline senior subs (steady-state)</t>
        </is>
      </c>
      <c r="C27" s="27" t="n">
        <v>300</v>
      </c>
      <c r="D27" s="19" t="inlineStr">
        <is>
          <t>subs</t>
        </is>
      </c>
      <c r="E27" s="20" t="inlineStr">
        <is>
          <t>Seniors approved for STANDARD Lifeline via National Verifier.</t>
        </is>
      </c>
    </row>
    <row r="28" ht="28" customHeight="1">
      <c r="B28" s="17" t="inlineStr">
        <is>
          <t>Enhanced-Tribal subs (steady-state)</t>
        </is>
      </c>
      <c r="C28" s="27" t="n">
        <v>0</v>
      </c>
      <c r="D28" s="19" t="inlineStr">
        <is>
          <t>subs</t>
        </is>
      </c>
      <c r="E28" s="20" t="inlineStr">
        <is>
          <t>SET TO 0 until qualifying Tribal lands confirmed by USAC/legal.</t>
        </is>
      </c>
    </row>
    <row r="29" ht="28" customHeight="1">
      <c r="B29" s="17" t="inlineStr">
        <is>
          <t>Senior subs, NO Lifeline (company-funded)</t>
        </is>
      </c>
      <c r="C29" s="27" t="n">
        <v>150</v>
      </c>
      <c r="D29" s="19" t="inlineStr">
        <is>
          <t>subs</t>
        </is>
      </c>
      <c r="E29" s="20" t="inlineStr">
        <is>
          <t>Seniors on the $10 plan who do not qualify for Lifeline.</t>
        </is>
      </c>
    </row>
    <row r="30" ht="28" customHeight="1">
      <c r="B30" s="17" t="inlineStr">
        <is>
          <t>Avg. monthly gross enrollments (ramp)</t>
        </is>
      </c>
      <c r="C30" s="27" t="n">
        <v>40</v>
      </c>
      <c r="D30" s="19" t="inlineStr">
        <is>
          <t>subs/mo</t>
        </is>
      </c>
      <c r="E30" s="20" t="inlineStr">
        <is>
          <t>New approved enrollments per month during ramp.</t>
        </is>
      </c>
    </row>
    <row r="31" ht="28" customHeight="1">
      <c r="B31" s="17" t="inlineStr">
        <is>
          <t>Monthly de-enrollment / churn rate</t>
        </is>
      </c>
      <c r="C31" s="26" t="n">
        <v>0.02</v>
      </c>
      <c r="D31" s="19" t="inlineStr">
        <is>
          <t>%/mo</t>
        </is>
      </c>
      <c r="E31" s="20" t="inlineStr">
        <is>
          <t>Failure to recertify, moves, loss of eligibility, non-pay.</t>
        </is>
      </c>
    </row>
    <row r="32">
      <c r="B32" s="29" t="inlineStr">
        <is>
          <t>Break-even / sustainability check ↓</t>
        </is>
      </c>
    </row>
    <row r="34">
      <c r="B34" s="8" t="inlineStr">
        <is>
          <t>Legend:</t>
        </is>
      </c>
    </row>
    <row r="35">
      <c r="B35" s="9" t="inlineStr">
        <is>
          <t>INPUT — edit me</t>
        </is>
      </c>
    </row>
    <row r="36">
      <c r="B36" s="10" t="inlineStr">
        <is>
          <t>PLACEHOLDER — replace w/ confirmed figure</t>
        </is>
      </c>
    </row>
    <row r="37">
      <c r="B37" s="11" t="inlineStr">
        <is>
          <t>PROGRAM CONSTANT — re-verify each year</t>
        </is>
      </c>
    </row>
    <row r="38">
      <c r="B38" s="12" t="inlineStr">
        <is>
          <t>CALCULATED — do not edit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22"/>
  <sheetViews>
    <sheetView showGridLines="0" workbookViewId="0">
      <selection activeCell="A1" sqref="A1"/>
    </sheetView>
  </sheetViews>
  <sheetFormatPr baseColWidth="8" defaultRowHeight="15"/>
  <cols>
    <col width="3" customWidth="1" min="1" max="1"/>
    <col width="34" customWidth="1" min="2" max="2"/>
    <col width="15" customWidth="1" min="3" max="3"/>
    <col width="15" customWidth="1" min="4" max="4"/>
    <col width="15" customWidth="1" min="5" max="5"/>
    <col width="15" customWidth="1" min="6" max="6"/>
    <col width="15" customWidth="1" min="7" max="7"/>
    <col width="17" customWidth="1" min="8" max="8"/>
  </cols>
  <sheetData>
    <row r="2">
      <c r="B2" s="2" t="inlineStr">
        <is>
          <t>Pricing &amp; Subsidy Matrix — per-subscriber monthly economics</t>
        </is>
      </c>
    </row>
    <row r="3">
      <c r="B3" s="3" t="inlineStr">
        <is>
          <t>All figures pre-tax. 'Plus tax' disclosure pending RIVR tax-advisor confirmation. Formulas reference Assumptions.</t>
        </is>
      </c>
    </row>
    <row r="5" ht="40" customHeight="1">
      <c r="B5" s="15" t="inlineStr">
        <is>
          <t>Line item</t>
        </is>
      </c>
      <c r="C5" s="15" t="inlineStr">
        <is>
          <t>(1) Regular retail</t>
        </is>
      </c>
      <c r="D5" s="15" t="inlineStr">
        <is>
          <t>(2) + Standard Lifeline</t>
        </is>
      </c>
      <c r="E5" s="15" t="inlineStr">
        <is>
          <t>(3) + Enhanced Tribal</t>
        </is>
      </c>
      <c r="F5" s="15" t="inlineStr">
        <is>
          <t>(4) + RIVR discount</t>
        </is>
      </c>
      <c r="G5" s="15" t="inlineStr">
        <is>
          <t>(5) + Tribe discount</t>
        </is>
      </c>
      <c r="H5" s="15" t="inlineStr">
        <is>
          <t>(6) Senior 100/100 target</t>
        </is>
      </c>
    </row>
    <row r="6">
      <c r="B6" s="30" t="inlineStr">
        <is>
          <t>Retail (list) price</t>
        </is>
      </c>
      <c r="C6" s="21">
        <f>RETAIL_STD</f>
        <v/>
      </c>
      <c r="D6" s="21">
        <f>RETAIL_STD</f>
        <v/>
      </c>
      <c r="E6" s="21">
        <f>RETAIL_STD</f>
        <v/>
      </c>
      <c r="F6" s="21">
        <f>RETAIL_SENIOR</f>
        <v/>
      </c>
      <c r="G6" s="21">
        <f>RETAIL_SENIOR</f>
        <v/>
      </c>
      <c r="H6" s="21">
        <f>RETAIL_SENIOR</f>
        <v/>
      </c>
    </row>
    <row r="7">
      <c r="B7" s="30" t="inlineStr">
        <is>
          <t>Less: Standard Lifeline credit</t>
        </is>
      </c>
      <c r="C7" s="21" t="n">
        <v>0</v>
      </c>
      <c r="D7" s="21">
        <f>-LL_STD</f>
        <v/>
      </c>
      <c r="E7" s="21">
        <f>-LL_STD</f>
        <v/>
      </c>
      <c r="F7" s="21">
        <f>-LL_STD</f>
        <v/>
      </c>
      <c r="G7" s="21">
        <f>-LL_STD</f>
        <v/>
      </c>
      <c r="H7" s="21">
        <f>-LL_STD</f>
        <v/>
      </c>
    </row>
    <row r="8">
      <c r="B8" s="30" t="inlineStr">
        <is>
          <t>Less: Tribal enhancement credit</t>
        </is>
      </c>
      <c r="C8" s="21" t="n">
        <v>0</v>
      </c>
      <c r="D8" s="21" t="n">
        <v>0</v>
      </c>
      <c r="E8" s="21">
        <f>-LL_TRIBAL_ADD</f>
        <v/>
      </c>
      <c r="F8" s="21" t="n">
        <v>0</v>
      </c>
      <c r="G8" s="21" t="n">
        <v>0</v>
      </c>
      <c r="H8" s="21" t="n">
        <v>0</v>
      </c>
    </row>
    <row r="9">
      <c r="B9" s="30" t="inlineStr">
        <is>
          <t>Less: RIVR-funded discount</t>
        </is>
      </c>
      <c r="C9" s="21" t="n">
        <v>0</v>
      </c>
      <c r="D9" s="21" t="n">
        <v>0</v>
      </c>
      <c r="E9" s="21" t="n">
        <v>0</v>
      </c>
      <c r="F9" s="21">
        <f>-RIVR_DISC</f>
        <v/>
      </c>
      <c r="G9" s="21">
        <f>-RIVR_DISC</f>
        <v/>
      </c>
      <c r="H9" s="21">
        <f>-(MAX(0,RETAIL_SENIOR-LL_STD-TARGET_PAY))</f>
        <v/>
      </c>
    </row>
    <row r="10">
      <c r="B10" s="30" t="inlineStr">
        <is>
          <t>Less: Tribe-funded discount</t>
        </is>
      </c>
      <c r="C10" s="21" t="n">
        <v>0</v>
      </c>
      <c r="D10" s="21" t="n">
        <v>0</v>
      </c>
      <c r="E10" s="21" t="n">
        <v>0</v>
      </c>
      <c r="F10" s="21" t="n">
        <v>0</v>
      </c>
      <c r="G10" s="21">
        <f>-TRIBE_DISC</f>
        <v/>
      </c>
      <c r="H10" s="21">
        <f>-TRIBE_DISC</f>
        <v/>
      </c>
    </row>
    <row r="11">
      <c r="B11" s="30" t="inlineStr">
        <is>
          <t>Plus: Equipment / mgd Wi-Fi</t>
        </is>
      </c>
      <c r="C11" s="21">
        <f>EQUIP_MO</f>
        <v/>
      </c>
      <c r="D11" s="21">
        <f>EQUIP_MO</f>
        <v/>
      </c>
      <c r="E11" s="21">
        <f>EQUIP_MO</f>
        <v/>
      </c>
      <c r="F11" s="21">
        <f>EQUIP_MO</f>
        <v/>
      </c>
      <c r="G11" s="21">
        <f>EQUIP_MO</f>
        <v/>
      </c>
      <c r="H11" s="21">
        <f>EQUIP_MO</f>
        <v/>
      </c>
    </row>
    <row r="12">
      <c r="B12" s="30" t="inlineStr">
        <is>
          <t>Plus: Optional voice</t>
        </is>
      </c>
      <c r="C12" s="21">
        <f>VOICE_MO</f>
        <v/>
      </c>
      <c r="D12" s="21">
        <f>VOICE_MO</f>
        <v/>
      </c>
      <c r="E12" s="21">
        <f>VOICE_MO</f>
        <v/>
      </c>
      <c r="F12" s="21">
        <f>VOICE_MO</f>
        <v/>
      </c>
      <c r="G12" s="21">
        <f>VOICE_MO</f>
        <v/>
      </c>
      <c r="H12" s="21">
        <f>VOICE_MO</f>
        <v/>
      </c>
    </row>
    <row r="13">
      <c r="B13" s="31">
        <f> FINAL CUSTOMER PAYMENT (pre-tax)</f>
        <v/>
      </c>
      <c r="C13" s="32">
        <f>C6+C7+C8+C9+C10+C11+C12</f>
        <v/>
      </c>
      <c r="D13" s="32">
        <f>D6+D7+D8+D9+D10+D11+D12</f>
        <v/>
      </c>
      <c r="E13" s="32">
        <f>E6+E7+E8+E9+E10+E11+E12</f>
        <v/>
      </c>
      <c r="F13" s="32">
        <f>F6+F7+F8+F9+F10+F11+F12</f>
        <v/>
      </c>
      <c r="G13" s="32">
        <f>G6+G7+G8+G9+G10+G11+G12</f>
        <v/>
      </c>
      <c r="H13" s="32">
        <f>H6+H7+H8+H9+H10+H11+H12</f>
        <v/>
      </c>
    </row>
    <row r="14">
      <c r="B14" s="33" t="inlineStr">
        <is>
          <t>Applicable taxes &amp; fees</t>
        </is>
      </c>
      <c r="C14" s="34" t="inlineStr">
        <is>
          <t>TBD</t>
        </is>
      </c>
      <c r="D14" s="34" t="inlineStr">
        <is>
          <t>TBD</t>
        </is>
      </c>
      <c r="E14" s="34" t="inlineStr">
        <is>
          <t>TBD</t>
        </is>
      </c>
      <c r="F14" s="34" t="inlineStr">
        <is>
          <t>TBD</t>
        </is>
      </c>
      <c r="G14" s="34" t="inlineStr">
        <is>
          <t>TBD</t>
        </is>
      </c>
      <c r="H14" s="34" t="inlineStr">
        <is>
          <t>TBD</t>
        </is>
      </c>
    </row>
    <row r="15">
      <c r="B15" s="30" t="inlineStr">
        <is>
          <t>USAC reimbursement to RIVR</t>
        </is>
      </c>
      <c r="C15" s="21" t="n">
        <v>0</v>
      </c>
      <c r="D15" s="21">
        <f>LL_STD</f>
        <v/>
      </c>
      <c r="E15" s="21">
        <f>LL_TRIBAL_TOTAL</f>
        <v/>
      </c>
      <c r="F15" s="21">
        <f>LL_STD</f>
        <v/>
      </c>
      <c r="G15" s="21">
        <f>LL_STD</f>
        <v/>
      </c>
      <c r="H15" s="21">
        <f>LL_STD</f>
        <v/>
      </c>
    </row>
    <row r="16">
      <c r="B16" s="30" t="inlineStr">
        <is>
          <t>RIVR gross revenue (cust pay + USAC)</t>
        </is>
      </c>
      <c r="C16" s="21">
        <f>C13+C15+(-1)*C10</f>
        <v/>
      </c>
      <c r="D16" s="21">
        <f>D13+D15+(-1)*D10</f>
        <v/>
      </c>
      <c r="E16" s="21">
        <f>E13+E15+(-1)*E10</f>
        <v/>
      </c>
      <c r="F16" s="21">
        <f>F13+F15+(-1)*F10</f>
        <v/>
      </c>
      <c r="G16" s="21">
        <f>G13+G15+(-1)*G10</f>
        <v/>
      </c>
      <c r="H16" s="21">
        <f>H13+H15+(-1)*H10</f>
        <v/>
      </c>
    </row>
    <row r="17">
      <c r="B17" s="33" t="inlineStr">
        <is>
          <t>Less: variable + admin cost</t>
        </is>
      </c>
      <c r="C17" s="21">
        <f>-(VAR_COST+ADMIN_COST)</f>
        <v/>
      </c>
      <c r="D17" s="21">
        <f>-(VAR_COST+ADMIN_COST)</f>
        <v/>
      </c>
      <c r="E17" s="21">
        <f>-(VAR_COST+ADMIN_COST)</f>
        <v/>
      </c>
      <c r="F17" s="21">
        <f>-(VAR_COST+ADMIN_COST)</f>
        <v/>
      </c>
      <c r="G17" s="21">
        <f>-(VAR_COST+ADMIN_COST)</f>
        <v/>
      </c>
      <c r="H17" s="21">
        <f>-(VAR_COST+ADMIN_COST)</f>
        <v/>
      </c>
    </row>
    <row r="18">
      <c r="B18" s="31">
        <f> CONTRIBUTION MARGIN / sub / mo</f>
        <v/>
      </c>
      <c r="C18" s="32">
        <f>C16+C17</f>
        <v/>
      </c>
      <c r="D18" s="32">
        <f>D16+D17</f>
        <v/>
      </c>
      <c r="E18" s="32">
        <f>E16+E17</f>
        <v/>
      </c>
      <c r="F18" s="32">
        <f>F16+F17</f>
        <v/>
      </c>
      <c r="G18" s="32">
        <f>G16+G17</f>
        <v/>
      </c>
      <c r="H18" s="32">
        <f>H16+H17</f>
        <v/>
      </c>
    </row>
    <row r="20">
      <c r="B20" s="35" t="inlineStr">
        <is>
          <t>Notes: (3) applies ONLY where the principal residence is confirmed on qualifying Tribal lands. (6) shows the Senior 100/100 target under Alternative D (Lifeline first, then RIVR/Tribe top-up to reach the $10 target). Tribe-funded discount is treated as revenue to RIVR under a settlement, kept in a separate GL category. Taxes shown as TBD pending tax-advisor review.</t>
        </is>
      </c>
      <c r="C20" s="36" t="n"/>
      <c r="D20" s="36" t="n"/>
      <c r="E20" s="36" t="n"/>
      <c r="F20" s="36" t="n"/>
      <c r="G20" s="36" t="n"/>
      <c r="H20" s="37" t="n"/>
    </row>
    <row r="21">
      <c r="B21" s="38" t="n"/>
      <c r="H21" s="39" t="n"/>
    </row>
    <row r="22">
      <c r="B22" s="40" t="n"/>
      <c r="C22" s="41" t="n"/>
      <c r="D22" s="41" t="n"/>
      <c r="E22" s="41" t="n"/>
      <c r="F22" s="41" t="n"/>
      <c r="G22" s="41" t="n"/>
      <c r="H22" s="42" t="n"/>
    </row>
  </sheetData>
  <mergeCells count="1">
    <mergeCell ref="B20: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0"/>
  <sheetViews>
    <sheetView showGridLines="0" workbookViewId="0">
      <selection activeCell="A1" sqref="A1"/>
    </sheetView>
  </sheetViews>
  <sheetFormatPr baseColWidth="8" defaultRowHeight="15"/>
  <cols>
    <col width="3" customWidth="1" min="1" max="1"/>
    <col width="40" customWidth="1" min="2" max="2"/>
    <col width="16" customWidth="1" min="3" max="3"/>
    <col width="16" customWidth="1" min="4" max="4"/>
    <col width="16" customWidth="1" min="5" max="5"/>
    <col width="16" customWidth="1" min="6" max="6"/>
    <col width="40" customWidth="1" min="7" max="7"/>
  </cols>
  <sheetData>
    <row r="2">
      <c r="B2" s="2" t="inlineStr">
        <is>
          <t>Senior 100/100 Plan — Alternatives A/B/C/D</t>
        </is>
      </c>
    </row>
    <row r="3">
      <c r="B3" s="3" t="inlineStr">
        <is>
          <t>Per-subscriber monthly economics under each design. Recommend Alternative D (see Exec Plan).</t>
        </is>
      </c>
    </row>
    <row r="5" ht="40" customHeight="1">
      <c r="B5" s="15" t="inlineStr">
        <is>
          <t>Metric</t>
        </is>
      </c>
      <c r="C5" s="15" t="inlineStr">
        <is>
          <t>Alt A: Universal $10</t>
        </is>
      </c>
      <c r="D5" s="15" t="inlineStr">
        <is>
          <t>Alt B: $10 net after Std LL</t>
        </is>
      </c>
      <c r="E5" s="15" t="inlineStr">
        <is>
          <t>Alt C: $10 net after Tribal</t>
        </is>
      </c>
      <c r="F5" s="15" t="inlineStr">
        <is>
          <t>Alt D: Blended</t>
        </is>
      </c>
      <c r="G5" s="15" t="inlineStr">
        <is>
          <t>Comment</t>
        </is>
      </c>
    </row>
    <row r="6" ht="26" customHeight="1">
      <c r="B6" s="30" t="inlineStr">
        <is>
          <t>Retail (list) rate set</t>
        </is>
      </c>
      <c r="C6" s="43">
        <f>RETAIL_SENIOR</f>
        <v/>
      </c>
      <c r="D6" s="43">
        <f>TARGET_PAY+LL_STD</f>
        <v/>
      </c>
      <c r="E6" s="43">
        <f>TARGET_PAY+LL_TRIBAL_TOTAL</f>
        <v/>
      </c>
      <c r="F6" s="43">
        <f>RETAIL_SENIOR</f>
        <v/>
      </c>
      <c r="G6" s="35" t="inlineStr">
        <is>
          <t>List stays at retail; subsidies layer to reach target</t>
        </is>
      </c>
    </row>
    <row r="7" ht="26" customHeight="1">
      <c r="B7" s="30" t="inlineStr">
        <is>
          <t>Customer pays — has Std Lifeline</t>
        </is>
      </c>
      <c r="C7" s="43">
        <f>TARGET_PAY</f>
        <v/>
      </c>
      <c r="D7" s="43">
        <f>TARGET_PAY</f>
        <v/>
      </c>
      <c r="E7" s="43">
        <f>MAX(0,ALT_C_RATE_MINUS)</f>
        <v/>
      </c>
      <c r="F7" s="43">
        <f>TARGET_PAY</f>
        <v/>
      </c>
      <c r="G7" s="35" t="inlineStr">
        <is>
          <t>Alt C leaves std-LL seniors ABOVE $10 unless topped up</t>
        </is>
      </c>
    </row>
    <row r="8" ht="26" customHeight="1">
      <c r="B8" s="30" t="inlineStr">
        <is>
          <t>Customer pays — has Enhanced Tribal</t>
        </is>
      </c>
      <c r="C8" s="43">
        <f>TARGET_PAY</f>
        <v/>
      </c>
      <c r="D8" s="43">
        <f>MAX(0,TARGET_PAY+LL_STD-LL_TRIBAL_TOTAL)</f>
        <v/>
      </c>
      <c r="E8" s="43">
        <f>TARGET_PAY</f>
        <v/>
      </c>
      <c r="F8" s="43">
        <f>TARGET_PAY</f>
        <v/>
      </c>
      <c r="G8" s="35" t="inlineStr">
        <is>
          <t>Alt B risks OVER-recovery for tribal (pays &lt; $10 / negative)</t>
        </is>
      </c>
    </row>
    <row r="9" ht="26" customHeight="1">
      <c r="B9" s="30" t="inlineStr">
        <is>
          <t>Customer pays — NO Lifeline</t>
        </is>
      </c>
      <c r="C9" s="43">
        <f>TARGET_PAY</f>
        <v/>
      </c>
      <c r="D9" s="43">
        <f>TARGET_PAY+LL_STD</f>
        <v/>
      </c>
      <c r="E9" s="43">
        <f>TARGET_PAY+LL_TRIBAL_TOTAL</f>
        <v/>
      </c>
      <c r="F9" s="43">
        <f>TARGET_PAY</f>
        <v/>
      </c>
      <c r="G9" s="35" t="inlineStr">
        <is>
          <t>Alt A &amp; D shield non-LL seniors; B &amp; C do not</t>
        </is>
      </c>
    </row>
    <row r="10" ht="26" customHeight="1">
      <c r="B10" s="30" t="inlineStr">
        <is>
          <t>RIVR-funded subsidy — has Std LL</t>
        </is>
      </c>
      <c r="C10" s="43">
        <f>RETAIL_SENIOR-LL_STD-TARGET_PAY</f>
        <v/>
      </c>
      <c r="D10" s="43" t="n">
        <v>0</v>
      </c>
      <c r="E10" s="43" t="n">
        <v>0</v>
      </c>
      <c r="F10" s="43">
        <f>MAX(0,RETAIL_SENIOR-LL_STD-TARGET_PAY-TRIBE_DISC)</f>
        <v/>
      </c>
      <c r="G10" s="35" t="inlineStr">
        <is>
          <t>Company exposure per subsidized sub</t>
        </is>
      </c>
    </row>
    <row r="11" ht="26" customHeight="1">
      <c r="B11" s="30" t="inlineStr">
        <is>
          <t>RIVR-funded subsidy — NO Lifeline</t>
        </is>
      </c>
      <c r="C11" s="43">
        <f>RETAIL_SENIOR-TARGET_PAY</f>
        <v/>
      </c>
      <c r="D11" s="43" t="n">
        <v>0</v>
      </c>
      <c r="E11" s="43" t="n">
        <v>0</v>
      </c>
      <c r="F11" s="43">
        <f>RETAIL_SENIOR-TARGET_PAY-TRIBE_DISC</f>
        <v/>
      </c>
      <c r="G11" s="35" t="inlineStr">
        <is>
          <t>Largest company exposure (no USAC offset)</t>
        </is>
      </c>
    </row>
    <row r="12" ht="26" customHeight="1">
      <c r="B12" s="30" t="inlineStr">
        <is>
          <t>Compliance risk</t>
        </is>
      </c>
      <c r="C12" s="44" t="inlineStr">
        <is>
          <t>Low-Med</t>
        </is>
      </c>
      <c r="D12" s="44" t="inlineStr">
        <is>
          <t>Med (over-recovery on tribal)</t>
        </is>
      </c>
      <c r="E12" s="44" t="inlineStr">
        <is>
          <t>High (misapplies tribal)</t>
        </is>
      </c>
      <c r="F12" s="44" t="inlineStr">
        <is>
          <t>Low</t>
        </is>
      </c>
      <c r="G12" s="35" t="inlineStr">
        <is>
          <t>Alt C mis-signals tribal eligibility</t>
        </is>
      </c>
    </row>
    <row r="14">
      <c r="B14" s="35" t="inlineStr">
        <is>
          <t>Alt A = universal $10 retail; RIVR absorbs the gap for non-Lifeline seniors and applies Lifeline only where permissible. Alt B sets retail so the bill nets to $10 after the $9.25 standard credit — but a tribal-qualified sub would net BELOW $10 (over-recovery risk). Alt C sets retail so the bill nets to $10 after the $34.25 tribal credit — but this only works for the (currently zero) tribal-lands population and leaves standard-LL seniors above $10. Alt D applies Lifeline first, then a defined RIVR/Tribe top-up so EVERY approved participant reaches the $10 target — recommended for compliance simplicity and NISC administrability.</t>
        </is>
      </c>
      <c r="C14" s="36" t="n"/>
      <c r="D14" s="36" t="n"/>
      <c r="E14" s="36" t="n"/>
      <c r="F14" s="36" t="n"/>
      <c r="G14" s="37" t="n"/>
    </row>
    <row r="15">
      <c r="B15" s="38" t="n"/>
      <c r="G15" s="39" t="n"/>
    </row>
    <row r="16">
      <c r="B16" s="38" t="n"/>
      <c r="G16" s="39" t="n"/>
    </row>
    <row r="17">
      <c r="B17" s="40" t="n"/>
      <c r="C17" s="41" t="n"/>
      <c r="D17" s="41" t="n"/>
      <c r="E17" s="41" t="n"/>
      <c r="F17" s="41" t="n"/>
      <c r="G17" s="42" t="n"/>
    </row>
    <row r="19">
      <c r="H19" t="inlineStr">
        <is>
          <t>helper:</t>
        </is>
      </c>
    </row>
    <row r="20">
      <c r="H20" s="45">
        <f>(TARGET_PAY+LL_TRIBAL_TOTAL)-LL_STD</f>
        <v/>
      </c>
    </row>
  </sheetData>
  <mergeCells count="1">
    <mergeCell ref="B14:G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N13"/>
  <sheetViews>
    <sheetView showGridLines="0" workbookViewId="0">
      <selection activeCell="A1" sqref="A1"/>
    </sheetView>
  </sheetViews>
  <sheetFormatPr baseColWidth="8" defaultRowHeight="15"/>
  <cols>
    <col width="3" customWidth="1" min="1" max="1"/>
    <col width="3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2">
      <c r="B2" s="46" t="inlineStr">
        <is>
          <t>Subscriber Build — 12 months (Expected scenario)</t>
        </is>
      </c>
    </row>
    <row r="3">
      <c r="B3" s="3" t="inlineStr">
        <is>
          <t>Scenario multipliers: Conservative 0.6x / Expected 1.0x / Aggressive 1.5x applied to enrollments.</t>
        </is>
      </c>
    </row>
    <row r="5">
      <c r="B5" s="15" t="inlineStr">
        <is>
          <t>Metric</t>
        </is>
      </c>
      <c r="C5" s="15" t="inlineStr">
        <is>
          <t>M1</t>
        </is>
      </c>
      <c r="D5" s="15" t="inlineStr">
        <is>
          <t>M2</t>
        </is>
      </c>
      <c r="E5" s="15" t="inlineStr">
        <is>
          <t>M3</t>
        </is>
      </c>
      <c r="F5" s="15" t="inlineStr">
        <is>
          <t>M4</t>
        </is>
      </c>
      <c r="G5" s="15" t="inlineStr">
        <is>
          <t>M5</t>
        </is>
      </c>
      <c r="H5" s="15" t="inlineStr">
        <is>
          <t>M6</t>
        </is>
      </c>
      <c r="I5" s="15" t="inlineStr">
        <is>
          <t>M7</t>
        </is>
      </c>
      <c r="J5" s="15" t="inlineStr">
        <is>
          <t>M8</t>
        </is>
      </c>
      <c r="K5" s="15" t="inlineStr">
        <is>
          <t>M9</t>
        </is>
      </c>
      <c r="L5" s="15" t="inlineStr">
        <is>
          <t>M10</t>
        </is>
      </c>
      <c r="M5" s="15" t="inlineStr">
        <is>
          <t>M11</t>
        </is>
      </c>
      <c r="N5" s="15" t="inlineStr">
        <is>
          <t>M12</t>
        </is>
      </c>
    </row>
    <row r="6">
      <c r="B6" s="47" t="inlineStr">
        <is>
          <t>Scenario multiplier (0.6/1.0/1.5)</t>
        </is>
      </c>
      <c r="C6" s="48" t="n">
        <v>1</v>
      </c>
    </row>
    <row r="8">
      <c r="B8" s="30" t="inlineStr">
        <is>
          <t>Beginning active subs</t>
        </is>
      </c>
      <c r="C8" s="49" t="n">
        <v>0</v>
      </c>
      <c r="D8" s="49">
        <f>C11</f>
        <v/>
      </c>
      <c r="E8" s="49">
        <f>D11</f>
        <v/>
      </c>
      <c r="F8" s="49">
        <f>E11</f>
        <v/>
      </c>
      <c r="G8" s="49">
        <f>F11</f>
        <v/>
      </c>
      <c r="H8" s="49">
        <f>G11</f>
        <v/>
      </c>
      <c r="I8" s="49">
        <f>H11</f>
        <v/>
      </c>
      <c r="J8" s="49">
        <f>I11</f>
        <v/>
      </c>
      <c r="K8" s="49">
        <f>J11</f>
        <v/>
      </c>
      <c r="L8" s="49">
        <f>K11</f>
        <v/>
      </c>
      <c r="M8" s="49">
        <f>L11</f>
        <v/>
      </c>
      <c r="N8" s="49">
        <f>M11</f>
        <v/>
      </c>
    </row>
    <row r="9">
      <c r="B9" s="33" t="inlineStr">
        <is>
          <t>Gross new enrollments</t>
        </is>
      </c>
      <c r="C9" s="49">
        <f>ROUND(ENROLL_MO*SCEN_MULT,0)</f>
        <v/>
      </c>
      <c r="D9" s="49">
        <f>ROUND(ENROLL_MO*SCEN_MULT,0)</f>
        <v/>
      </c>
      <c r="E9" s="49">
        <f>ROUND(ENROLL_MO*SCEN_MULT,0)</f>
        <v/>
      </c>
      <c r="F9" s="49">
        <f>ROUND(ENROLL_MO*SCEN_MULT,0)</f>
        <v/>
      </c>
      <c r="G9" s="49">
        <f>ROUND(ENROLL_MO*SCEN_MULT,0)</f>
        <v/>
      </c>
      <c r="H9" s="49">
        <f>ROUND(ENROLL_MO*SCEN_MULT,0)</f>
        <v/>
      </c>
      <c r="I9" s="49">
        <f>ROUND(ENROLL_MO*SCEN_MULT,0)</f>
        <v/>
      </c>
      <c r="J9" s="49">
        <f>ROUND(ENROLL_MO*SCEN_MULT,0)</f>
        <v/>
      </c>
      <c r="K9" s="49">
        <f>ROUND(ENROLL_MO*SCEN_MULT,0)</f>
        <v/>
      </c>
      <c r="L9" s="49">
        <f>ROUND(ENROLL_MO*SCEN_MULT,0)</f>
        <v/>
      </c>
      <c r="M9" s="49">
        <f>ROUND(ENROLL_MO*SCEN_MULT,0)</f>
        <v/>
      </c>
      <c r="N9" s="49">
        <f>ROUND(ENROLL_MO*SCEN_MULT,0)</f>
        <v/>
      </c>
    </row>
    <row r="10">
      <c r="B10" s="33" t="inlineStr">
        <is>
          <t>De-enrollments (churn)</t>
        </is>
      </c>
      <c r="C10" s="49">
        <f>-ROUND(C8*CHURN,0)</f>
        <v/>
      </c>
      <c r="D10" s="49">
        <f>-ROUND(D8*CHURN,0)</f>
        <v/>
      </c>
      <c r="E10" s="49">
        <f>-ROUND(E8*CHURN,0)</f>
        <v/>
      </c>
      <c r="F10" s="49">
        <f>-ROUND(F8*CHURN,0)</f>
        <v/>
      </c>
      <c r="G10" s="49">
        <f>-ROUND(G8*CHURN,0)</f>
        <v/>
      </c>
      <c r="H10" s="49">
        <f>-ROUND(H8*CHURN,0)</f>
        <v/>
      </c>
      <c r="I10" s="49">
        <f>-ROUND(I8*CHURN,0)</f>
        <v/>
      </c>
      <c r="J10" s="49">
        <f>-ROUND(J8*CHURN,0)</f>
        <v/>
      </c>
      <c r="K10" s="49">
        <f>-ROUND(K8*CHURN,0)</f>
        <v/>
      </c>
      <c r="L10" s="49">
        <f>-ROUND(L8*CHURN,0)</f>
        <v/>
      </c>
      <c r="M10" s="49">
        <f>-ROUND(M8*CHURN,0)</f>
        <v/>
      </c>
      <c r="N10" s="49">
        <f>-ROUND(N8*CHURN,0)</f>
        <v/>
      </c>
    </row>
    <row r="11">
      <c r="B11" s="30" t="inlineStr">
        <is>
          <t>Ending active subs</t>
        </is>
      </c>
      <c r="C11" s="50">
        <f>C8+C9+C10</f>
        <v/>
      </c>
      <c r="D11" s="50">
        <f>D8+D9+D10</f>
        <v/>
      </c>
      <c r="E11" s="50">
        <f>E8+E9+E10</f>
        <v/>
      </c>
      <c r="F11" s="50">
        <f>F8+F9+F10</f>
        <v/>
      </c>
      <c r="G11" s="50">
        <f>G8+G9+G10</f>
        <v/>
      </c>
      <c r="H11" s="50">
        <f>H8+H9+H10</f>
        <v/>
      </c>
      <c r="I11" s="50">
        <f>I8+I9+I10</f>
        <v/>
      </c>
      <c r="J11" s="50">
        <f>J8+J9+J10</f>
        <v/>
      </c>
      <c r="K11" s="50">
        <f>K8+K9+K10</f>
        <v/>
      </c>
      <c r="L11" s="50">
        <f>L8+L9+L10</f>
        <v/>
      </c>
      <c r="M11" s="50">
        <f>M8+M9+M10</f>
        <v/>
      </c>
      <c r="N11" s="50">
        <f>N8+N9+N10</f>
        <v/>
      </c>
    </row>
    <row r="13">
      <c r="B13" s="35" t="inlineStr">
        <is>
          <t>Cohort split (of ending subs) — apply steady-state mix from Assumptions once ramped. Enhanced-Tribal cohort held at 0 until qualifying Tribal lands confirmed.</t>
        </is>
      </c>
      <c r="C13" s="51" t="n"/>
      <c r="D13" s="51" t="n"/>
      <c r="E13" s="51" t="n"/>
      <c r="F13" s="51" t="n"/>
      <c r="G13" s="51" t="n"/>
      <c r="H13" s="51" t="n"/>
      <c r="I13" s="51" t="n"/>
      <c r="J13" s="51" t="n"/>
      <c r="K13" s="51" t="n"/>
      <c r="L13" s="51" t="n"/>
      <c r="M13" s="51" t="n"/>
      <c r="N13" s="52" t="n"/>
    </row>
  </sheetData>
  <mergeCells count="1">
    <mergeCell ref="B13:N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N17"/>
  <sheetViews>
    <sheetView showGridLines="0" workbookViewId="0">
      <selection activeCell="A1" sqref="A1"/>
    </sheetView>
  </sheetViews>
  <sheetFormatPr baseColWidth="8" defaultRowHeight="15"/>
  <cols>
    <col width="3" customWidth="1" min="1" max="1"/>
    <col width="3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2">
      <c r="B2" s="46" t="inlineStr">
        <is>
          <t>Contribution P&amp;L — 12 months (Expected)</t>
        </is>
      </c>
    </row>
    <row r="3">
      <c r="B3" s="3" t="inlineStr">
        <is>
          <t>Uses ending subs from Subscriber Model x per-sub economics. USAC cash lagged by USAC_LAG.</t>
        </is>
      </c>
    </row>
    <row r="5">
      <c r="B5" s="15" t="inlineStr">
        <is>
          <t>Line ($/month)</t>
        </is>
      </c>
      <c r="C5" s="15" t="inlineStr">
        <is>
          <t>M1</t>
        </is>
      </c>
      <c r="D5" s="15" t="inlineStr">
        <is>
          <t>M2</t>
        </is>
      </c>
      <c r="E5" s="15" t="inlineStr">
        <is>
          <t>M3</t>
        </is>
      </c>
      <c r="F5" s="15" t="inlineStr">
        <is>
          <t>M4</t>
        </is>
      </c>
      <c r="G5" s="15" t="inlineStr">
        <is>
          <t>M5</t>
        </is>
      </c>
      <c r="H5" s="15" t="inlineStr">
        <is>
          <t>M6</t>
        </is>
      </c>
      <c r="I5" s="15" t="inlineStr">
        <is>
          <t>M7</t>
        </is>
      </c>
      <c r="J5" s="15" t="inlineStr">
        <is>
          <t>M8</t>
        </is>
      </c>
      <c r="K5" s="15" t="inlineStr">
        <is>
          <t>M9</t>
        </is>
      </c>
      <c r="L5" s="15" t="inlineStr">
        <is>
          <t>M10</t>
        </is>
      </c>
      <c r="M5" s="15" t="inlineStr">
        <is>
          <t>M11</t>
        </is>
      </c>
      <c r="N5" s="15" t="inlineStr">
        <is>
          <t>M12</t>
        </is>
      </c>
    </row>
    <row r="6">
      <c r="B6" s="33" t="inlineStr">
        <is>
          <t>Active subs (end)</t>
        </is>
      </c>
      <c r="C6" s="49">
        <f>'Subscriber Model'!C11</f>
        <v/>
      </c>
      <c r="D6" s="49">
        <f>'Subscriber Model'!D11</f>
        <v/>
      </c>
      <c r="E6" s="49">
        <f>'Subscriber Model'!E11</f>
        <v/>
      </c>
      <c r="F6" s="49">
        <f>'Subscriber Model'!F11</f>
        <v/>
      </c>
      <c r="G6" s="49">
        <f>'Subscriber Model'!G11</f>
        <v/>
      </c>
      <c r="H6" s="49">
        <f>'Subscriber Model'!H11</f>
        <v/>
      </c>
      <c r="I6" s="49">
        <f>'Subscriber Model'!I11</f>
        <v/>
      </c>
      <c r="J6" s="49">
        <f>'Subscriber Model'!J11</f>
        <v/>
      </c>
      <c r="K6" s="49">
        <f>'Subscriber Model'!K11</f>
        <v/>
      </c>
      <c r="L6" s="49">
        <f>'Subscriber Model'!L11</f>
        <v/>
      </c>
      <c r="M6" s="49">
        <f>'Subscriber Model'!M11</f>
        <v/>
      </c>
      <c r="N6" s="49">
        <f>'Subscriber Model'!N11</f>
        <v/>
      </c>
    </row>
    <row r="7">
      <c r="B7" s="33" t="inlineStr">
        <is>
          <t>Customer payments ($)</t>
        </is>
      </c>
      <c r="C7" s="53">
        <f>C7*TARGET_PAY</f>
        <v/>
      </c>
      <c r="D7" s="53">
        <f>D7*TARGET_PAY</f>
        <v/>
      </c>
      <c r="E7" s="53">
        <f>E7*TARGET_PAY</f>
        <v/>
      </c>
      <c r="F7" s="53">
        <f>F7*TARGET_PAY</f>
        <v/>
      </c>
      <c r="G7" s="53">
        <f>G7*TARGET_PAY</f>
        <v/>
      </c>
      <c r="H7" s="53">
        <f>H7*TARGET_PAY</f>
        <v/>
      </c>
      <c r="I7" s="53">
        <f>I7*TARGET_PAY</f>
        <v/>
      </c>
      <c r="J7" s="53">
        <f>J7*TARGET_PAY</f>
        <v/>
      </c>
      <c r="K7" s="53">
        <f>K7*TARGET_PAY</f>
        <v/>
      </c>
      <c r="L7" s="53">
        <f>L7*TARGET_PAY</f>
        <v/>
      </c>
      <c r="M7" s="53">
        <f>M7*TARGET_PAY</f>
        <v/>
      </c>
      <c r="N7" s="53">
        <f>N7*TARGET_PAY</f>
        <v/>
      </c>
    </row>
    <row r="8">
      <c r="B8" s="33" t="inlineStr">
        <is>
          <t>USAC reimb — accrued ($)</t>
        </is>
      </c>
      <c r="C8" s="53">
        <f>(C7)*LL_STD</f>
        <v/>
      </c>
      <c r="D8" s="53">
        <f>(D7)*LL_STD</f>
        <v/>
      </c>
      <c r="E8" s="53">
        <f>(E7)*LL_STD</f>
        <v/>
      </c>
      <c r="F8" s="53">
        <f>(F7)*LL_STD</f>
        <v/>
      </c>
      <c r="G8" s="53">
        <f>(G7)*LL_STD</f>
        <v/>
      </c>
      <c r="H8" s="53">
        <f>(H7)*LL_STD</f>
        <v/>
      </c>
      <c r="I8" s="53">
        <f>(I7)*LL_STD</f>
        <v/>
      </c>
      <c r="J8" s="53">
        <f>(J7)*LL_STD</f>
        <v/>
      </c>
      <c r="K8" s="53">
        <f>(K7)*LL_STD</f>
        <v/>
      </c>
      <c r="L8" s="53">
        <f>(L7)*LL_STD</f>
        <v/>
      </c>
      <c r="M8" s="53">
        <f>(M7)*LL_STD</f>
        <v/>
      </c>
      <c r="N8" s="53">
        <f>(N7)*LL_STD</f>
        <v/>
      </c>
    </row>
    <row r="9">
      <c r="B9" s="33" t="inlineStr">
        <is>
          <t>USAC reimb — CASH (lagged) ($)</t>
        </is>
      </c>
      <c r="C9" s="53">
        <f>0</f>
        <v/>
      </c>
      <c r="D9" s="53">
        <f>C9</f>
        <v/>
      </c>
      <c r="E9" s="53">
        <f>D9</f>
        <v/>
      </c>
      <c r="F9" s="53">
        <f>E9</f>
        <v/>
      </c>
      <c r="G9" s="53">
        <f>F9</f>
        <v/>
      </c>
      <c r="H9" s="53">
        <f>G9</f>
        <v/>
      </c>
      <c r="I9" s="53">
        <f>H9</f>
        <v/>
      </c>
      <c r="J9" s="53">
        <f>I9</f>
        <v/>
      </c>
      <c r="K9" s="53">
        <f>J9</f>
        <v/>
      </c>
      <c r="L9" s="53">
        <f>K9</f>
        <v/>
      </c>
      <c r="M9" s="53">
        <f>L9</f>
        <v/>
      </c>
      <c r="N9" s="53">
        <f>M9</f>
        <v/>
      </c>
    </row>
    <row r="10">
      <c r="B10" s="33" t="inlineStr">
        <is>
          <t>RIVR-funded subsidy ($)</t>
        </is>
      </c>
      <c r="C10" s="49">
        <f>-C7*RIVR_DISC</f>
        <v/>
      </c>
      <c r="D10" s="49">
        <f>-D7*RIVR_DISC</f>
        <v/>
      </c>
      <c r="E10" s="49">
        <f>-E7*RIVR_DISC</f>
        <v/>
      </c>
      <c r="F10" s="49">
        <f>-F7*RIVR_DISC</f>
        <v/>
      </c>
      <c r="G10" s="49">
        <f>-G7*RIVR_DISC</f>
        <v/>
      </c>
      <c r="H10" s="49">
        <f>-H7*RIVR_DISC</f>
        <v/>
      </c>
      <c r="I10" s="49">
        <f>-I7*RIVR_DISC</f>
        <v/>
      </c>
      <c r="J10" s="49">
        <f>-J7*RIVR_DISC</f>
        <v/>
      </c>
      <c r="K10" s="49">
        <f>-K7*RIVR_DISC</f>
        <v/>
      </c>
      <c r="L10" s="49">
        <f>-L7*RIVR_DISC</f>
        <v/>
      </c>
      <c r="M10" s="49">
        <f>-M7*RIVR_DISC</f>
        <v/>
      </c>
      <c r="N10" s="49">
        <f>-N7*RIVR_DISC</f>
        <v/>
      </c>
    </row>
    <row r="11">
      <c r="B11" s="33" t="inlineStr">
        <is>
          <t>Tribe settlement ($)</t>
        </is>
      </c>
      <c r="C11" s="53">
        <f>C7*TRIBE_DISC</f>
        <v/>
      </c>
      <c r="D11" s="53">
        <f>D7*TRIBE_DISC</f>
        <v/>
      </c>
      <c r="E11" s="53">
        <f>E7*TRIBE_DISC</f>
        <v/>
      </c>
      <c r="F11" s="53">
        <f>F7*TRIBE_DISC</f>
        <v/>
      </c>
      <c r="G11" s="53">
        <f>G7*TRIBE_DISC</f>
        <v/>
      </c>
      <c r="H11" s="53">
        <f>H7*TRIBE_DISC</f>
        <v/>
      </c>
      <c r="I11" s="53">
        <f>I7*TRIBE_DISC</f>
        <v/>
      </c>
      <c r="J11" s="53">
        <f>J7*TRIBE_DISC</f>
        <v/>
      </c>
      <c r="K11" s="53">
        <f>K7*TRIBE_DISC</f>
        <v/>
      </c>
      <c r="L11" s="53">
        <f>L7*TRIBE_DISC</f>
        <v/>
      </c>
      <c r="M11" s="53">
        <f>M7*TRIBE_DISC</f>
        <v/>
      </c>
      <c r="N11" s="53">
        <f>N7*TRIBE_DISC</f>
        <v/>
      </c>
    </row>
    <row r="12">
      <c r="B12" s="33" t="inlineStr">
        <is>
          <t>Variable+admin cost ($)</t>
        </is>
      </c>
      <c r="C12" s="53">
        <f>-C7*(VAR_COST+ADMIN_COST)</f>
        <v/>
      </c>
      <c r="D12" s="53">
        <f>-D7*(VAR_COST+ADMIN_COST)</f>
        <v/>
      </c>
      <c r="E12" s="53">
        <f>-E7*(VAR_COST+ADMIN_COST)</f>
        <v/>
      </c>
      <c r="F12" s="53">
        <f>-F7*(VAR_COST+ADMIN_COST)</f>
        <v/>
      </c>
      <c r="G12" s="53">
        <f>-G7*(VAR_COST+ADMIN_COST)</f>
        <v/>
      </c>
      <c r="H12" s="53">
        <f>-H7*(VAR_COST+ADMIN_COST)</f>
        <v/>
      </c>
      <c r="I12" s="53">
        <f>-I7*(VAR_COST+ADMIN_COST)</f>
        <v/>
      </c>
      <c r="J12" s="53">
        <f>-J7*(VAR_COST+ADMIN_COST)</f>
        <v/>
      </c>
      <c r="K12" s="53">
        <f>-K7*(VAR_COST+ADMIN_COST)</f>
        <v/>
      </c>
      <c r="L12" s="53">
        <f>-L7*(VAR_COST+ADMIN_COST)</f>
        <v/>
      </c>
      <c r="M12" s="53">
        <f>-M7*(VAR_COST+ADMIN_COST)</f>
        <v/>
      </c>
      <c r="N12" s="53">
        <f>-N7*(VAR_COST+ADMIN_COST)</f>
        <v/>
      </c>
    </row>
    <row r="13">
      <c r="B13" s="33" t="inlineStr">
        <is>
          <t>Acquisition cost ($)</t>
        </is>
      </c>
      <c r="C13" s="53">
        <f>-'Subscriber Model'!C9*CAC</f>
        <v/>
      </c>
      <c r="D13" s="53">
        <f>-'Subscriber Model'!D9*CAC</f>
        <v/>
      </c>
      <c r="E13" s="53">
        <f>-'Subscriber Model'!E9*CAC</f>
        <v/>
      </c>
      <c r="F13" s="53">
        <f>-'Subscriber Model'!F9*CAC</f>
        <v/>
      </c>
      <c r="G13" s="53">
        <f>-'Subscriber Model'!G9*CAC</f>
        <v/>
      </c>
      <c r="H13" s="53">
        <f>-'Subscriber Model'!H9*CAC</f>
        <v/>
      </c>
      <c r="I13" s="53">
        <f>-'Subscriber Model'!I9*CAC</f>
        <v/>
      </c>
      <c r="J13" s="53">
        <f>-'Subscriber Model'!J9*CAC</f>
        <v/>
      </c>
      <c r="K13" s="53">
        <f>-'Subscriber Model'!K9*CAC</f>
        <v/>
      </c>
      <c r="L13" s="53">
        <f>-'Subscriber Model'!L9*CAC</f>
        <v/>
      </c>
      <c r="M13" s="53">
        <f>-'Subscriber Model'!M9*CAC</f>
        <v/>
      </c>
      <c r="N13" s="53">
        <f>-'Subscriber Model'!N9*CAC</f>
        <v/>
      </c>
    </row>
    <row r="14">
      <c r="B14" s="33" t="inlineStr">
        <is>
          <t>Bad debt ($)</t>
        </is>
      </c>
      <c r="C14" s="53">
        <f>-C7*TARGET_PAY*BADDEBT</f>
        <v/>
      </c>
      <c r="D14" s="53">
        <f>-D7*TARGET_PAY*BADDEBT</f>
        <v/>
      </c>
      <c r="E14" s="53">
        <f>-E7*TARGET_PAY*BADDEBT</f>
        <v/>
      </c>
      <c r="F14" s="53">
        <f>-F7*TARGET_PAY*BADDEBT</f>
        <v/>
      </c>
      <c r="G14" s="53">
        <f>-G7*TARGET_PAY*BADDEBT</f>
        <v/>
      </c>
      <c r="H14" s="53">
        <f>-H7*TARGET_PAY*BADDEBT</f>
        <v/>
      </c>
      <c r="I14" s="53">
        <f>-I7*TARGET_PAY*BADDEBT</f>
        <v/>
      </c>
      <c r="J14" s="53">
        <f>-J7*TARGET_PAY*BADDEBT</f>
        <v/>
      </c>
      <c r="K14" s="53">
        <f>-K7*TARGET_PAY*BADDEBT</f>
        <v/>
      </c>
      <c r="L14" s="53">
        <f>-L7*TARGET_PAY*BADDEBT</f>
        <v/>
      </c>
      <c r="M14" s="53">
        <f>-M7*TARGET_PAY*BADDEBT</f>
        <v/>
      </c>
      <c r="N14" s="53">
        <f>-N7*TARGET_PAY*BADDEBT</f>
        <v/>
      </c>
    </row>
    <row r="15">
      <c r="B15" s="31">
        <f> CONTRIBUTION MARGIN (accrual $)</f>
        <v/>
      </c>
      <c r="C15" s="54">
        <f>C7+C8+C10+C11+C12+C13+C14</f>
        <v/>
      </c>
      <c r="D15" s="54">
        <f>D7+D8+D10+D11+D12+D13+D14</f>
        <v/>
      </c>
      <c r="E15" s="54">
        <f>E7+E8+E10+E11+E12+E13+E14</f>
        <v/>
      </c>
      <c r="F15" s="54">
        <f>F7+F8+F10+F11+F12+F13+F14</f>
        <v/>
      </c>
      <c r="G15" s="54">
        <f>G7+G8+G10+G11+G12+G13+G14</f>
        <v/>
      </c>
      <c r="H15" s="54">
        <f>H7+H8+H10+H11+H12+H13+H14</f>
        <v/>
      </c>
      <c r="I15" s="54">
        <f>I7+I8+I10+I11+I12+I13+I14</f>
        <v/>
      </c>
      <c r="J15" s="54">
        <f>J7+J8+J10+J11+J12+J13+J14</f>
        <v/>
      </c>
      <c r="K15" s="54">
        <f>K7+K8+K10+K11+K12+K13+K14</f>
        <v/>
      </c>
      <c r="L15" s="54">
        <f>L7+L8+L10+L11+L12+L13+L14</f>
        <v/>
      </c>
      <c r="M15" s="54">
        <f>M7+M8+M10+M11+M12+M13+M14</f>
        <v/>
      </c>
      <c r="N15" s="54">
        <f>N7+N8+N10+N11+N12+N13+N14</f>
        <v/>
      </c>
    </row>
    <row r="17">
      <c r="B17" s="35" t="inlineStr">
        <is>
          <t>Note: 'active subs' here uses the blended ending count. For mixed cohorts, extend the model per cohort (std-LL, tribal, no-LL). USAC cash column lags accrual by 1 month (USAC_LAG).</t>
        </is>
      </c>
      <c r="C17" s="51" t="n"/>
      <c r="D17" s="51" t="n"/>
      <c r="E17" s="51" t="n"/>
      <c r="F17" s="51" t="n"/>
      <c r="G17" s="51" t="n"/>
      <c r="H17" s="51" t="n"/>
      <c r="I17" s="51" t="n"/>
      <c r="J17" s="51" t="n"/>
      <c r="K17" s="51" t="n"/>
      <c r="L17" s="51" t="n"/>
      <c r="M17" s="51" t="n"/>
      <c r="N17" s="52" t="n"/>
    </row>
  </sheetData>
  <mergeCells count="1">
    <mergeCell ref="B17:N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D16"/>
  <sheetViews>
    <sheetView showGridLines="0" workbookViewId="0">
      <selection activeCell="A1" sqref="A1"/>
    </sheetView>
  </sheetViews>
  <sheetFormatPr baseColWidth="8" defaultRowHeight="15"/>
  <cols>
    <col width="3" customWidth="1" min="1" max="1"/>
    <col width="46" customWidth="1" min="2" max="2"/>
    <col width="16" customWidth="1" min="3" max="3"/>
    <col width="60" customWidth="1" min="4" max="4"/>
  </cols>
  <sheetData>
    <row r="2">
      <c r="B2" s="2" t="inlineStr">
        <is>
          <t>Break-even &amp; Sustainability</t>
        </is>
      </c>
    </row>
    <row r="5">
      <c r="B5" s="15" t="inlineStr">
        <is>
          <t>Metric</t>
        </is>
      </c>
      <c r="C5" s="15" t="inlineStr">
        <is>
          <t>Value</t>
        </is>
      </c>
      <c r="D5" s="15" t="inlineStr">
        <is>
          <t>Note</t>
        </is>
      </c>
    </row>
    <row r="6">
      <c r="B6" s="30" t="inlineStr">
        <is>
          <t>Contribution margin / std-LL senior / mo</t>
        </is>
      </c>
      <c r="C6" s="53">
        <f>'Pricing Matrix'!H18</f>
        <v/>
      </c>
      <c r="D6" s="35" t="inlineStr">
        <is>
          <t>From Pricing Matrix, scenario (6)</t>
        </is>
      </c>
    </row>
    <row r="7">
      <c r="B7" s="30" t="inlineStr">
        <is>
          <t>Contribution margin / no-LL senior / mo</t>
        </is>
      </c>
      <c r="C7" s="53">
        <f>TARGET_PAY-VAR_COST-ADMIN_COST-(RETAIL_SENIOR-LL_STD-TARGET_PAY)</f>
        <v/>
      </c>
      <c r="D7" s="35" t="inlineStr">
        <is>
          <t>Company funds full gap; often negative</t>
        </is>
      </c>
    </row>
    <row r="8">
      <c r="B8" s="30" t="inlineStr">
        <is>
          <t>Monthly RIVR subsidy — no-LL cohort</t>
        </is>
      </c>
      <c r="C8" s="53">
        <f>N_NOLL*(RETAIL_SENIOR-TARGET_PAY-TRIBE_DISC)</f>
        <v/>
      </c>
      <c r="D8" s="35" t="inlineStr">
        <is>
          <t>Alt D company exposure, no-LL seniors</t>
        </is>
      </c>
    </row>
    <row r="9">
      <c r="B9" s="30" t="inlineStr">
        <is>
          <t>Monthly RIVR subsidy — std-LL cohort</t>
        </is>
      </c>
      <c r="C9" s="53">
        <f>N_STD*MAX(0,RETAIL_SENIOR-LL_STD-TARGET_PAY-TRIBE_DISC)</f>
        <v/>
      </c>
      <c r="D9" s="35" t="inlineStr">
        <is>
          <t>Alt D company exposure, std-LL seniors</t>
        </is>
      </c>
    </row>
    <row r="10">
      <c r="B10" s="30" t="inlineStr">
        <is>
          <t>Total monthly company subsidy</t>
        </is>
      </c>
      <c r="C10" s="53">
        <f>B10+B11</f>
        <v/>
      </c>
      <c r="D10" s="35" t="inlineStr">
        <is>
          <t>Sum of company-funded exposure</t>
        </is>
      </c>
    </row>
    <row r="11">
      <c r="B11" s="30" t="inlineStr">
        <is>
          <t>Annual company subsidy</t>
        </is>
      </c>
      <c r="C11" s="53">
        <f>C12*12</f>
        <v/>
      </c>
      <c r="D11" s="35" t="inlineStr">
        <is>
          <t>For budgeting</t>
        </is>
      </c>
    </row>
    <row r="12">
      <c r="B12" s="30" t="inlineStr">
        <is>
          <t>USAC monthly reimbursement (all LL subs)</t>
        </is>
      </c>
      <c r="C12" s="53">
        <f>N_STD*LL_STD+N_TRIBAL*LL_TRIBAL_TOTAL</f>
        <v/>
      </c>
      <c r="D12" s="35" t="inlineStr">
        <is>
          <t>Federal support inflow</t>
        </is>
      </c>
    </row>
    <row r="14">
      <c r="B14" s="20" t="inlineStr">
        <is>
          <t>Sustainability test: the program is self-sustaining when contribution margin across the Lifeline-supported cohorts covers the company-funded subsidy to the non-Lifeline cohort plus fixed program overhead. Maximizing National Verifier approval rate (moving seniors from the no-LL cohort to the std-LL cohort) is the single biggest lever.</t>
        </is>
      </c>
      <c r="C14" s="36" t="n"/>
      <c r="D14" s="37" t="n"/>
    </row>
    <row r="15">
      <c r="B15" s="38" t="n"/>
      <c r="D15" s="39" t="n"/>
    </row>
    <row r="16">
      <c r="B16" s="40" t="n"/>
      <c r="C16" s="41" t="n"/>
      <c r="D16" s="42" t="n"/>
    </row>
  </sheetData>
  <mergeCells count="1">
    <mergeCell ref="B14:D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E14"/>
  <sheetViews>
    <sheetView showGridLines="0" workbookViewId="0">
      <selection activeCell="A1" sqref="A1"/>
    </sheetView>
  </sheetViews>
  <sheetFormatPr baseColWidth="8" defaultRowHeight="15"/>
  <cols>
    <col width="3" customWidth="1" min="1" max="1"/>
    <col width="40" customWidth="1" min="2" max="2"/>
    <col width="16" customWidth="1" min="3" max="3"/>
    <col width="16" customWidth="1" min="4" max="4"/>
    <col width="16" customWidth="1" min="5" max="5"/>
  </cols>
  <sheetData>
    <row r="2">
      <c r="B2" s="2" t="inlineStr">
        <is>
          <t>36-Month Scenario Summary</t>
        </is>
      </c>
    </row>
    <row r="3">
      <c r="B3" s="3" t="inlineStr">
        <is>
          <t>Steady-state annualized view. Adjust volumes in Assumptions; multiplier column shows sensitivity.</t>
        </is>
      </c>
    </row>
    <row r="5">
      <c r="B5" s="15" t="inlineStr">
        <is>
          <t>Metric (annual, steady-state)</t>
        </is>
      </c>
      <c r="C5" s="15" t="inlineStr">
        <is>
          <t>Conservative 0.6x</t>
        </is>
      </c>
      <c r="D5" s="15" t="inlineStr">
        <is>
          <t>Expected 1.0x</t>
        </is>
      </c>
      <c r="E5" s="15" t="inlineStr">
        <is>
          <t>Aggressive 1.5x</t>
        </is>
      </c>
    </row>
    <row r="6">
      <c r="B6" s="30" t="inlineStr">
        <is>
          <t>Total Lifeline subs</t>
        </is>
      </c>
      <c r="C6" s="49">
        <f>ROUND((N_STD+N_TRIBAL)*0.6,0)</f>
        <v/>
      </c>
      <c r="D6" s="49">
        <f>ROUND((N_STD+N_TRIBAL)*1.0,0)</f>
        <v/>
      </c>
      <c r="E6" s="49">
        <f>ROUND((N_STD+N_TRIBAL)*1.5,0)</f>
        <v/>
      </c>
    </row>
    <row r="7">
      <c r="B7" s="30" t="inlineStr">
        <is>
          <t>USAC reimbursement / yr</t>
        </is>
      </c>
      <c r="C7" s="53">
        <f>(N_STD*LL_STD+N_TRIBAL*LL_TRIBAL_TOTAL)*12*0.6</f>
        <v/>
      </c>
      <c r="D7" s="53">
        <f>(N_STD*LL_STD+N_TRIBAL*LL_TRIBAL_TOTAL)*12*1.0</f>
        <v/>
      </c>
      <c r="E7" s="53">
        <f>(N_STD*LL_STD+N_TRIBAL*LL_TRIBAL_TOTAL)*12*1.5</f>
        <v/>
      </c>
    </row>
    <row r="8">
      <c r="B8" s="30" t="inlineStr">
        <is>
          <t>Customer payments / yr</t>
        </is>
      </c>
      <c r="C8" s="53">
        <f>(N_STD+N_TRIBAL+N_NOLL)*TARGET_PAY*12*0.6</f>
        <v/>
      </c>
      <c r="D8" s="53">
        <f>(N_STD+N_TRIBAL+N_NOLL)*TARGET_PAY*12*1.0</f>
        <v/>
      </c>
      <c r="E8" s="53">
        <f>(N_STD+N_TRIBAL+N_NOLL)*TARGET_PAY*12*1.5</f>
        <v/>
      </c>
    </row>
    <row r="9">
      <c r="B9" s="30" t="inlineStr">
        <is>
          <t>Company subsidy / yr</t>
        </is>
      </c>
      <c r="C9" s="53">
        <f>(N_NOLL*(RETAIL_SENIOR-TARGET_PAY)+N_STD*MAX(0,RETAIL_SENIOR-LL_STD-TARGET_PAY))*12*0.6</f>
        <v/>
      </c>
      <c r="D9" s="53">
        <f>(N_NOLL*(RETAIL_SENIOR-TARGET_PAY)+N_STD*MAX(0,RETAIL_SENIOR-LL_STD-TARGET_PAY))*12*1.0</f>
        <v/>
      </c>
      <c r="E9" s="53">
        <f>(N_NOLL*(RETAIL_SENIOR-TARGET_PAY)+N_STD*MAX(0,RETAIL_SENIOR-LL_STD-TARGET_PAY))*12*1.5</f>
        <v/>
      </c>
    </row>
    <row r="10">
      <c r="B10" s="30" t="inlineStr">
        <is>
          <t>Variable+admin cost / yr</t>
        </is>
      </c>
      <c r="C10" s="53">
        <f>(N_STD+N_TRIBAL+N_NOLL)*(VAR_COST+ADMIN_COST)*12*0.6</f>
        <v/>
      </c>
      <c r="D10" s="53">
        <f>(N_STD+N_TRIBAL+N_NOLL)*(VAR_COST+ADMIN_COST)*12*1.0</f>
        <v/>
      </c>
      <c r="E10" s="53">
        <f>(N_STD+N_TRIBAL+N_NOLL)*(VAR_COST+ADMIN_COST)*12*1.5</f>
        <v/>
      </c>
    </row>
    <row r="11">
      <c r="B11" s="30" t="inlineStr">
        <is>
          <t>Contribution margin / yr</t>
        </is>
      </c>
      <c r="C11" s="53">
        <f>C7+C8-C9-C10</f>
        <v/>
      </c>
      <c r="D11" s="53">
        <f>D7+D8-D9-D10</f>
        <v/>
      </c>
      <c r="E11" s="53">
        <f>E7+E8-E9-E10</f>
        <v/>
      </c>
    </row>
    <row r="13">
      <c r="B13" s="35" t="inlineStr">
        <is>
          <t>Contribution margin here = customer payments + USAC − company subsidy − variable/admin. Sign depends heavily on the (placeholder) retail rate and cost inputs; replace before relying on it.</t>
        </is>
      </c>
      <c r="C13" s="36" t="n"/>
      <c r="D13" s="36" t="n"/>
      <c r="E13" s="37" t="n"/>
    </row>
    <row r="14">
      <c r="B14" s="40" t="n"/>
      <c r="C14" s="41" t="n"/>
      <c r="D14" s="41" t="n"/>
      <c r="E14" s="42" t="n"/>
    </row>
  </sheetData>
  <mergeCells count="1">
    <mergeCell ref="B13: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2026-08-06T19:33:58Z</dcterms:created>
  <dcterms:modified xmlns:dcterms="http://purl.org/dc/terms/" xmlns:xsi="http://www.w3.org/2001/XMLSchema-instance" xsi:type="dcterms:W3CDTF">2026-08-06T19:33:58Z</dcterms:modified>
</cp:coreProperties>
</file>