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3"/>
    </font>
    <font>
      <i val="1"/>
      <color rgb="00595959"/>
      <sz val="11"/>
    </font>
    <font>
      <sz val="11"/>
    </font>
    <font>
      <b val="1"/>
      <color rgb="00C00000"/>
      <sz val="10"/>
    </font>
    <font>
      <b val="1"/>
      <sz val="9"/>
    </font>
    <font>
      <sz val="9"/>
    </font>
    <font>
      <b val="1"/>
      <color rgb="00FFFFFF"/>
      <sz val="10"/>
    </font>
    <font>
      <b val="1"/>
      <color rgb="00000000"/>
      <sz val="9"/>
    </font>
    <font>
      <b val="1"/>
      <color rgb="00C00000"/>
      <sz val="9"/>
    </font>
    <font>
      <color rgb="00000000"/>
      <sz val="10"/>
    </font>
    <font>
      <color rgb="00000000"/>
      <sz val="9"/>
    </font>
    <font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pivotButton="0" quotePrefix="0" xfId="0"/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top" wrapText="1"/>
    </xf>
    <xf numFmtId="164" fontId="11" fillId="4" borderId="1" pivotButton="0" quotePrefix="0" xfId="0"/>
    <xf numFmtId="3" fontId="11" fillId="2" borderId="1" pivotButton="0" quotePrefix="0" xfId="0"/>
    <xf numFmtId="2" fontId="11" fillId="0" borderId="1" pivotButton="0" quotePrefix="0" xfId="0"/>
    <xf numFmtId="0" fontId="12" fillId="2" borderId="1" pivotButton="0" quotePrefix="0" xfId="0"/>
    <xf numFmtId="0" fontId="12" fillId="7" borderId="1" applyAlignment="1" pivotButton="0" quotePrefix="0" xfId="0">
      <alignment vertical="top" wrapText="1"/>
    </xf>
    <xf numFmtId="0" fontId="13" fillId="8" borderId="1" pivotButton="0" quotePrefix="0" xfId="0"/>
    <xf numFmtId="2" fontId="13" fillId="8" borderId="1" pivotButton="0" quotePrefix="0" xfId="0"/>
    <xf numFmtId="0" fontId="13" fillId="7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RIVR Tech — Lifeline &amp; Lumbee Broadband Affordability</t>
        </is>
      </c>
    </row>
    <row r="3">
      <c r="B3" s="2" t="inlineStr">
        <is>
          <t>Executive Readiness Scorecard  (Deliverable 12)</t>
        </is>
      </c>
    </row>
    <row r="5">
      <c r="B5" s="3" t="inlineStr">
        <is>
          <t>LREMC Technologies, LLC d/b/a RIVR Tech</t>
        </is>
      </c>
    </row>
    <row r="7">
      <c r="B7" s="4" t="inlineStr">
        <is>
          <t>Owner:  Program Owner + noted functional owners</t>
        </is>
      </c>
    </row>
    <row r="8">
      <c r="B8" s="4" t="inlineStr">
        <is>
          <t>Version:  v0.1 — DRAFT (build phase, ETC application pending)</t>
        </is>
      </c>
    </row>
    <row r="9">
      <c r="B9" s="4" t="inlineStr">
        <is>
          <t>Source basis:  00_Regulatory_Source_Register.md (refs 'SR-x.y')</t>
        </is>
      </c>
    </row>
    <row r="10">
      <c r="B10" s="4" t="inlineStr">
        <is>
          <t>Status:  PRE-DECISION. Confirm all placeholder figures before reliance.</t>
        </is>
      </c>
    </row>
    <row r="12" ht="80" customHeight="1">
      <c r="B12" s="5" t="inlineStr">
        <is>
          <t>Weighted go/no-go gate. The program MUST NOT launch while any 'Gate' item is Red. Enhanced-Tribal readiness is intentionally gated on a written Tribal-lands determination.</t>
        </is>
      </c>
    </row>
    <row r="15">
      <c r="B15" s="6" t="inlineStr">
        <is>
          <t>Legend:</t>
        </is>
      </c>
    </row>
    <row r="16">
      <c r="B16" s="7" t="inlineStr">
        <is>
          <t>INPUT — edit me</t>
        </is>
      </c>
    </row>
    <row r="17">
      <c r="B17" s="8" t="inlineStr">
        <is>
          <t>PLACEHOLDER — replace w/ confirmed figure</t>
        </is>
      </c>
    </row>
    <row r="18">
      <c r="B18" s="9" t="inlineStr">
        <is>
          <t>PROGRAM CONSTANT — re-verify each year</t>
        </is>
      </c>
    </row>
    <row r="19">
      <c r="B19" s="10" t="inlineStr">
        <is>
          <t>CALCULATED — do not 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0" customWidth="1" min="3" max="3"/>
    <col width="12" customWidth="1" min="4" max="4"/>
    <col width="12" customWidth="1" min="5" max="5"/>
    <col width="10" customWidth="1" min="6" max="6"/>
    <col width="34" customWidth="1" min="7" max="7"/>
  </cols>
  <sheetData>
    <row r="2">
      <c r="B2" s="2" t="inlineStr">
        <is>
          <t>Executive Readiness Scorecard</t>
        </is>
      </c>
    </row>
    <row r="3">
      <c r="B3" s="3" t="inlineStr">
        <is>
          <t>Score each 0–5. Weighted score = score × weight. Gate items in red block launch if not Green.</t>
        </is>
      </c>
    </row>
    <row r="5">
      <c r="B5" s="11" t="inlineStr">
        <is>
          <t>Readiness dimension</t>
        </is>
      </c>
      <c r="C5" s="11" t="inlineStr">
        <is>
          <t>Weight</t>
        </is>
      </c>
      <c r="D5" s="11" t="inlineStr">
        <is>
          <t>Score (0-5)</t>
        </is>
      </c>
      <c r="E5" s="11" t="inlineStr">
        <is>
          <t>Weighted</t>
        </is>
      </c>
      <c r="F5" s="11" t="inlineStr">
        <is>
          <t>RAG</t>
        </is>
      </c>
      <c r="G5" s="11" t="inlineStr">
        <is>
          <t>Notes</t>
        </is>
      </c>
    </row>
    <row r="6">
      <c r="B6" s="12" t="inlineStr">
        <is>
          <t>Final NCUC ETC order in hand (GATE)</t>
        </is>
      </c>
      <c r="C6" s="13" t="n">
        <v>0.15</v>
      </c>
      <c r="D6" s="14" t="n">
        <v>0</v>
      </c>
      <c r="E6" s="15">
        <f>C6*D6</f>
        <v/>
      </c>
      <c r="F6" s="16" t="inlineStr"/>
      <c r="G6" s="16" t="inlineStr"/>
    </row>
    <row r="7">
      <c r="B7" s="12" t="inlineStr">
        <is>
          <t>USAC onboarding complete (SAC/498/NLAD/LCS) (GATE)</t>
        </is>
      </c>
      <c r="C7" s="13" t="n">
        <v>0.12</v>
      </c>
      <c r="D7" s="14" t="n">
        <v>0</v>
      </c>
      <c r="E7" s="15">
        <f>C7*D7</f>
        <v/>
      </c>
      <c r="F7" s="16" t="inlineStr"/>
      <c r="G7" s="16" t="inlineStr"/>
    </row>
    <row r="8">
      <c r="B8" s="12" t="inlineStr">
        <is>
          <t>Tribal-lands legal determination obtained (GATE)</t>
        </is>
      </c>
      <c r="C8" s="13" t="n">
        <v>0.1</v>
      </c>
      <c r="D8" s="14" t="n">
        <v>0</v>
      </c>
      <c r="E8" s="15">
        <f>C8*D8</f>
        <v/>
      </c>
      <c r="F8" s="16" t="inlineStr"/>
      <c r="G8" s="16" t="inlineStr"/>
    </row>
    <row r="9">
      <c r="B9" s="17" t="inlineStr">
        <is>
          <t>Confirmed RIVR price sheet &amp; tax review</t>
        </is>
      </c>
      <c r="C9" s="13" t="n">
        <v>0.1</v>
      </c>
      <c r="D9" s="14" t="n">
        <v>0</v>
      </c>
      <c r="E9" s="15">
        <f>C9*D9</f>
        <v/>
      </c>
      <c r="F9" s="16" t="inlineStr"/>
      <c r="G9" s="16" t="inlineStr"/>
    </row>
    <row r="10">
      <c r="B10" s="17" t="inlineStr">
        <is>
          <t>Financial model approved / sustainable</t>
        </is>
      </c>
      <c r="C10" s="13" t="n">
        <v>0.1</v>
      </c>
      <c r="D10" s="14" t="n">
        <v>0</v>
      </c>
      <c r="E10" s="15">
        <f>C10*D10</f>
        <v/>
      </c>
      <c r="F10" s="16" t="inlineStr"/>
      <c r="G10" s="16" t="inlineStr"/>
    </row>
    <row r="11">
      <c r="B11" s="17" t="inlineStr">
        <is>
          <t>NISC configured &amp; tested</t>
        </is>
      </c>
      <c r="C11" s="13" t="n">
        <v>0.1</v>
      </c>
      <c r="D11" s="14" t="n">
        <v>0</v>
      </c>
      <c r="E11" s="15">
        <f>C11*D11</f>
        <v/>
      </c>
      <c r="F11" s="16" t="inlineStr"/>
      <c r="G11" s="16" t="inlineStr"/>
    </row>
    <row r="12">
      <c r="B12" s="17" t="inlineStr">
        <is>
          <t>Enrollment SOPs &amp; QC ready</t>
        </is>
      </c>
      <c r="C12" s="13" t="n">
        <v>0.08</v>
      </c>
      <c r="D12" s="14" t="n">
        <v>0</v>
      </c>
      <c r="E12" s="15">
        <f>C12*D12</f>
        <v/>
      </c>
      <c r="F12" s="16" t="inlineStr"/>
      <c r="G12" s="16" t="inlineStr"/>
    </row>
    <row r="13">
      <c r="B13" s="17" t="inlineStr">
        <is>
          <t>Employee training complete</t>
        </is>
      </c>
      <c r="C13" s="13" t="n">
        <v>0.07000000000000001</v>
      </c>
      <c r="D13" s="14" t="n">
        <v>0</v>
      </c>
      <c r="E13" s="15">
        <f>C13*D13</f>
        <v/>
      </c>
      <c r="F13" s="16" t="inlineStr"/>
      <c r="G13" s="16" t="inlineStr"/>
    </row>
    <row r="14">
      <c r="B14" s="17" t="inlineStr">
        <is>
          <t>Privacy &amp; data-security controls live</t>
        </is>
      </c>
      <c r="C14" s="13" t="n">
        <v>0.08</v>
      </c>
      <c r="D14" s="14" t="n">
        <v>0</v>
      </c>
      <c r="E14" s="15">
        <f>C14*D14</f>
        <v/>
      </c>
      <c r="F14" s="16" t="inlineStr"/>
      <c r="G14" s="16" t="inlineStr"/>
    </row>
    <row r="15">
      <c r="B15" s="17" t="inlineStr">
        <is>
          <t>Customer comms approved (no ACP/false claims)</t>
        </is>
      </c>
      <c r="C15" s="13" t="n">
        <v>0.05</v>
      </c>
      <c r="D15" s="14" t="n">
        <v>0</v>
      </c>
      <c r="E15" s="15">
        <f>C15*D15</f>
        <v/>
      </c>
      <c r="F15" s="16" t="inlineStr"/>
      <c r="G15" s="16" t="inlineStr"/>
    </row>
    <row r="16">
      <c r="B16" s="17" t="inlineStr">
        <is>
          <t>Lumbee MOU executed (if partnering)</t>
        </is>
      </c>
      <c r="C16" s="13" t="n">
        <v>0.05</v>
      </c>
      <c r="D16" s="14" t="n">
        <v>0</v>
      </c>
      <c r="E16" s="15">
        <f>C16*D16</f>
        <v/>
      </c>
      <c r="F16" s="16" t="inlineStr"/>
      <c r="G16" s="16" t="inlineStr"/>
    </row>
    <row r="17">
      <c r="B17" s="18" t="inlineStr">
        <is>
          <t>WEIGHTED TOTAL (max 5.0)</t>
        </is>
      </c>
      <c r="E17" s="19">
        <f>SUM(E6:E16)</f>
        <v/>
      </c>
    </row>
    <row r="19">
      <c r="B19" s="20" t="inlineStr">
        <is>
          <t>GO / NO-GO RULE</t>
        </is>
      </c>
    </row>
    <row r="20">
      <c r="B20" s="17" t="inlineStr">
        <is>
          <t>GO only if: weighted total ≥ 4.0 AND every GATE dimension = Green. Enhanced Tribal benefit remains OFF (0 subs) until the Tribal-lands determination is Green.</t>
        </is>
      </c>
      <c r="C20" s="21" t="n"/>
      <c r="D20" s="21" t="n"/>
      <c r="E20" s="21" t="n"/>
      <c r="F20" s="21" t="n"/>
      <c r="G20" s="22" t="n"/>
    </row>
    <row r="21">
      <c r="B21" s="23" t="n"/>
      <c r="C21" s="24" t="n"/>
      <c r="D21" s="24" t="n"/>
      <c r="E21" s="24" t="n"/>
      <c r="F21" s="24" t="n"/>
      <c r="G21" s="25" t="n"/>
    </row>
  </sheetData>
  <mergeCells count="1">
    <mergeCell ref="B20:G21"/>
  </mergeCells>
  <dataValidations count="1">
    <dataValidation sqref="F6:F16" showDropDown="0" showInputMessage="0" showErrorMessage="0" allowBlank="1" type="list">
      <formula1>"Red,Amber,Green"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2026-08-06T19:33:06Z</dcterms:created>
  <dcterms:modified xmlns:dcterms="http://purl.org/dc/terms/" xmlns:xsi="http://www.w3.org/2001/XMLSchema-instance" xsi:type="dcterms:W3CDTF">2026-08-06T19:33:06Z</dcterms:modified>
</cp:coreProperties>
</file>