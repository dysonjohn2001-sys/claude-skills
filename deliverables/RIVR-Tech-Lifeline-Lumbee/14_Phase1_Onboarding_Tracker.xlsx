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ritical Path 0-90d" sheetId="2" state="visible" r:id="rId2"/>
    <sheet xmlns:r="http://schemas.openxmlformats.org/officeDocument/2006/relationships" name="Parallel Workstreams" sheetId="3" state="visible" r:id="rId3"/>
    <sheet xmlns:r="http://schemas.openxmlformats.org/officeDocument/2006/relationships" name="Decisions Due" sheetId="4" state="visible" r:id="rId4"/>
    <sheet xmlns:r="http://schemas.openxmlformats.org/officeDocument/2006/relationships" name="Milestones" sheetId="5" state="visible" r:id="rId5"/>
  </sheets>
  <definedNames>
    <definedName name="APPROVAL">Cover!$C$7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2"/>
    </font>
    <font>
      <i val="1"/>
      <color rgb="00595959"/>
      <sz val="11"/>
    </font>
    <font>
      <b val="1"/>
      <color rgb="00000000"/>
      <sz val="10"/>
    </font>
    <font>
      <b val="1"/>
    </font>
    <font>
      <color rgb="00000000"/>
      <sz val="9"/>
    </font>
    <font>
      <b val="1"/>
      <color rgb="00C00000"/>
      <sz val="10"/>
    </font>
    <font>
      <b val="1"/>
      <sz val="9"/>
    </font>
    <font>
      <sz val="9"/>
    </font>
    <font>
      <b val="1"/>
      <color rgb="001F3864"/>
      <sz val="14"/>
    </font>
    <font>
      <b val="1"/>
      <color rgb="00FFFFFF"/>
      <sz val="10"/>
    </font>
    <font>
      <color rgb="00000000"/>
      <sz val="8"/>
    </font>
    <font>
      <b val="1"/>
      <color rgb="00C00000"/>
      <sz val="9"/>
    </font>
    <font>
      <b val="1"/>
      <color rgb="001F3864"/>
      <sz val="13"/>
    </font>
    <font>
      <b val="1"/>
      <color rgb="00000000"/>
      <sz val="9"/>
    </font>
    <font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2E549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164" fontId="5" fillId="3" borderId="0" pivotButton="0" quotePrefix="0" xfId="0"/>
    <xf numFmtId="0" fontId="6" fillId="2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3" borderId="1" pivotButton="0" quotePrefix="0" xfId="0"/>
    <xf numFmtId="0" fontId="9" fillId="4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6" fillId="2" borderId="1" pivotButton="0" quotePrefix="0" xfId="0"/>
    <xf numFmtId="0" fontId="6" fillId="5" borderId="1" applyAlignment="1" pivotButton="0" quotePrefix="0" xfId="0">
      <alignment horizontal="center" vertical="top"/>
    </xf>
    <xf numFmtId="3" fontId="6" fillId="3" borderId="1" pivotButton="0" quotePrefix="0" xfId="0"/>
    <xf numFmtId="164" fontId="6" fillId="0" borderId="1" pivotButton="0" quotePrefix="0" xfId="0"/>
    <xf numFmtId="0" fontId="6" fillId="3" borderId="1" pivotButton="0" quotePrefix="0" xfId="0"/>
    <xf numFmtId="0" fontId="12" fillId="2" borderId="1" applyAlignment="1" pivotButton="0" quotePrefix="0" xfId="0">
      <alignment vertical="top" wrapText="1"/>
    </xf>
    <xf numFmtId="0" fontId="13" fillId="2" borderId="1" applyAlignment="1" pivotButton="0" quotePrefix="0" xfId="0">
      <alignment vertical="top" wrapText="1"/>
    </xf>
    <xf numFmtId="0" fontId="14" fillId="0" borderId="0" pivotButton="0" quotePrefix="0" xfId="0"/>
    <xf numFmtId="0" fontId="15" fillId="2" borderId="1" applyAlignment="1" pivotButton="0" quotePrefix="0" xfId="0">
      <alignment vertical="top" wrapText="1"/>
    </xf>
    <xf numFmtId="0" fontId="6" fillId="5" borderId="1" pivotButton="0" quotePrefix="0" xfId="0"/>
    <xf numFmtId="164" fontId="16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62" customWidth="1" min="4" max="4"/>
  </cols>
  <sheetData>
    <row r="2">
      <c r="B2" s="1" t="inlineStr">
        <is>
          <t>RIVR Tech — Phase 1 Onboarding Tracker</t>
        </is>
      </c>
    </row>
    <row r="3">
      <c r="B3" s="2" t="inlineStr">
        <is>
          <t>ETC approved → USAC onboarding (30/60/90-day plan)  (Deliverable 14)</t>
        </is>
      </c>
    </row>
    <row r="5">
      <c r="B5" s="3" t="inlineStr">
        <is>
          <t>LREMC Technologies, LLC d/b/a RIVR Tech</t>
        </is>
      </c>
    </row>
    <row r="7">
      <c r="B7" s="4" t="inlineStr">
        <is>
          <t>NCUC ETC order date (Day 0):</t>
        </is>
      </c>
      <c r="C7" s="5" t="n">
        <v>46293</v>
      </c>
      <c r="D7" s="6" t="inlineStr">
        <is>
          <t>EDIT THIS to the actual order date — every target date recalculates from it. [CONFIRM]</t>
        </is>
      </c>
    </row>
    <row r="8">
      <c r="B8" s="4" t="inlineStr">
        <is>
          <t>Owner:</t>
        </is>
      </c>
      <c r="C8" t="inlineStr"/>
      <c r="D8" s="6" t="inlineStr">
        <is>
          <t>Program Owner (with Executive Sponsor &amp; Compliance Officer)</t>
        </is>
      </c>
    </row>
    <row r="9">
      <c r="B9" s="4" t="inlineStr">
        <is>
          <t>Version:</t>
        </is>
      </c>
      <c r="C9" t="inlineStr"/>
      <c r="D9" s="6" t="inlineStr">
        <is>
          <t>v0.1 — Phase 1 kickoff</t>
        </is>
      </c>
    </row>
    <row r="10">
      <c r="B10" s="4" t="inlineStr">
        <is>
          <t>Source basis:</t>
        </is>
      </c>
      <c r="C10" t="inlineStr"/>
      <c r="D10" s="6" t="inlineStr">
        <is>
          <t>00_Regulatory_Source_Register.md (SR-6 onboarding sequence)</t>
        </is>
      </c>
    </row>
    <row r="11">
      <c r="B11" s="4" t="inlineStr">
        <is>
          <t>Companions:</t>
        </is>
      </c>
      <c r="C11" t="inlineStr"/>
      <c r="D11" s="6" t="inlineStr">
        <is>
          <t>07 Compliance Checklist · 08 Roadmap/RACI · 12 Readiness Scorecard · 13 Open Issues</t>
        </is>
      </c>
    </row>
    <row r="13" ht="20" customHeight="1">
      <c r="B13" s="7" t="inlineStr">
        <is>
          <t>CRITICAL — NCUC/Lifeline approval does NOT authorize the enhanced $34.25 Tribal benefit based on Lumbee membership. Enhanced support requires the customer's principal residence to be on qualifying Tribal lands (47 C.F.R. §54.400(e)), verified per-address via USAC's tool. Operate with ZERO enhanced-Tribal subscribers until a written USAC/legal determination confirms otherwise (Open Issue ISS-01).</t>
        </is>
      </c>
    </row>
    <row r="14"/>
    <row r="15"/>
    <row r="16"/>
    <row r="18">
      <c r="B18" s="8" t="inlineStr">
        <is>
          <t>Legend:</t>
        </is>
      </c>
    </row>
    <row r="19">
      <c r="B19" s="9" t="inlineStr">
        <is>
          <t>INPUT — edit me</t>
        </is>
      </c>
    </row>
    <row r="20">
      <c r="B20" s="10" t="inlineStr">
        <is>
          <t>PLACEHOLDER — replace w/ confirmed figure</t>
        </is>
      </c>
    </row>
    <row r="21">
      <c r="B21" s="11" t="inlineStr">
        <is>
          <t>PROGRAM CONSTANT — re-verify each year</t>
        </is>
      </c>
    </row>
    <row r="22">
      <c r="B22" s="12" t="inlineStr">
        <is>
          <t>CALCULATED — do not edit</t>
        </is>
      </c>
    </row>
  </sheetData>
  <mergeCells count="1">
    <mergeCell ref="B13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0" customWidth="1" min="3" max="3"/>
    <col width="10" customWidth="1" min="4" max="4"/>
    <col width="20" customWidth="1" min="5" max="5"/>
    <col width="20" customWidth="1" min="6" max="6"/>
    <col width="13" customWidth="1" min="7" max="7"/>
    <col width="13" customWidth="1" min="8" max="8"/>
    <col width="24" customWidth="1" min="9" max="9"/>
    <col width="26" customWidth="1" min="10" max="10"/>
  </cols>
  <sheetData>
    <row r="2">
      <c r="B2" s="13" t="inlineStr">
        <is>
          <t>USAC Onboarding — Critical Path</t>
        </is>
      </c>
    </row>
    <row r="3">
      <c r="B3" s="3" t="inlineStr">
        <is>
          <t>Target date = Day 0 + offset (auto from Cover). Do in order; ⏱ = long pole, start Day 1.</t>
        </is>
      </c>
    </row>
    <row r="5" ht="30" customHeight="1">
      <c r="B5" s="14" t="inlineStr">
        <is>
          <t>#</t>
        </is>
      </c>
      <c r="C5" s="14" t="inlineStr">
        <is>
          <t>Task</t>
        </is>
      </c>
      <c r="D5" s="14" t="inlineStr">
        <is>
          <t>Window</t>
        </is>
      </c>
      <c r="E5" s="14" t="inlineStr">
        <is>
          <t>Owner</t>
        </is>
      </c>
      <c r="F5" s="14" t="inlineStr">
        <is>
          <t>Depends on</t>
        </is>
      </c>
      <c r="G5" s="14" t="inlineStr">
        <is>
          <t>Offset (days)</t>
        </is>
      </c>
      <c r="H5" s="14" t="inlineStr">
        <is>
          <t>Target date</t>
        </is>
      </c>
      <c r="I5" s="14" t="inlineStr">
        <is>
          <t>Status</t>
        </is>
      </c>
      <c r="J5" s="14" t="inlineStr">
        <is>
          <t>Evidence / ID captured</t>
        </is>
      </c>
      <c r="K5" s="14" t="inlineStr">
        <is>
          <t>Risk if it slips</t>
        </is>
      </c>
    </row>
    <row r="6" ht="30" customHeight="1">
      <c r="B6" s="15" t="n">
        <v>1</v>
      </c>
      <c r="C6" s="6" t="inlineStr">
        <is>
          <t>Obtain &amp; file the final NCUC ETC order; extract service area, effective date, conditions</t>
        </is>
      </c>
      <c r="D6" s="16" t="inlineStr">
        <is>
          <t>0-30</t>
        </is>
      </c>
      <c r="E6" s="15" t="inlineStr">
        <is>
          <t>Reg. Counsel</t>
        </is>
      </c>
      <c r="F6" s="6" t="inlineStr">
        <is>
          <t>—</t>
        </is>
      </c>
      <c r="G6" s="17" t="n">
        <v>3</v>
      </c>
      <c r="H6" s="18">
        <f>APPROVAL+G6</f>
        <v/>
      </c>
      <c r="I6" s="19" t="inlineStr"/>
      <c r="J6" s="20" t="inlineStr">
        <is>
          <t>Order PDF on file</t>
        </is>
      </c>
      <c r="K6" s="20" t="inlineStr">
        <is>
          <t>Everything downstream stalls</t>
        </is>
      </c>
    </row>
    <row r="7" ht="30" customHeight="1">
      <c r="B7" s="15" t="n">
        <v>2</v>
      </c>
      <c r="C7" s="21" t="inlineStr">
        <is>
          <t>⏱ Start SAM.gov registration: UEI + active bank account (same TIN as FRN)</t>
        </is>
      </c>
      <c r="D7" s="16" t="inlineStr">
        <is>
          <t>0-30</t>
        </is>
      </c>
      <c r="E7" s="15" t="inlineStr">
        <is>
          <t>Finance</t>
        </is>
      </c>
      <c r="F7" s="6" t="inlineStr">
        <is>
          <t>—</t>
        </is>
      </c>
      <c r="G7" s="17" t="n">
        <v>2</v>
      </c>
      <c r="H7" s="18">
        <f>APPROVAL+G7</f>
        <v/>
      </c>
      <c r="I7" s="19" t="inlineStr"/>
      <c r="J7" s="20" t="inlineStr">
        <is>
          <t>UEI issued; bank verified</t>
        </is>
      </c>
      <c r="K7" s="20" t="inlineStr">
        <is>
          <t>~6-wk long pole; blocks disbursement</t>
        </is>
      </c>
    </row>
    <row r="8" ht="30" customHeight="1">
      <c r="B8" s="15" t="n">
        <v>3</v>
      </c>
      <c r="C8" s="6" t="inlineStr">
        <is>
          <t>Obtain FCC Registration Number (FRN) via CORES (if not held)</t>
        </is>
      </c>
      <c r="D8" s="16" t="inlineStr">
        <is>
          <t>0-30</t>
        </is>
      </c>
      <c r="E8" s="15" t="inlineStr">
        <is>
          <t>Finance</t>
        </is>
      </c>
      <c r="F8" s="6" t="inlineStr">
        <is>
          <t>—</t>
        </is>
      </c>
      <c r="G8" s="17" t="n">
        <v>5</v>
      </c>
      <c r="H8" s="18">
        <f>APPROVAL+G8</f>
        <v/>
      </c>
      <c r="I8" s="19" t="inlineStr"/>
      <c r="J8" s="20" t="inlineStr">
        <is>
          <t>FRN (10-digit)</t>
        </is>
      </c>
      <c r="K8" s="20" t="inlineStr">
        <is>
          <t>Blocks SAM/498</t>
        </is>
      </c>
    </row>
    <row r="9" ht="30" customHeight="1">
      <c r="B9" s="15" t="n">
        <v>4</v>
      </c>
      <c r="C9" s="6" t="inlineStr">
        <is>
          <t>Request Study Area Code (SAC) from USAC (email order to LifelineProgram@usac.org)</t>
        </is>
      </c>
      <c r="D9" s="16" t="inlineStr">
        <is>
          <t>0-30</t>
        </is>
      </c>
      <c r="E9" s="15" t="inlineStr">
        <is>
          <t>Compliance</t>
        </is>
      </c>
      <c r="F9" s="6" t="inlineStr">
        <is>
          <t>NCUC order</t>
        </is>
      </c>
      <c r="G9" s="17" t="n">
        <v>14</v>
      </c>
      <c r="H9" s="18">
        <f>APPROVAL+G9</f>
        <v/>
      </c>
      <c r="I9" s="19" t="inlineStr"/>
      <c r="J9" s="20" t="inlineStr">
        <is>
          <t>SAC assigned</t>
        </is>
      </c>
      <c r="K9" s="20" t="inlineStr">
        <is>
          <t>Blocks 498/claims</t>
        </is>
      </c>
    </row>
    <row r="10" ht="30" customHeight="1">
      <c r="B10" s="15" t="n">
        <v>5</v>
      </c>
      <c r="C10" s="6" t="inlineStr">
        <is>
          <t>Adopt written WFA policy, record-retention &amp; privacy controls; exec sign-off</t>
        </is>
      </c>
      <c r="D10" s="16" t="inlineStr">
        <is>
          <t>0-30</t>
        </is>
      </c>
      <c r="E10" s="15" t="inlineStr">
        <is>
          <t>Compliance/Exec</t>
        </is>
      </c>
      <c r="F10" s="6" t="inlineStr">
        <is>
          <t>—</t>
        </is>
      </c>
      <c r="G10" s="17" t="n">
        <v>21</v>
      </c>
      <c r="H10" s="18">
        <f>APPROVAL+G10</f>
        <v/>
      </c>
      <c r="I10" s="19" t="inlineStr"/>
      <c r="J10" s="20" t="inlineStr">
        <is>
          <t>Signed policies</t>
        </is>
      </c>
      <c r="K10" s="20" t="inlineStr">
        <is>
          <t>Audit exposure</t>
        </is>
      </c>
    </row>
    <row r="11" ht="30" customHeight="1">
      <c r="B11" s="15" t="n">
        <v>6</v>
      </c>
      <c r="C11" s="6" t="inlineStr">
        <is>
          <t>Enroll enrollment reps in RAD → obtain Rep IDs (LifelineRAD.org)</t>
        </is>
      </c>
      <c r="D11" s="16" t="inlineStr">
        <is>
          <t>0-30</t>
        </is>
      </c>
      <c r="E11" s="15" t="inlineStr">
        <is>
          <t>Compliance</t>
        </is>
      </c>
      <c r="F11" s="6" t="inlineStr">
        <is>
          <t>—</t>
        </is>
      </c>
      <c r="G11" s="17" t="n">
        <v>21</v>
      </c>
      <c r="H11" s="18">
        <f>APPROVAL+G11</f>
        <v/>
      </c>
      <c r="I11" s="19" t="inlineStr"/>
      <c r="J11" s="20" t="inlineStr">
        <is>
          <t>Rep IDs list</t>
        </is>
      </c>
      <c r="K11" s="20" t="inlineStr">
        <is>
          <t>Cannot enroll without them</t>
        </is>
      </c>
    </row>
    <row r="12" ht="30" customHeight="1">
      <c r="B12" s="15" t="n">
        <v>7</v>
      </c>
      <c r="C12" s="6" t="inlineStr">
        <is>
          <t>File FCC Form 498 → obtain 498 ID; Company Officer certifies (14-day window)</t>
        </is>
      </c>
      <c r="D12" s="16" t="inlineStr">
        <is>
          <t>30-60</t>
        </is>
      </c>
      <c r="E12" s="15" t="inlineStr">
        <is>
          <t>Finance/Officer</t>
        </is>
      </c>
      <c r="F12" s="6" t="inlineStr">
        <is>
          <t>SAM UEI + SAC</t>
        </is>
      </c>
      <c r="G12" s="17" t="n">
        <v>42</v>
      </c>
      <c r="H12" s="18">
        <f>APPROVAL+G12</f>
        <v/>
      </c>
      <c r="I12" s="19" t="inlineStr"/>
      <c r="J12" s="20" t="inlineStr">
        <is>
          <t>498 ID (SPIN)</t>
        </is>
      </c>
      <c r="K12" s="20" t="inlineStr">
        <is>
          <t>Blocks reimbursement</t>
        </is>
      </c>
    </row>
    <row r="13" ht="30" customHeight="1">
      <c r="B13" s="15" t="n">
        <v>8</v>
      </c>
      <c r="C13" s="6" t="inlineStr">
        <is>
          <t>Assign 497 Officer + ETC Administrator roles in USAC One Portal</t>
        </is>
      </c>
      <c r="D13" s="16" t="inlineStr">
        <is>
          <t>30-60</t>
        </is>
      </c>
      <c r="E13" s="15" t="inlineStr">
        <is>
          <t>Finance/Compliance</t>
        </is>
      </c>
      <c r="F13" s="6" t="inlineStr">
        <is>
          <t>498 ID</t>
        </is>
      </c>
      <c r="G13" s="17" t="n">
        <v>45</v>
      </c>
      <c r="H13" s="18">
        <f>APPROVAL+G13</f>
        <v/>
      </c>
      <c r="I13" s="19" t="inlineStr"/>
      <c r="J13" s="20" t="inlineStr">
        <is>
          <t>Role confirmations</t>
        </is>
      </c>
      <c r="K13" s="20" t="inlineStr">
        <is>
          <t>Blocks NV/NLAD/LCS setup</t>
        </is>
      </c>
    </row>
    <row r="14" ht="30" customHeight="1">
      <c r="B14" s="15" t="n">
        <v>9</v>
      </c>
      <c r="C14" s="6" t="inlineStr">
        <is>
          <t>Provision National Verifier access + user roles (One Portal)</t>
        </is>
      </c>
      <c r="D14" s="16" t="inlineStr">
        <is>
          <t>30-60</t>
        </is>
      </c>
      <c r="E14" s="15" t="inlineStr">
        <is>
          <t>Compliance/IT</t>
        </is>
      </c>
      <c r="F14" s="6" t="inlineStr">
        <is>
          <t>ETC Admin + Rep IDs</t>
        </is>
      </c>
      <c r="G14" s="17" t="n">
        <v>50</v>
      </c>
      <c r="H14" s="18">
        <f>APPROVAL+G14</f>
        <v/>
      </c>
      <c r="I14" s="19" t="inlineStr"/>
      <c r="J14" s="20" t="inlineStr">
        <is>
          <t>NV access confirmed</t>
        </is>
      </c>
      <c r="K14" s="20" t="inlineStr">
        <is>
          <t>Cannot verify eligibility</t>
        </is>
      </c>
    </row>
    <row r="15" ht="30" customHeight="1">
      <c r="B15" s="15" t="n">
        <v>10</v>
      </c>
      <c r="C15" s="6" t="inlineStr">
        <is>
          <t>Provision NLAD access + roles; test enrollment upload</t>
        </is>
      </c>
      <c r="D15" s="16" t="inlineStr">
        <is>
          <t>30-60</t>
        </is>
      </c>
      <c r="E15" s="15" t="inlineStr">
        <is>
          <t>Compliance/IT</t>
        </is>
      </c>
      <c r="F15" s="6" t="inlineStr">
        <is>
          <t>ETC Admin + Rep IDs</t>
        </is>
      </c>
      <c r="G15" s="17" t="n">
        <v>52</v>
      </c>
      <c r="H15" s="18">
        <f>APPROVAL+G15</f>
        <v/>
      </c>
      <c r="I15" s="19" t="inlineStr"/>
      <c r="J15" s="20" t="inlineStr">
        <is>
          <t>NLAD access confirmed</t>
        </is>
      </c>
      <c r="K15" s="20" t="inlineStr">
        <is>
          <t>Cannot enroll subscribers</t>
        </is>
      </c>
    </row>
    <row r="16" ht="30" customHeight="1">
      <c r="B16" s="15" t="n">
        <v>11</v>
      </c>
      <c r="C16" s="6" t="inlineStr">
        <is>
          <t>Provision LCS access for monthly claims</t>
        </is>
      </c>
      <c r="D16" s="16" t="inlineStr">
        <is>
          <t>30-60</t>
        </is>
      </c>
      <c r="E16" s="15" t="inlineStr">
        <is>
          <t>Finance</t>
        </is>
      </c>
      <c r="F16" s="6" t="inlineStr">
        <is>
          <t>497 Officer</t>
        </is>
      </c>
      <c r="G16" s="17" t="n">
        <v>55</v>
      </c>
      <c r="H16" s="18">
        <f>APPROVAL+G16</f>
        <v/>
      </c>
      <c r="I16" s="19" t="inlineStr"/>
      <c r="J16" s="20" t="inlineStr">
        <is>
          <t>LCS access confirmed</t>
        </is>
      </c>
      <c r="K16" s="20" t="inlineStr">
        <is>
          <t>Cannot claim reimbursement</t>
        </is>
      </c>
    </row>
    <row r="17" ht="30" customHeight="1">
      <c r="B17" s="15" t="n">
        <v>12</v>
      </c>
      <c r="C17" s="6" t="inlineStr">
        <is>
          <t>Complete NISC config + end-to-end test (codes, tax, GL, pass-through)</t>
        </is>
      </c>
      <c r="D17" s="16" t="inlineStr">
        <is>
          <t>30-60</t>
        </is>
      </c>
      <c r="E17" s="15" t="inlineStr">
        <is>
          <t>Billing/IT</t>
        </is>
      </c>
      <c r="F17" s="6" t="inlineStr">
        <is>
          <t>Rate/credit codes</t>
        </is>
      </c>
      <c r="G17" s="17" t="n">
        <v>58</v>
      </c>
      <c r="H17" s="18">
        <f>APPROVAL+G17</f>
        <v/>
      </c>
      <c r="I17" s="19" t="inlineStr"/>
      <c r="J17" s="20" t="inlineStr">
        <is>
          <t>Test results signed</t>
        </is>
      </c>
      <c r="K17" s="20" t="inlineStr">
        <is>
          <t>Billing errors at launch</t>
        </is>
      </c>
    </row>
    <row r="18" ht="30" customHeight="1">
      <c r="B18" s="15" t="n">
        <v>13</v>
      </c>
      <c r="C18" s="6" t="inlineStr">
        <is>
          <t>Complete employee training (RAD reps trained before enrolling)</t>
        </is>
      </c>
      <c r="D18" s="16" t="inlineStr">
        <is>
          <t>30-60</t>
        </is>
      </c>
      <c r="E18" s="15" t="inlineStr">
        <is>
          <t>Compliance/Training</t>
        </is>
      </c>
      <c r="F18" s="6" t="inlineStr">
        <is>
          <t>SOPs, Rep IDs</t>
        </is>
      </c>
      <c r="G18" s="17" t="n">
        <v>56</v>
      </c>
      <c r="H18" s="18">
        <f>APPROVAL+G18</f>
        <v/>
      </c>
      <c r="I18" s="19" t="inlineStr"/>
      <c r="J18" s="20" t="inlineStr">
        <is>
          <t>Training records</t>
        </is>
      </c>
      <c r="K18" s="20" t="inlineStr">
        <is>
          <t>Non-compliant enrollments</t>
        </is>
      </c>
    </row>
    <row r="19" ht="30" customHeight="1">
      <c r="B19" s="15" t="n">
        <v>14</v>
      </c>
      <c r="C19" s="6" t="inlineStr">
        <is>
          <t>Run controlled pilot: enroll→NV→NLAD→bill→LCS→3-way reconcile (≤25-50)</t>
        </is>
      </c>
      <c r="D19" s="16" t="inlineStr">
        <is>
          <t>60-90</t>
        </is>
      </c>
      <c r="E19" s="15" t="inlineStr">
        <is>
          <t>Cross-functional</t>
        </is>
      </c>
      <c r="F19" s="6" t="inlineStr">
        <is>
          <t>All access live</t>
        </is>
      </c>
      <c r="G19" s="17" t="n">
        <v>75</v>
      </c>
      <c r="H19" s="18">
        <f>APPROVAL+G19</f>
        <v/>
      </c>
      <c r="I19" s="19" t="inlineStr"/>
      <c r="J19" s="20" t="inlineStr">
        <is>
          <t>Clean 3-way reconciliation</t>
        </is>
      </c>
      <c r="K19" s="20" t="inlineStr">
        <is>
          <t>Scale-up errors</t>
        </is>
      </c>
    </row>
    <row r="20" ht="30" customHeight="1">
      <c r="B20" s="15" t="n">
        <v>15</v>
      </c>
      <c r="C20" s="6" t="inlineStr">
        <is>
          <t>Validate customer notices &amp; experience during pilot</t>
        </is>
      </c>
      <c r="D20" s="16" t="inlineStr">
        <is>
          <t>60-90</t>
        </is>
      </c>
      <c r="E20" s="15" t="inlineStr">
        <is>
          <t>MSR/Marketing</t>
        </is>
      </c>
      <c r="F20" s="6" t="inlineStr">
        <is>
          <t>Pilot roster</t>
        </is>
      </c>
      <c r="G20" s="17" t="n">
        <v>78</v>
      </c>
      <c r="H20" s="18">
        <f>APPROVAL+G20</f>
        <v/>
      </c>
      <c r="I20" s="19" t="inlineStr"/>
      <c r="J20" s="20" t="inlineStr">
        <is>
          <t>Notice log</t>
        </is>
      </c>
      <c r="K20" s="20" t="inlineStr">
        <is>
          <t>Poor CX at launch</t>
        </is>
      </c>
    </row>
    <row r="21" ht="30" customHeight="1">
      <c r="B21" s="15" t="n">
        <v>16</v>
      </c>
      <c r="C21" s="6" t="inlineStr">
        <is>
          <t>Readiness Scorecard review → GO/NO-GO gate (Deliverable 12)</t>
        </is>
      </c>
      <c r="D21" s="16" t="inlineStr">
        <is>
          <t>60-90</t>
        </is>
      </c>
      <c r="E21" s="15" t="inlineStr">
        <is>
          <t>Exec Sponsor</t>
        </is>
      </c>
      <c r="F21" s="6" t="inlineStr">
        <is>
          <t>Pilot pass</t>
        </is>
      </c>
      <c r="G21" s="17" t="n">
        <v>85</v>
      </c>
      <c r="H21" s="18">
        <f>APPROVAL+G21</f>
        <v/>
      </c>
      <c r="I21" s="19" t="inlineStr"/>
      <c r="J21" s="20" t="inlineStr">
        <is>
          <t>Signed scorecard (all gates green)</t>
        </is>
      </c>
      <c r="K21" s="20" t="inlineStr">
        <is>
          <t>Launch on shaky footing</t>
        </is>
      </c>
    </row>
    <row r="22" ht="30" customHeight="1">
      <c r="B22" s="15" t="n">
        <v>17</v>
      </c>
      <c r="C22" s="6" t="inlineStr">
        <is>
          <t>Public launch across approved ETC service area (coordinated RIVR + Lumbee comms)</t>
        </is>
      </c>
      <c r="D22" s="16" t="inlineStr">
        <is>
          <t>60-90</t>
        </is>
      </c>
      <c r="E22" s="15" t="inlineStr">
        <is>
          <t>Program Owner/Marketing</t>
        </is>
      </c>
      <c r="F22" s="6" t="inlineStr">
        <is>
          <t>GO decision</t>
        </is>
      </c>
      <c r="G22" s="17" t="n">
        <v>90</v>
      </c>
      <c r="H22" s="18">
        <f>APPROVAL+G22</f>
        <v/>
      </c>
      <c r="I22" s="19" t="inlineStr"/>
      <c r="J22" s="20" t="inlineStr">
        <is>
          <t>Launch live</t>
        </is>
      </c>
      <c r="K22" s="20" t="inlineStr">
        <is>
          <t>—</t>
        </is>
      </c>
    </row>
  </sheetData>
  <dataValidations count="1">
    <dataValidation sqref="I6:I22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2" customWidth="1" min="3" max="3"/>
    <col width="20" customWidth="1" min="4" max="4"/>
    <col width="13" customWidth="1" min="5" max="5"/>
    <col width="13" customWidth="1" min="6" max="6"/>
    <col width="22" customWidth="1" min="7" max="7"/>
  </cols>
  <sheetData>
    <row r="2">
      <c r="B2" s="22" t="inlineStr">
        <is>
          <t>Parallel Workstreams (don't wait for onboarding to finish)</t>
        </is>
      </c>
    </row>
    <row r="5">
      <c r="B5" s="14" t="inlineStr">
        <is>
          <t>Workstream</t>
        </is>
      </c>
      <c r="C5" s="14" t="inlineStr">
        <is>
          <t>Action</t>
        </is>
      </c>
      <c r="D5" s="14" t="inlineStr">
        <is>
          <t>Owner</t>
        </is>
      </c>
      <c r="E5" s="14" t="inlineStr">
        <is>
          <t>Offset</t>
        </is>
      </c>
      <c r="F5" s="14" t="inlineStr">
        <is>
          <t>Target date</t>
        </is>
      </c>
      <c r="G5" s="14" t="inlineStr">
        <is>
          <t>Status</t>
        </is>
      </c>
    </row>
    <row r="6" ht="30" customHeight="1">
      <c r="B6" s="23" t="inlineStr">
        <is>
          <t>Pricing &amp; plan</t>
        </is>
      </c>
      <c r="C6" s="6" t="inlineStr">
        <is>
          <t>Confirm RIVR price sheet; lock Senior 100/100 design (Alt D: $10 net)</t>
        </is>
      </c>
      <c r="D6" s="15" t="inlineStr">
        <is>
          <t>Product/Finance</t>
        </is>
      </c>
      <c r="E6" s="17" t="n">
        <v>20</v>
      </c>
      <c r="F6" s="18">
        <f>APPROVAL+E6</f>
        <v/>
      </c>
      <c r="G6" s="19" t="inlineStr"/>
    </row>
    <row r="7" ht="30" customHeight="1">
      <c r="B7" s="23" t="inlineStr">
        <is>
          <t>Tax</t>
        </is>
      </c>
      <c r="C7" s="6" t="inlineStr">
        <is>
          <t>Obtain tax-advisor opinion on taxable components; no 'plus tax' until back</t>
        </is>
      </c>
      <c r="D7" s="15" t="inlineStr">
        <is>
          <t>Tax Advisor/CFO</t>
        </is>
      </c>
      <c r="E7" s="17" t="n">
        <v>25</v>
      </c>
      <c r="F7" s="18">
        <f>APPROVAL+E7</f>
        <v/>
      </c>
      <c r="G7" s="19" t="inlineStr"/>
    </row>
    <row r="8" ht="30" customHeight="1">
      <c r="B8" s="23" t="inlineStr">
        <is>
          <t>NISC billing</t>
        </is>
      </c>
      <c r="C8" s="6" t="inlineStr">
        <is>
          <t>Build rate/credit codes, tax config, separate-GL accounts, bill text</t>
        </is>
      </c>
      <c r="D8" s="15" t="inlineStr">
        <is>
          <t>Billing/IT</t>
        </is>
      </c>
      <c r="E8" s="17" t="n">
        <v>40</v>
      </c>
      <c r="F8" s="18">
        <f>APPROVAL+E8</f>
        <v/>
      </c>
      <c r="G8" s="19" t="inlineStr"/>
    </row>
    <row r="9" ht="30" customHeight="1">
      <c r="B9" s="23" t="inlineStr">
        <is>
          <t>Policies</t>
        </is>
      </c>
      <c r="C9" s="6" t="inlineStr">
        <is>
          <t>Finalize WFA, record-retention, privacy/data-security controls</t>
        </is>
      </c>
      <c r="D9" s="15" t="inlineStr">
        <is>
          <t>Compliance</t>
        </is>
      </c>
      <c r="E9" s="17" t="n">
        <v>21</v>
      </c>
      <c r="F9" s="18">
        <f>APPROVAL+E9</f>
        <v/>
      </c>
      <c r="G9" s="19" t="inlineStr"/>
    </row>
    <row r="10" ht="30" customHeight="1">
      <c r="B10" s="23" t="inlineStr">
        <is>
          <t>Training</t>
        </is>
      </c>
      <c r="C10" s="6" t="inlineStr">
        <is>
          <t>Build &amp; deliver role modules; prohibited-statements drill</t>
        </is>
      </c>
      <c r="D10" s="15" t="inlineStr">
        <is>
          <t>Compliance/Training</t>
        </is>
      </c>
      <c r="E10" s="17" t="n">
        <v>50</v>
      </c>
      <c r="F10" s="18">
        <f>APPROVAL+E10</f>
        <v/>
      </c>
      <c r="G10" s="19" t="inlineStr"/>
    </row>
    <row r="11" ht="30" customHeight="1">
      <c r="B11" s="23" t="inlineStr">
        <is>
          <t>Comms</t>
        </is>
      </c>
      <c r="C11" s="6" t="inlineStr">
        <is>
          <t>Finalize website/FAQ/letters/scripts; keep guardrails; publicize Lifeline (§54.405(b))</t>
        </is>
      </c>
      <c r="D11" s="15" t="inlineStr">
        <is>
          <t>Marketing/Compliance</t>
        </is>
      </c>
      <c r="E11" s="17" t="n">
        <v>60</v>
      </c>
      <c r="F11" s="18">
        <f>APPROVAL+E11</f>
        <v/>
      </c>
      <c r="G11" s="19" t="inlineStr"/>
    </row>
    <row r="12" ht="30" customHeight="1">
      <c r="B12" s="23" t="inlineStr">
        <is>
          <t>Lumbee MOU</t>
        </is>
      </c>
      <c r="C12" s="6" t="inlineStr">
        <is>
          <t>Execute MOU if Tribe funds a discount / runs membership verification</t>
        </is>
      </c>
      <c r="D12" s="15" t="inlineStr">
        <is>
          <t>Exec Sponsor/Legal</t>
        </is>
      </c>
      <c r="E12" s="17" t="n">
        <v>60</v>
      </c>
      <c r="F12" s="18">
        <f>APPROVAL+E12</f>
        <v/>
      </c>
      <c r="G12" s="19" t="inlineStr"/>
    </row>
    <row r="13" ht="30" customHeight="1">
      <c r="B13" s="21" t="inlineStr">
        <is>
          <t>Tribal-lands determination</t>
        </is>
      </c>
      <c r="C13" s="6" t="inlineStr">
        <is>
          <t>Obtain written USAC/legal determination (ISS-01) BEFORE any enhanced claim</t>
        </is>
      </c>
      <c r="D13" s="15" t="inlineStr">
        <is>
          <t>Reg. Counsel/USAC</t>
        </is>
      </c>
      <c r="E13" s="17" t="n">
        <v>30</v>
      </c>
      <c r="F13" s="18">
        <f>APPROVAL+E13</f>
        <v/>
      </c>
      <c r="G13" s="19" t="inlineStr"/>
    </row>
  </sheetData>
  <dataValidations count="1">
    <dataValidation sqref="G6:G13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0" customWidth="1" min="3" max="3"/>
    <col width="34" customWidth="1" min="4" max="4"/>
    <col width="18" customWidth="1" min="5" max="5"/>
    <col width="13" customWidth="1" min="6" max="6"/>
    <col width="13" customWidth="1" min="7" max="7"/>
  </cols>
  <sheetData>
    <row r="2">
      <c r="B2" s="22" t="inlineStr">
        <is>
          <t>Executive Decisions Due (from 01 §11 / 13)</t>
        </is>
      </c>
    </row>
    <row r="5">
      <c r="B5" s="14" t="inlineStr">
        <is>
          <t>Ref</t>
        </is>
      </c>
      <c r="C5" s="14" t="inlineStr">
        <is>
          <t>Decision</t>
        </is>
      </c>
      <c r="D5" s="14" t="inlineStr">
        <is>
          <t>Recommended</t>
        </is>
      </c>
      <c r="E5" s="14" t="inlineStr">
        <is>
          <t>Decision-maker</t>
        </is>
      </c>
      <c r="F5" s="14" t="inlineStr">
        <is>
          <t>Offset</t>
        </is>
      </c>
      <c r="G5" s="14" t="inlineStr">
        <is>
          <t>Target date</t>
        </is>
      </c>
    </row>
    <row r="6" ht="28" customHeight="1">
      <c r="B6" s="24" t="inlineStr">
        <is>
          <t>ISS-14</t>
        </is>
      </c>
      <c r="C6" s="6" t="inlineStr">
        <is>
          <t>Enhanced Tribal legal determination</t>
        </is>
      </c>
      <c r="D6" s="6" t="inlineStr">
        <is>
          <t>Obtain written USAC/legal determination; assume 0 until confirmed</t>
        </is>
      </c>
      <c r="E6" s="6" t="inlineStr">
        <is>
          <t>Reg. Counsel + USAC</t>
        </is>
      </c>
      <c r="F6" s="17" t="n">
        <v>25</v>
      </c>
      <c r="G6" s="18">
        <f>APPROVAL+F6</f>
        <v/>
      </c>
    </row>
    <row r="7" ht="28" customHeight="1">
      <c r="B7" s="24" t="inlineStr">
        <is>
          <t>ISS-02</t>
        </is>
      </c>
      <c r="C7" s="6" t="inlineStr">
        <is>
          <t>Tax treatment / 'plus tax'</t>
        </is>
      </c>
      <c r="D7" s="6" t="inlineStr">
        <is>
          <t>Obtain tax opinion; no 'plus tax' until confirmed</t>
        </is>
      </c>
      <c r="E7" s="6" t="inlineStr">
        <is>
          <t>Tax Advisor + CFO</t>
        </is>
      </c>
      <c r="F7" s="17" t="n">
        <v>25</v>
      </c>
      <c r="G7" s="18">
        <f>APPROVAL+F7</f>
        <v/>
      </c>
    </row>
    <row r="8" ht="28" customHeight="1">
      <c r="B8" s="24" t="inlineStr">
        <is>
          <t>ISS-03</t>
        </is>
      </c>
      <c r="C8" s="6" t="inlineStr">
        <is>
          <t>Senior eligibility age</t>
        </is>
      </c>
      <c r="D8" s="6" t="inlineStr">
        <is>
          <t>62</t>
        </is>
      </c>
      <c r="E8" s="6" t="inlineStr">
        <is>
          <t>Exec Sponsor</t>
        </is>
      </c>
      <c r="F8" s="17" t="n">
        <v>15</v>
      </c>
      <c r="G8" s="18">
        <f>APPROVAL+F8</f>
        <v/>
      </c>
    </row>
    <row r="9" ht="28" customHeight="1">
      <c r="B9" s="24" t="inlineStr">
        <is>
          <t>ISS-04</t>
        </is>
      </c>
      <c r="C9" s="6" t="inlineStr">
        <is>
          <t>$10 retail vs net</t>
        </is>
      </c>
      <c r="D9" s="6" t="inlineStr">
        <is>
          <t>NET after subsidies (Alt D)</t>
        </is>
      </c>
      <c r="E9" s="6" t="inlineStr">
        <is>
          <t>Exec Sponsor + CFO</t>
        </is>
      </c>
      <c r="F9" s="17" t="n">
        <v>15</v>
      </c>
      <c r="G9" s="18">
        <f>APPROVAL+F9</f>
        <v/>
      </c>
    </row>
    <row r="10" ht="28" customHeight="1">
      <c r="B10" s="24" t="inlineStr">
        <is>
          <t>ISS-05</t>
        </is>
      </c>
      <c r="C10" s="6" t="inlineStr">
        <is>
          <t>Company-funded discount for non-Lifeline seniors</t>
        </is>
      </c>
      <c r="D10" s="6" t="inlineStr">
        <is>
          <t>Yes, capped</t>
        </is>
      </c>
      <c r="E10" s="6" t="inlineStr">
        <is>
          <t>CFO</t>
        </is>
      </c>
      <c r="F10" s="17" t="n">
        <v>15</v>
      </c>
      <c r="G10" s="18">
        <f>APPROVAL+F10</f>
        <v/>
      </c>
    </row>
    <row r="11" ht="28" customHeight="1">
      <c r="B11" s="24" t="inlineStr">
        <is>
          <t>ISS-07</t>
        </is>
      </c>
      <c r="C11" s="6" t="inlineStr">
        <is>
          <t>Equipment &amp; installation charges</t>
        </is>
      </c>
      <c r="D11" s="6" t="inlineStr">
        <is>
          <t>Waive/fold equipment; free install</t>
        </is>
      </c>
      <c r="E11" s="6" t="inlineStr">
        <is>
          <t>Product + CFO</t>
        </is>
      </c>
      <c r="F11" s="17" t="n">
        <v>15</v>
      </c>
      <c r="G11" s="18">
        <f>APPROVAL+F11</f>
        <v/>
      </c>
    </row>
    <row r="12" ht="28" customHeight="1">
      <c r="B12" s="24" t="inlineStr">
        <is>
          <t>ISS-06</t>
        </is>
      </c>
      <c r="C12" s="6" t="inlineStr">
        <is>
          <t>Lumbee Tribe additional funding</t>
        </is>
      </c>
      <c r="D12" s="6" t="inlineStr">
        <is>
          <t>Pursue via MOU; base case $0</t>
        </is>
      </c>
      <c r="E12" s="6" t="inlineStr">
        <is>
          <t>Exec Sponsor + Tribe</t>
        </is>
      </c>
      <c r="F12" s="17" t="n">
        <v>45</v>
      </c>
      <c r="G12" s="18">
        <f>APPROVAL+F12</f>
        <v/>
      </c>
    </row>
    <row r="13" ht="28" customHeight="1">
      <c r="B13" s="24" t="inlineStr">
        <is>
          <t>ISS-13</t>
        </is>
      </c>
      <c r="C13" s="6" t="inlineStr">
        <is>
          <t>Pilot size &amp; launch date</t>
        </is>
      </c>
      <c r="D13" s="6" t="inlineStr">
        <is>
          <t>≤25-50 pilot; launch after 3-way recon passes</t>
        </is>
      </c>
      <c r="E13" s="6" t="inlineStr">
        <is>
          <t>Program Owner</t>
        </is>
      </c>
      <c r="F13" s="17" t="n">
        <v>60</v>
      </c>
      <c r="G13" s="18">
        <f>APPROVAL+F13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60" customWidth="1" min="4" max="4"/>
  </cols>
  <sheetData>
    <row r="2">
      <c r="B2" s="22" t="inlineStr">
        <is>
          <t>30 / 60 / 90-Day Milestone Gates</t>
        </is>
      </c>
    </row>
    <row r="5">
      <c r="B5" s="14" t="inlineStr">
        <is>
          <t>Milestone</t>
        </is>
      </c>
      <c r="C5" s="14" t="inlineStr">
        <is>
          <t>Target date</t>
        </is>
      </c>
      <c r="D5" s="14" t="inlineStr">
        <is>
          <t>Definition of done</t>
        </is>
      </c>
    </row>
    <row r="6" ht="46" customHeight="1">
      <c r="B6" s="4" t="inlineStr">
        <is>
          <t>Day 30</t>
        </is>
      </c>
      <c r="C6" s="25">
        <f>APPROVAL+30</f>
        <v/>
      </c>
      <c r="D6" s="6" t="inlineStr">
        <is>
          <t>Order filed; SAM.gov in flight; FRN + SAC requested; RAD Rep IDs; WFA/privacy policies signed; Tribal-lands determination requested</t>
        </is>
      </c>
    </row>
    <row r="7" ht="46" customHeight="1">
      <c r="B7" s="4" t="inlineStr">
        <is>
          <t>Day 60</t>
        </is>
      </c>
      <c r="C7" s="25">
        <f>APPROVAL+60</f>
        <v/>
      </c>
      <c r="D7" s="6" t="inlineStr">
        <is>
          <t>498 ID + officer roles live; NV/NLAD/LCS access provisioned; NISC configured &amp; tested; training complete; price sheet + tax opinion in hand</t>
        </is>
      </c>
    </row>
    <row r="8" ht="46" customHeight="1">
      <c r="B8" s="4" t="inlineStr">
        <is>
          <t>Day 90</t>
        </is>
      </c>
      <c r="C8" s="25">
        <f>APPROVAL+90</f>
        <v/>
      </c>
      <c r="D8" s="6" t="inlineStr">
        <is>
          <t>Pilot passed with clean 3-way reconciliation; Readiness Scorecard all-green; public launch across ETC service area</t>
        </is>
      </c>
    </row>
    <row r="10">
      <c r="B10" s="6" t="inlineStr">
        <is>
          <t>Dates auto-calc from the NCUC order date on the Cover tab. These are planning targets; the SAM.gov (~6 wk) and SAC turnaround are the two USAC-controlled timings to watch.</t>
        </is>
      </c>
      <c r="C10" s="26" t="n"/>
      <c r="D10" s="27" t="n"/>
    </row>
    <row r="11">
      <c r="B11" s="28" t="n"/>
      <c r="C11" s="29" t="n"/>
      <c r="D11" s="30" t="n"/>
    </row>
  </sheetData>
  <mergeCells count="1">
    <mergeCell ref="B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2026-09-28T17:12:30Z</dcterms:created>
  <dcterms:modified xmlns:dcterms="http://purl.org/dc/terms/" xmlns:xsi="http://www.w3.org/2001/XMLSchema-instance" xsi:type="dcterms:W3CDTF">2026-09-28T17:12:30Z</dcterms:modified>
</cp:coreProperties>
</file>