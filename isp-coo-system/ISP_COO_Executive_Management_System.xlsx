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_Dashboard" sheetId="1" state="visible" r:id="rId1"/>
    <sheet name="Sales_Dashboard" sheetId="2" state="visible" r:id="rId2"/>
    <sheet name="Ops_Dashboard" sheetId="3" state="visible" r:id="rId3"/>
    <sheet name="Financial_Dashboard" sheetId="4" state="visible" r:id="rId4"/>
    <sheet name="Board_Report" sheetId="5" state="visible" r:id="rId5"/>
    <sheet name="Customer_Data" sheetId="6" state="visible" r:id="rId6"/>
    <sheet name="Sales_Data" sheetId="7" state="visible" r:id="rId7"/>
    <sheet name="Pipeline" sheetId="8" state="visible" r:id="rId8"/>
    <sheet name="Operations_Data" sheetId="9" state="visible" r:id="rId9"/>
    <sheet name="Project_Data" sheetId="10" state="visible" r:id="rId10"/>
    <sheet name="Financial_Data" sheetId="11" state="visible" r:id="rId11"/>
    <sheet name="Revenue_Detail" sheetId="12" state="visible" r:id="rId12"/>
    <sheet name="Grant_Data" sheetId="13" state="visible" r:id="rId13"/>
    <sheet name="Sales_Targets" sheetId="14" state="visible" r:id="rId14"/>
    <sheet name="Risk_Register" sheetId="15" state="visible" r:id="rId15"/>
    <sheet name="Board_Actions" sheetId="16" state="visible" r:id="rId16"/>
    <sheet name="Data_Dictionary" sheetId="17" state="visible" r:id="rId17"/>
    <sheet name="User_Guide" sheetId="18" state="visible" r:id="rId18"/>
    <sheet name="Assumptions" sheetId="19" state="visible" r:id="rId19"/>
    <sheet name="Calc" sheetId="20" state="hidden" r:id="rId20"/>
    <sheet name="Lists" sheetId="21" state="hidden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"/>
    <numFmt numFmtId="166" formatCode="0.0%"/>
    <numFmt numFmtId="167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1A2233"/>
      <sz val="10"/>
    </font>
    <font>
      <name val="Calibri"/>
      <b val="1"/>
      <color rgb="00FFFFFF"/>
      <sz val="13"/>
    </font>
    <font>
      <name val="Calibri"/>
      <i val="1"/>
      <color rgb="005B6B86"/>
      <sz val="9"/>
    </font>
    <font>
      <name val="Calibri"/>
      <b val="1"/>
      <color rgb="00FFFFFF"/>
      <sz val="10"/>
    </font>
    <font>
      <name val="Calibri"/>
      <color rgb="001A2233"/>
      <sz val="10"/>
    </font>
    <font>
      <name val="Calibri"/>
      <b val="1"/>
      <color rgb="00FFFFFF"/>
      <sz val="20"/>
    </font>
    <font>
      <name val="Calibri"/>
      <color rgb="00C7D0E0"/>
      <sz val="11"/>
    </font>
    <font>
      <b val="1"/>
      <color rgb="00FFFFFF"/>
      <sz val="12"/>
    </font>
    <font>
      <name val="Calibri"/>
      <color rgb="005B6B86"/>
      <sz val="9"/>
    </font>
    <font>
      <name val="Calibri"/>
      <b val="1"/>
      <color rgb="0064748B"/>
      <sz val="9"/>
    </font>
    <font>
      <name val="Calibri"/>
      <b val="1"/>
      <color rgb="001F2A44"/>
      <sz val="14"/>
    </font>
    <font>
      <name val="Calibri"/>
      <color rgb="005B6B86"/>
      <sz val="8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4F6FA"/>
      </patternFill>
    </fill>
    <fill>
      <patternFill patternType="solid">
        <fgColor rgb="0033415C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8EDF5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 style="thin">
        <color rgb="00D7DEE8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1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0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0" fillId="0" borderId="1" pivotButton="0" quotePrefix="0" xfId="0"/>
    <xf numFmtId="3" fontId="11" fillId="6" borderId="1" applyAlignment="1" pivotButton="0" quotePrefix="0" xfId="0">
      <alignment horizontal="left" vertical="center" indent="1"/>
    </xf>
    <xf numFmtId="166" fontId="11" fillId="6" borderId="1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left" vertical="center" indent="1"/>
    </xf>
    <xf numFmtId="164" fontId="11" fillId="6" borderId="1" applyAlignment="1" pivotButton="0" quotePrefix="0" xfId="0">
      <alignment horizontal="left" vertical="center" indent="1"/>
    </xf>
    <xf numFmtId="167" fontId="11" fillId="6" borderId="1" applyAlignment="1" pivotButton="0" quotePrefix="0" xfId="0">
      <alignment horizontal="left" vertical="center" indent="1"/>
    </xf>
    <xf numFmtId="1" fontId="11" fillId="6" borderId="1" applyAlignment="1" pivotButton="0" quotePrefix="0" xfId="0">
      <alignment horizontal="left" vertical="center" indent="1"/>
    </xf>
    <xf numFmtId="165" fontId="11" fillId="6" borderId="1" applyAlignment="1" pivotButton="0" quotePrefix="0" xfId="0">
      <alignment horizontal="left" vertical="center" indent="1"/>
    </xf>
    <xf numFmtId="0" fontId="10" fillId="0" borderId="0" pivotButton="0" quotePrefix="0" xfId="0"/>
    <xf numFmtId="0" fontId="5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4" fillId="2" borderId="0" pivotButton="0" quotePrefix="0" xfId="0"/>
    <xf numFmtId="0" fontId="9" fillId="0" borderId="0" pivotButton="0" quotePrefix="0" xfId="0"/>
    <xf numFmtId="3" fontId="9" fillId="0" borderId="0" pivotButton="0" quotePrefix="0" xfId="0"/>
    <xf numFmtId="164" fontId="9" fillId="0" borderId="0" pivotButton="0" quotePrefix="0" xfId="0"/>
    <xf numFmtId="0" fontId="4" fillId="0" borderId="0" pivotButton="0" quotePrefix="0" xfId="0"/>
    <xf numFmtId="9" fontId="11" fillId="6" borderId="1" applyAlignment="1" pivotButton="0" quotePrefix="0" xfId="0">
      <alignment horizontal="left" vertical="center" indent="1"/>
    </xf>
    <xf numFmtId="9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4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1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9" fontId="5" fillId="0" borderId="1" pivotButton="0" quotePrefix="0" xfId="0"/>
    <xf numFmtId="0" fontId="2" fillId="2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0B6B2F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9C1B1B"/>
      </font>
      <fill>
        <patternFill patternType="solid">
          <fgColor rgb="00F8CBCB"/>
        </patternFill>
      </fill>
    </dxf>
    <dxf>
      <font>
        <b val="1"/>
        <color rgb="001F3864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Adds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'Calc'!$C$2:$C$13</f>
            </numRef>
          </val>
        </ser>
        <ser>
          <idx val="1"/>
          <order val="1"/>
          <tx>
            <strRef>
              <f>'Calc'!D1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'Calc'!$D$2:$D$13</f>
            </numRef>
          </val>
        </ser>
        <ser>
          <idx val="2"/>
          <order val="2"/>
          <tx>
            <strRef>
              <f>'Calc'!E1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'Calc'!$E$2:$E$13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'Calc'!J1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'Calc'!$J$2:$J$13</f>
            </numRef>
          </val>
        </ser>
        <ser>
          <idx val="1"/>
          <order val="1"/>
          <tx>
            <strRef>
              <f>'Calc'!Y1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'Calc'!$Y$2:$Y$13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Avg Days to Install</a:t>
            </a:r>
          </a:p>
        </rich>
      </tx>
    </title>
    <plotArea>
      <lineChart>
        <grouping val="standard"/>
        <ser>
          <idx val="0"/>
          <order val="0"/>
          <tx>
            <strRef>
              <f>'Calc'!T1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'Calc'!$T$2:$T$13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Install Backlog (running)</a:t>
            </a:r>
          </a:p>
        </rich>
      </tx>
    </title>
    <plotArea>
      <lineChart>
        <grouping val="standard"/>
        <ser>
          <idx val="0"/>
          <order val="0"/>
          <tx>
            <strRef>
              <f>'Calc'!S1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'Calc'!$S$2:$S$13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County (connects)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'Sales_Dashboard'!Q61</f>
            </strRef>
          </tx>
          <spPr>
            <a:ln>
              <a:prstDash val="solid"/>
            </a:ln>
          </spPr>
          <cat>
            <numRef>
              <f>'Sales_Dashboard'!$P$62:$P$67</f>
            </numRef>
          </cat>
          <val>
            <numRef>
              <f>'Sales_Dashboard'!$Q$62:$Q$67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Channel</a:t>
            </a:r>
          </a:p>
        </rich>
      </tx>
    </title>
    <plotArea>
      <pieChart>
        <varyColors val="1"/>
        <ser>
          <idx val="0"/>
          <order val="0"/>
          <tx>
            <strRef>
              <f>'Sales_Dashboard'!T61</f>
            </strRef>
          </tx>
          <spPr>
            <a:ln>
              <a:prstDash val="solid"/>
            </a:ln>
          </spPr>
          <cat>
            <numRef>
              <f>'Sales_Dashboard'!$S$62:$S$67</f>
            </numRef>
          </cat>
          <val>
            <numRef>
              <f>'Sales_Dashboard'!$T$62:$T$67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Rep Performance (connects)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'Sales_Dashboard'!W61</f>
            </strRef>
          </tx>
          <spPr>
            <a:ln>
              <a:prstDash val="solid"/>
            </a:ln>
          </spPr>
          <cat>
            <numRef>
              <f>'Sales_Dashboard'!$V$62:$V$66</f>
            </numRef>
          </cat>
          <val>
            <numRef>
              <f>'Sales_Dashboard'!$W$62:$W$66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Pipeline by Stage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'Sales_Dashboard'!Z61</f>
            </strRef>
          </tx>
          <spPr>
            <a:ln>
              <a:prstDash val="solid"/>
            </a:ln>
          </spPr>
          <cat>
            <numRef>
              <f>'Sales_Dashboard'!$Y$62:$Y$66</f>
            </numRef>
          </cat>
          <val>
            <numRef>
              <f>'Sales_Dashboard'!$Z$62:$Z$66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Goal vs Actual (monthly connects)</a:t>
            </a:r>
          </a:p>
        </rich>
      </tx>
    </title>
    <plotArea>
      <lineChart>
        <grouping val="standard"/>
        <ser>
          <idx val="0"/>
          <order val="0"/>
          <tx>
            <strRef>
              <f>'Sales_Dashboard'!Q76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'Sales_Dashboard'!$P$77:$P$88</f>
            </numRef>
          </cat>
          <val>
            <numRef>
              <f>'Sales_Dashboard'!$Q$77:$Q$88</f>
            </numRef>
          </val>
        </ser>
        <ser>
          <idx val="1"/>
          <order val="1"/>
          <tx>
            <strRef>
              <f>'Sales_Dashboard'!R76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'Sales_Dashboard'!$P$77:$P$88</f>
            </numRef>
          </cat>
          <val>
            <numRef>
              <f>'Sales_Dashboard'!$R$77:$R$88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Lost Reasons</a:t>
            </a:r>
          </a:p>
        </rich>
      </tx>
    </title>
    <plotArea>
      <pieChart>
        <varyColors val="1"/>
        <ser>
          <idx val="0"/>
          <order val="0"/>
          <tx>
            <strRef>
              <f>'Sales_Dashboard'!AC61</f>
            </strRef>
          </tx>
          <spPr>
            <a:ln>
              <a:prstDash val="solid"/>
            </a:ln>
          </spPr>
          <cat>
            <numRef>
              <f>'Sales_Dashboard'!$AB$62:$AB$67</f>
            </numRef>
          </cat>
          <val>
            <numRef>
              <f>'Sales_Dashboard'!$AC$62:$AC$67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Build Progress by Project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'Ops_Dashboard'!Q61</f>
            </strRef>
          </tx>
          <spPr>
            <a:ln>
              <a:prstDash val="solid"/>
            </a:ln>
          </spPr>
          <cat>
            <numRef>
              <f>'Ops_Dashboard'!$P$62:$P$71</f>
            </numRef>
          </cat>
          <val>
            <numRef>
              <f>'Ops_Dashboard'!$Q$62:$Q$71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Projects On Track / At Risk / Behind</a:t>
            </a:r>
          </a:p>
        </rich>
      </tx>
    </title>
    <plotArea>
      <pieChart>
        <varyColors val="1"/>
        <ser>
          <idx val="0"/>
          <order val="0"/>
          <tx>
            <strRef>
              <f>'Ops_Dashboard'!Q81</f>
            </strRef>
          </tx>
          <spPr>
            <a:ln>
              <a:prstDash val="solid"/>
            </a:ln>
          </spPr>
          <cat>
            <numRef>
              <f>'Ops_Dashboard'!$P$82:$P$85</f>
            </numRef>
          </cat>
          <val>
            <numRef>
              <f>'Ops_Dashboard'!$Q$82:$Q$85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Avg Days to Install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'Calc'!$T$2:$T$13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Install Backlog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'Calc'!$S$2:$S$13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Contractor Performance (avg score)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'Ops_Dashboard'!Q91</f>
            </strRef>
          </tx>
          <spPr>
            <a:ln>
              <a:prstDash val="solid"/>
            </a:ln>
          </spPr>
          <cat>
            <numRef>
              <f>'Ops_Dashboard'!$P$92:$P$95</f>
            </numRef>
          </cat>
          <val>
            <numRef>
              <f>'Ops_Dashboard'!$Q$92:$Q$95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Trouble Tickets by Category</a:t>
            </a:r>
          </a:p>
        </rich>
      </tx>
    </title>
    <plotArea>
      <pieChart>
        <varyColors val="1"/>
        <ser>
          <idx val="0"/>
          <order val="0"/>
          <tx>
            <strRef>
              <f>'Ops_Dashboard'!Q101</f>
            </strRef>
          </tx>
          <spPr>
            <a:ln>
              <a:prstDash val="solid"/>
            </a:ln>
          </spPr>
          <cat>
            <numRef>
              <f>'Ops_Dashboard'!$P$102:$P$107</f>
            </numRef>
          </cat>
          <val>
            <numRef>
              <f>'Ops_Dashboard'!$Q$102:$Q$107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Trend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'Calc'!J1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'Calc'!$J$2:$J$13</f>
            </numRef>
          </val>
        </ser>
        <ser>
          <idx val="1"/>
          <order val="1"/>
          <tx>
            <strRef>
              <f>'Calc'!Y1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'Calc'!$Y$2:$Y$13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(Rev &amp; OpEx, monthly)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'Calc'!J1</f>
            </strRef>
          </tx>
          <spPr>
            <a:ln>
              <a:prstDash val="solid"/>
            </a:ln>
          </spPr>
          <cat>
            <numRef>
              <f>'Calc'!$A$2:$A$13</f>
            </numRef>
          </cat>
          <val>
            <numRef>
              <f>'Calc'!$J$2:$J$13</f>
            </numRef>
          </val>
        </ser>
        <ser>
          <idx val="1"/>
          <order val="1"/>
          <tx>
            <strRef>
              <f>'Calc'!Y1</f>
            </strRef>
          </tx>
          <spPr>
            <a:ln>
              <a:prstDash val="solid"/>
            </a:ln>
          </spPr>
          <cat>
            <numRef>
              <f>'Calc'!$A$2:$A$13</f>
            </numRef>
          </cat>
          <val>
            <numRef>
              <f>'Calc'!$Y$2:$Y$13</f>
            </numRef>
          </val>
        </ser>
        <ser>
          <idx val="2"/>
          <order val="2"/>
          <tx>
            <strRef>
              <f>'Calc'!N1</f>
            </strRef>
          </tx>
          <spPr>
            <a:ln>
              <a:prstDash val="solid"/>
            </a:ln>
          </spPr>
          <cat>
            <numRef>
              <f>'Calc'!$A$2:$A$13</f>
            </numRef>
          </cat>
          <val>
            <numRef>
              <f>'Calc'!$N$2:$N$13</f>
            </numRef>
          </val>
        </ser>
        <ser>
          <idx val="3"/>
          <order val="3"/>
          <tx>
            <strRef>
              <f>'Calc'!Z1</f>
            </strRef>
          </tx>
          <spPr>
            <a:ln>
              <a:prstDash val="solid"/>
            </a:ln>
          </spPr>
          <cat>
            <numRef>
              <f>'Calc'!$A$2:$A$13</f>
            </numRef>
          </cat>
          <val>
            <numRef>
              <f>'Calc'!$Z$2:$Z$13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Cash Balance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'Calc'!M1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'Calc'!$A$2:$A$13</f>
            </numRef>
          </cat>
          <val>
            <numRef>
              <f>'Calc'!$M$2:$M$13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Balance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'Financial_Dashboard'!Q103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'Financial_Dashboard'!$P$104:$P$115</f>
            </numRef>
          </cat>
          <val>
            <numRef>
              <f>'Financial_Dashboard'!$Q$104:$Q$115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by Category (MTD)</a:t>
            </a:r>
          </a:p>
        </rich>
      </tx>
    </title>
    <plotArea>
      <pieChart>
        <varyColors val="1"/>
        <ser>
          <idx val="0"/>
          <order val="0"/>
          <tx>
            <strRef>
              <f>'Financial_Dashboard'!Q61</f>
            </strRef>
          </tx>
          <spPr>
            <a:ln>
              <a:prstDash val="solid"/>
            </a:ln>
          </spPr>
          <cat>
            <numRef>
              <f>'Financial_Dashboard'!$P$62:$P$65</f>
            </numRef>
          </cat>
          <val>
            <numRef>
              <f>'Financial_Dashboard'!$Q$62:$Q$65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(MTD)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'Financial_Dashboard'!Q71</f>
            </strRef>
          </tx>
          <spPr>
            <a:ln>
              <a:prstDash val="solid"/>
            </a:ln>
          </spPr>
          <cat>
            <numRef>
              <f>'Financial_Dashboard'!$P$72:$P$77</f>
            </numRef>
          </cat>
          <val>
            <numRef>
              <f>'Financial_Dashboard'!$Q$72:$Q$77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Grant Reimbursement Pipeline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'Financial_Dashboard'!Q83</f>
            </strRef>
          </tx>
          <spPr>
            <a:ln>
              <a:prstDash val="solid"/>
            </a:ln>
          </spPr>
          <cat>
            <numRef>
              <f>'Financial_Dashboard'!$P$84:$P$88</f>
            </numRef>
          </cat>
          <val>
            <numRef>
              <f>'Financial_Dashboard'!$Q$84:$Q$88</f>
            </numRef>
          </val>
        </ser>
        <ser>
          <idx val="1"/>
          <order val="1"/>
          <tx>
            <strRef>
              <f>'Financial_Dashboard'!R83</f>
            </strRef>
          </tx>
          <spPr>
            <a:ln>
              <a:prstDash val="solid"/>
            </a:ln>
          </spPr>
          <cat>
            <numRef>
              <f>'Financial_Dashboard'!$P$84:$P$88</f>
            </numRef>
          </cat>
          <val>
            <numRef>
              <f>'Financial_Dashboard'!$R$84:$R$88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Capital Spend by Project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'Financial_Dashboard'!Q93</f>
            </strRef>
          </tx>
          <spPr>
            <a:ln>
              <a:prstDash val="solid"/>
            </a:ln>
          </spPr>
          <cat>
            <numRef>
              <f>'Financial_Dashboard'!$P$94:$P$103</f>
            </numRef>
          </cat>
          <val>
            <numRef>
              <f>'Financial_Dashboard'!$Q$94:$Q$103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Relationship Type="http://schemas.openxmlformats.org/officeDocument/2006/relationships/chart" Target="/xl/charts/chart10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55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71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71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20</row>
      <rowOff>0</rowOff>
    </from>
    <ext cx="32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36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36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20</row>
      <rowOff>0</rowOff>
    </from>
    <ext cx="468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36</row>
      <rowOff>0</rowOff>
    </from>
    <ext cx="324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32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36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36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52</row>
      <rowOff>0</rowOff>
    </from>
    <ext cx="468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52</row>
      <rowOff>0</rowOff>
    </from>
    <ext cx="324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36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36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36</row>
      <rowOff>0</rowOff>
    </from>
    <ext cx="324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52</row>
      <rowOff>0</rowOff>
    </from>
    <ext cx="468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7</col>
      <colOff>0</colOff>
      <row>52</row>
      <rowOff>0</rowOff>
    </from>
    <ext cx="468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68</row>
      <rowOff>0</rowOff>
    </from>
    <ext cx="504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ustomer_Data" displayName="tbl_Customer_Data" ref="A3:F15" headerRowCount="1">
  <autoFilter ref="A3:F15"/>
  <tableColumns count="6">
    <tableColumn id="1" name="Month"/>
    <tableColumn id="2" name="Period"/>
    <tableColumn id="3" name="Total Customers"/>
    <tableColumn id="4" name="New Sales"/>
    <tableColumn id="5" name="Disconnects"/>
    <tableColumn id="6" name="Homes Passed (cum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Sales_Data" displayName="tbl_Sales_Data" ref="A3:L75" headerRowCount="1">
  <autoFilter ref="A3:L75"/>
  <tableColumns count="12">
    <tableColumn id="1" name="Month"/>
    <tableColumn id="2" name="Period"/>
    <tableColumn id="3" name="County"/>
    <tableColumn id="4" name="Segment"/>
    <tableColumn id="5" name="Channel"/>
    <tableColumn id="6" name="Campaign"/>
    <tableColumn id="7" name="Rep"/>
    <tableColumn id="8" name="Leads"/>
    <tableColumn id="9" name="Qualified"/>
    <tableColumn id="10" name="Sales (units)"/>
    <tableColumn id="11" name="New MRR ($)"/>
    <tableColumn id="12" name="Door Knock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Pipeline" displayName="tbl_Pipeline" ref="A3:J28" headerRowCount="1">
  <autoFilter ref="A3:J28"/>
  <tableColumns count="10">
    <tableColumn id="1" name="Opp ID"/>
    <tableColumn id="2" name="Name"/>
    <tableColumn id="3" name="County"/>
    <tableColumn id="4" name="Segment"/>
    <tableColumn id="5" name="Type"/>
    <tableColumn id="6" name="Stage"/>
    <tableColumn id="7" name="Value (ARR $)"/>
    <tableColumn id="8" name="Rep"/>
    <tableColumn id="9" name="Close Month"/>
    <tableColumn id="10" name="Lost Reas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Operations_Data" displayName="tbl_Operations_Data" ref="A3:M15" headerRowCount="1">
  <autoFilter ref="A3:M15"/>
  <tableColumns count="13">
    <tableColumn id="1" name="Month"/>
    <tableColumn id="2" name="Period"/>
    <tableColumn id="3" name="Homes Passed Added"/>
    <tableColumn id="4" name="Footage Built"/>
    <tableColumn id="5" name="Drops Completed"/>
    <tableColumn id="6" name="Installs Scheduled"/>
    <tableColumn id="7" name="Installs Completed"/>
    <tableColumn id="8" name="Avg Days to Install"/>
    <tableColumn id="9" name="Trouble Tickets"/>
    <tableColumn id="10" name="Repeat Tickets"/>
    <tableColumn id="11" name="Outages"/>
    <tableColumn id="12" name="Activations"/>
    <tableColumn id="13" name="Splices Completed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Project_Data" displayName="tbl_Project_Data" ref="A3:R13" headerRowCount="1">
  <autoFilter ref="A3:R13"/>
  <tableColumns count="18">
    <tableColumn id="1" name="Project"/>
    <tableColumn id="2" name="County"/>
    <tableColumn id="3" name="Type"/>
    <tableColumn id="4" name="Grant Program"/>
    <tableColumn id="5" name="% Complete"/>
    <tableColumn id="6" name="Status"/>
    <tableColumn id="7" name="Homes Passed Target"/>
    <tableColumn id="8" name="Homes Passed Actual"/>
    <tableColumn id="9" name="Footage Target"/>
    <tableColumn id="10" name="Footage Built"/>
    <tableColumn id="11" name="Capital Budget"/>
    <tableColumn id="12" name="Capital Spent"/>
    <tableColumn id="13" name="Permitting"/>
    <tableColumn id="14" name="Make-Ready"/>
    <tableColumn id="15" name="Splicing"/>
    <tableColumn id="16" name="Contractor"/>
    <tableColumn id="17" name="Contractor Score"/>
    <tableColumn id="18" name="Blocker / 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Financial_Data" displayName="tbl_Financial_Data" ref="A3:N15" headerRowCount="1">
  <autoFilter ref="A3:N15"/>
  <tableColumns count="14">
    <tableColumn id="1" name="Month"/>
    <tableColumn id="2" name="Period"/>
    <tableColumn id="3" name="Revenue"/>
    <tableColumn id="4" name="MRR"/>
    <tableColumn id="5" name="CapEx"/>
    <tableColumn id="6" name="OpEx"/>
    <tableColumn id="7" name="Labor"/>
    <tableColumn id="8" name="Contractor"/>
    <tableColumn id="9" name="Grant Reimb"/>
    <tableColumn id="10" name="Budget Revenue"/>
    <tableColumn id="11" name="Budget OpEx"/>
    <tableColumn id="12" name="Budget CapEx"/>
    <tableColumn id="13" name="Forecast Revenue"/>
    <tableColumn id="14" name="Cash Balan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Revenue_Detail" displayName="tbl_Revenue_Detail" ref="A3:F75" headerRowCount="1">
  <autoFilter ref="A3:F75"/>
  <tableColumns count="6">
    <tableColumn id="1" name="Month"/>
    <tableColumn id="2" name="Period"/>
    <tableColumn id="3" name="Product / Service Line"/>
    <tableColumn id="4" name="Segment"/>
    <tableColumn id="5" name="Revenue"/>
    <tableColumn id="6" name="COG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Grant_Data" displayName="tbl_Grant_Data" ref="A3:J11" headerRowCount="1">
  <autoFilter ref="A3:J11"/>
  <tableColumns count="10">
    <tableColumn id="1" name="Drawdown ID"/>
    <tableColumn id="2" name="Program"/>
    <tableColumn id="3" name="Project"/>
    <tableColumn id="4" name="Amount Requested"/>
    <tableColumn id="5" name="Amount Approved"/>
    <tableColumn id="6" name="Amount Received"/>
    <tableColumn id="7" name="Status"/>
    <tableColumn id="8" name="Submission Date"/>
    <tableColumn id="9" name="Expected Date"/>
    <tableColumn id="10" name="Not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Sales_Targets" displayName="tbl_Sales_Targets" ref="A3:D15" headerRowCount="1">
  <autoFilter ref="A3:D15"/>
  <tableColumns count="4">
    <tableColumn id="1" name="Month"/>
    <tableColumn id="2" name="Period"/>
    <tableColumn id="3" name="Sales Goal (units)"/>
    <tableColumn id="4" name="Revenue Goal (new MRR $)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Risk_Register" displayName="tbl_Risk_Register" ref="A3:K13" headerRowCount="1">
  <autoFilter ref="A3:K13"/>
  <tableColumns count="11">
    <tableColumn id="1" name="Risk ID"/>
    <tableColumn id="2" name="Description"/>
    <tableColumn id="3" name="Category"/>
    <tableColumn id="4" name="Likelihood"/>
    <tableColumn id="5" name="Impact"/>
    <tableColumn id="6" name="Score"/>
    <tableColumn id="7" name="RYG"/>
    <tableColumn id="8" name="Owner"/>
    <tableColumn id="9" name="Mitigation"/>
    <tableColumn id="10" name="Status"/>
    <tableColumn id="11" name="Updated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_Board_Actions" displayName="tbl_Board_Actions" ref="A3:I11" headerRowCount="1">
  <autoFilter ref="A3:I11"/>
  <tableColumns count="9">
    <tableColumn id="1" name="Action ID"/>
    <tableColumn id="2" name="Description"/>
    <tableColumn id="3" name="Category"/>
    <tableColumn id="4" name="Owner"/>
    <tableColumn id="5" name="Raised"/>
    <tableColumn id="6" name="Due"/>
    <tableColumn id="7" name="Priority"/>
    <tableColumn id="8" name="Status"/>
    <tableColumn id="9" name="Decision Need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0E7C86"/>
    <outlinePr summaryBelow="1" summaryRight="1"/>
    <pageSetUpPr/>
  </sheetPr>
  <dimension ref="A1:L55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</cols>
  <sheetData>
    <row r="1" ht="30" customHeight="1">
      <c r="A1" s="1" t="inlineStr">
        <is>
          <t>EXECUTIVE DASHBOARD  —  COO One-Page View</t>
        </is>
      </c>
    </row>
    <row r="2" ht="16" customHeight="1">
      <c r="A2" s="2" t="inlineStr">
        <is>
          <t>Regional Fiber Broadband  •  Weekly Executive Review  •  Red / Yellow / Green health  •  All values roll up automatically from the input tabs</t>
        </is>
      </c>
    </row>
    <row r="4">
      <c r="B4" s="3" t="inlineStr">
        <is>
          <t>REPORTING CONTROLS</t>
        </is>
      </c>
    </row>
    <row r="5">
      <c r="B5" s="4" t="inlineStr">
        <is>
          <t>Reporting Month ▶</t>
        </is>
      </c>
      <c r="C5" s="5" t="inlineStr">
        <is>
          <t>Jun-2026</t>
        </is>
      </c>
      <c r="D5" s="6">
        <f>MATCH(C5,Lists!$A$2:$A$13,0)</f>
        <v/>
      </c>
      <c r="E5" s="7" t="inlineStr">
        <is>
          <t>(Period index — drives MTD / YTD / Rolling-12)</t>
        </is>
      </c>
    </row>
    <row r="7" ht="22" customHeight="1">
      <c r="B7" s="8" t="inlineStr">
        <is>
          <t>COMPANY HEALTH  —  KPI SCORECARD (current reporting month)</t>
        </is>
      </c>
    </row>
    <row r="8">
      <c r="B8" s="9" t="inlineStr">
        <is>
          <t>TOTAL CUSTOMERS</t>
        </is>
      </c>
      <c r="C8" s="10" t="n"/>
      <c r="D8" s="9" t="inlineStr">
        <is>
          <t>NEW SALES (MTD)</t>
        </is>
      </c>
      <c r="E8" s="10" t="n"/>
      <c r="F8" s="9" t="inlineStr">
        <is>
          <t>DISCONNECTS (MTD)</t>
        </is>
      </c>
      <c r="G8" s="10" t="n"/>
      <c r="H8" s="9" t="inlineStr">
        <is>
          <t>NET ADDS (MTD)</t>
        </is>
      </c>
      <c r="I8" s="10" t="n"/>
      <c r="J8" s="9" t="inlineStr">
        <is>
          <t>TAKE RATE</t>
        </is>
      </c>
      <c r="K8" s="10" t="n"/>
    </row>
    <row r="9">
      <c r="B9" s="11">
        <f>SUMIFS(Customer_Data!$C$4:$C$1003,Customer_Data!$A$4:$A$1003,Exec_Dashboard!$C$5)</f>
        <v/>
      </c>
      <c r="C9" s="10" t="n"/>
      <c r="D9" s="11">
        <f>SUMIFS(Customer_Data!$D$4:$D$1003,Customer_Data!$A$4:$A$1003,Exec_Dashboard!$C$5)</f>
        <v/>
      </c>
      <c r="E9" s="10" t="n"/>
      <c r="F9" s="11">
        <f>SUMIFS(Customer_Data!$E$4:$E$1003,Customer_Data!$A$4:$A$1003,Exec_Dashboard!$C$5)</f>
        <v/>
      </c>
      <c r="G9" s="10" t="n"/>
      <c r="H9" s="11">
        <f>SUMIFS(Customer_Data!$D$4:$D$1003,Customer_Data!$A$4:$A$1003,Exec_Dashboard!$C$5)-SUMIFS(Customer_Data!$E$4:$E$1003,Customer_Data!$A$4:$A$1003,Exec_Dashboard!$C$5)</f>
        <v/>
      </c>
      <c r="I9" s="10" t="n"/>
      <c r="J9" s="12">
        <f>IF(SUMIFS(Customer_Data!$F$4:$F$1003,Customer_Data!$A$4:$A$1003,Exec_Dashboard!$C$5)=0,0,SUMIFS(Customer_Data!$C$4:$C$1003,Customer_Data!$A$4:$A$1003,Exec_Dashboard!$C$5)/SUMIFS(Customer_Data!$F$4:$F$1003,Customer_Data!$A$4:$A$1003,Exec_Dashboard!$C$5))</f>
        <v/>
      </c>
      <c r="K9" s="10" t="n"/>
    </row>
    <row r="10">
      <c r="B10" s="13" t="inlineStr">
        <is>
          <t>End-of-month subscribers</t>
        </is>
      </c>
      <c r="C10" s="10" t="n"/>
      <c r="D10" s="13">
        <f>IF(D9&gt;=SUMIFS(Sales_Targets!$C$4:$C$1003,Sales_Targets!$A$4:$A$1003,Exec_Dashboard!$C$5),"GREEN",IF(D9&gt;=0.9*SUMIFS(Sales_Targets!$C$4:$C$1003,Sales_Targets!$A$4:$A$1003,Exec_Dashboard!$C$5),"YELLOW","RED"))</f>
        <v/>
      </c>
      <c r="E10" s="10" t="n"/>
      <c r="F10" s="13">
        <f>IF(F9&lt;=0.02*SUMIFS(Customer_Data!$C$4:$C$1003,Customer_Data!$A$4:$A$1003,Exec_Dashboard!$C$5),"GREEN",IF(F9&lt;=0.03*SUMIFS(Customer_Data!$C$4:$C$1003,Customer_Data!$A$4:$A$1003,Exec_Dashboard!$C$5),"YELLOW","RED"))</f>
        <v/>
      </c>
      <c r="G10" s="10" t="n"/>
      <c r="H10" s="13">
        <f>IF(H9&gt;0,"GREEN",IF(H9=0,"YELLOW","RED"))</f>
        <v/>
      </c>
      <c r="I10" s="10" t="n"/>
      <c r="J10" s="13">
        <f>IF(J9&gt;=0.35,"GREEN",IF(J9&gt;=0.25,"YELLOW","RED"))</f>
        <v/>
      </c>
      <c r="K10" s="10" t="n"/>
    </row>
    <row r="13">
      <c r="B13" s="9" t="inlineStr">
        <is>
          <t>REVENUE (MTD)</t>
        </is>
      </c>
      <c r="C13" s="10" t="n"/>
      <c r="D13" s="9" t="inlineStr">
        <is>
          <t>ARPU</t>
        </is>
      </c>
      <c r="E13" s="10" t="n"/>
      <c r="F13" s="9" t="inlineStr">
        <is>
          <t>MRR</t>
        </is>
      </c>
      <c r="G13" s="10" t="n"/>
      <c r="H13" s="9" t="inlineStr">
        <is>
          <t>CHURN RATE</t>
        </is>
      </c>
      <c r="I13" s="10" t="n"/>
      <c r="J13" s="9" t="inlineStr">
        <is>
          <t>HOMES PASSED</t>
        </is>
      </c>
      <c r="K13" s="10" t="n"/>
    </row>
    <row r="14">
      <c r="B14" s="14">
        <f>SUMIFS(Financial_Data!$C$4:$C$1003,Financial_Data!$A$4:$A$1003,Exec_Dashboard!$C$5)</f>
        <v/>
      </c>
      <c r="C14" s="10" t="n"/>
      <c r="D14" s="15">
        <f>IF(SUMIFS(Customer_Data!$C$4:$C$1003,Customer_Data!$A$4:$A$1003,Exec_Dashboard!$C$5)=0,0,SUMIFS(Financial_Data!$D$4:$D$1003,Financial_Data!$A$4:$A$1003,Exec_Dashboard!$C$5)/SUMIFS(Customer_Data!$C$4:$C$1003,Customer_Data!$A$4:$A$1003,Exec_Dashboard!$C$5))</f>
        <v/>
      </c>
      <c r="E14" s="10" t="n"/>
      <c r="F14" s="14">
        <f>SUMIFS(Financial_Data!$D$4:$D$1003,Financial_Data!$A$4:$A$1003,Exec_Dashboard!$C$5)</f>
        <v/>
      </c>
      <c r="G14" s="10" t="n"/>
      <c r="H14" s="12">
        <f>IF(SUMIFS(Customer_Data!$C$4:$C$1003,Customer_Data!$B$4:$B$1003,Exec_Dashboard!$D$5-1)=0,0,SUMIFS(Customer_Data!$E$4:$E$1003,Customer_Data!$A$4:$A$1003,Exec_Dashboard!$C$5)/SUMIFS(Customer_Data!$C$4:$C$1003,Customer_Data!$B$4:$B$1003,Exec_Dashboard!$D$5-1))</f>
        <v/>
      </c>
      <c r="I14" s="10" t="n"/>
      <c r="J14" s="11">
        <f>SUMIFS(Customer_Data!$F$4:$F$1003,Customer_Data!$A$4:$A$1003,Exec_Dashboard!$C$5)</f>
        <v/>
      </c>
      <c r="K14" s="10" t="n"/>
    </row>
    <row r="15">
      <c r="B15" s="13" t="inlineStr">
        <is>
          <t>Total billed this month</t>
        </is>
      </c>
      <c r="C15" s="10" t="n"/>
      <c r="D15" s="13">
        <f>IF(D14&gt;=75,"GREEN",IF(D14&gt;=65,"YELLOW","RED"))</f>
        <v/>
      </c>
      <c r="E15" s="10" t="n"/>
      <c r="F15" s="13" t="inlineStr">
        <is>
          <t>Monthly recurring revenue</t>
        </is>
      </c>
      <c r="G15" s="10" t="n"/>
      <c r="H15" s="13">
        <f>IF(H14&lt;=0.015,"GREEN",IF(H14&lt;=0.025,"YELLOW","RED"))</f>
        <v/>
      </c>
      <c r="I15" s="10" t="n"/>
      <c r="J15" s="13" t="inlineStr">
        <is>
          <t>Cumulative passings</t>
        </is>
      </c>
      <c r="K15" s="10" t="n"/>
    </row>
    <row r="18">
      <c r="B18" s="9" t="inlineStr">
        <is>
          <t>ACTIVE PROJECTS</t>
        </is>
      </c>
      <c r="C18" s="10" t="n"/>
      <c r="D18" s="9" t="inlineStr">
        <is>
          <t>PROJECTS BEHIND</t>
        </is>
      </c>
      <c r="E18" s="10" t="n"/>
      <c r="F18" s="9" t="inlineStr">
        <is>
          <t>INSTALL BACKLOG</t>
        </is>
      </c>
      <c r="G18" s="10" t="n"/>
      <c r="H18" s="9" t="inlineStr">
        <is>
          <t>AVG DAYS TO INSTALL</t>
        </is>
      </c>
      <c r="I18" s="10" t="n"/>
      <c r="J18" s="9" t="inlineStr">
        <is>
          <t>TROUBLE TICKETS (MTD)</t>
        </is>
      </c>
      <c r="K18" s="10" t="n"/>
    </row>
    <row r="19">
      <c r="B19" s="16">
        <f>(COUNTIFS(Project_Data!$F$4:$F$1003,"On Track")+COUNTIFS(Project_Data!$F$4:$F$1003,"At Risk")+COUNTIFS(Project_Data!$F$4:$F$1003,"Behind"))</f>
        <v/>
      </c>
      <c r="C19" s="10" t="n"/>
      <c r="D19" s="16">
        <f>COUNTIFS(Project_Data!$F$4:$F$1003,"Behind")</f>
        <v/>
      </c>
      <c r="E19" s="10" t="n"/>
      <c r="F19" s="11">
        <f>SUMIFS(Operations_Data!$F$4:$F$1003,Operations_Data!$B$4:$B$1003,"&lt;="&amp;Exec_Dashboard!$D$5)-SUMIFS(Operations_Data!$G$4:$G$1003,Operations_Data!$B$4:$B$1003,"&lt;="&amp;Exec_Dashboard!$D$5)</f>
        <v/>
      </c>
      <c r="G19" s="10" t="n"/>
      <c r="H19" s="17">
        <f>AVERAGEIFS(Operations_Data!$H$4:$H$1003,Operations_Data!$A$4:$A$1003,Exec_Dashboard!$C$5)</f>
        <v/>
      </c>
      <c r="I19" s="10" t="n"/>
      <c r="J19" s="11">
        <f>SUMIFS(Operations_Data!$I$4:$I$1003,Operations_Data!$A$4:$A$1003,Exec_Dashboard!$C$5)</f>
        <v/>
      </c>
      <c r="K19" s="10" t="n"/>
    </row>
    <row r="20">
      <c r="B20" s="13" t="inlineStr">
        <is>
          <t>Capital builds in flight</t>
        </is>
      </c>
      <c r="C20" s="10" t="n"/>
      <c r="D20" s="13">
        <f>IF(D19=0,"GREEN",IF(D19&lt;=1,"YELLOW","RED"))</f>
        <v/>
      </c>
      <c r="E20" s="10" t="n"/>
      <c r="F20" s="13">
        <f>IF(F19&lt;=200,"GREEN",IF(F19&lt;=400,"YELLOW","RED"))</f>
        <v/>
      </c>
      <c r="G20" s="10" t="n"/>
      <c r="H20" s="13">
        <f>IF(H19&lt;=7,"GREEN",IF(H19&lt;=10,"YELLOW","RED"))</f>
        <v/>
      </c>
      <c r="I20" s="10" t="n"/>
      <c r="J20" s="13">
        <f>IF(J19&lt;=250,"GREEN",IF(J19&lt;=320,"YELLOW","RED"))</f>
        <v/>
      </c>
      <c r="K20" s="10" t="n"/>
    </row>
    <row r="23">
      <c r="B23" s="9" t="inlineStr">
        <is>
          <t>BUDGET vs ACTUAL (REV)</t>
        </is>
      </c>
      <c r="C23" s="10" t="n"/>
      <c r="D23" s="9" t="inlineStr">
        <is>
          <t>CASH (END OF MONTH)</t>
        </is>
      </c>
      <c r="E23" s="10" t="n"/>
      <c r="F23" s="9" t="inlineStr">
        <is>
          <t>90-DAY CASH FORECAST</t>
        </is>
      </c>
      <c r="G23" s="10" t="n"/>
      <c r="H23" s="9" t="inlineStr">
        <is>
          <t>GRANT REIMB RECEIVED</t>
        </is>
      </c>
      <c r="I23" s="10" t="n"/>
      <c r="J23" s="9" t="inlineStr">
        <is>
          <t>GRANT OUTSTANDING</t>
        </is>
      </c>
      <c r="K23" s="10" t="n"/>
    </row>
    <row r="24">
      <c r="B24" s="14">
        <f>SUMIFS(Financial_Data!$C$4:$C$1003,Financial_Data!$A$4:$A$1003,Exec_Dashboard!$C$5)-SUMIFS(Financial_Data!$J$4:$J$1003,Financial_Data!$A$4:$A$1003,Exec_Dashboard!$C$5)</f>
        <v/>
      </c>
      <c r="C24" s="10" t="n"/>
      <c r="D24" s="14">
        <f>SUMIFS(Financial_Data!$N$4:$N$1003,Financial_Data!$A$4:$A$1003,Exec_Dashboard!$C$5)</f>
        <v/>
      </c>
      <c r="E24" s="10" t="n"/>
      <c r="F24" s="14">
        <f>SUMIFS(Financial_Data!$N$4:$N$1003,Financial_Data!$A$4:$A$1003,Exec_Dashboard!$C$5)+3*SUMIFS(Financial_Data!$M$4:$M$1003,Financial_Data!$A$4:$A$1003,Exec_Dashboard!$C$5)+SUM(Grant_Data!$E$4:$E$1003)-SUM(Grant_Data!$F$4:$F$1003)-3*(SUMIFS(Financial_Data!$F$4:$F$1003,Financial_Data!$A$4:$A$1003,Exec_Dashboard!$C$5)+SUMIFS(Financial_Data!$E$4:$E$1003,Financial_Data!$A$4:$A$1003,Exec_Dashboard!$C$5)+SUMIFS(Financial_Data!$H$4:$H$1003,Financial_Data!$A$4:$A$1003,Exec_Dashboard!$C$5))</f>
        <v/>
      </c>
      <c r="G24" s="10" t="n"/>
      <c r="H24" s="14">
        <f>SUMIFS(Grant_Data!$F$4:$F$1003,Grant_Data!$F$4:$F$1003,"&gt;0")</f>
        <v/>
      </c>
      <c r="I24" s="10" t="n"/>
      <c r="J24" s="14">
        <f>SUM(Grant_Data!$E$4:$E$1003)-SUM(Grant_Data!$F$4:$F$1003)</f>
        <v/>
      </c>
      <c r="K24" s="10" t="n"/>
    </row>
    <row r="25">
      <c r="B25" s="13">
        <f>IF(B24&gt;=0,"GREEN",IF(B24&gt;=-0.05*SUMIFS(Financial_Data!$J$4:$J$1003,Financial_Data!$A$4:$A$1003,Exec_Dashboard!$C$5),"YELLOW","RED"))</f>
        <v/>
      </c>
      <c r="C25" s="10" t="n"/>
      <c r="D25" s="13">
        <f>IF(D24&gt;=3000000,"GREEN",IF(D24&gt;=1500000,"YELLOW","RED"))</f>
        <v/>
      </c>
      <c r="E25" s="10" t="n"/>
      <c r="F25" s="13">
        <f>IF(F24&gt;=1500000,"GREEN",IF(F24&gt;=500000,"YELLOW","RED"))</f>
        <v/>
      </c>
      <c r="G25" s="10" t="n"/>
      <c r="H25" s="13" t="inlineStr">
        <is>
          <t>Outstanding shown on Financial tab</t>
        </is>
      </c>
      <c r="I25" s="10" t="n"/>
      <c r="J25" s="13">
        <f>IF(J24&lt;=500000,"GREEN",IF(J24&lt;=1200000,"YELLOW","RED"))</f>
        <v/>
      </c>
      <c r="K25" s="10" t="n"/>
    </row>
    <row r="27">
      <c r="F27" s="18" t="inlineStr">
        <is>
          <t>AUTO-GENERATED EXECUTIVE SUMMARY</t>
        </is>
      </c>
    </row>
    <row r="28">
      <c r="B28" s="9" t="inlineStr">
        <is>
          <t>MAJOR RISKS (RED)</t>
        </is>
      </c>
      <c r="C28" s="10" t="n"/>
      <c r="D28" s="9" t="inlineStr">
        <is>
          <t>KEY DECISIONS NEEDED</t>
        </is>
      </c>
      <c r="E28" s="10" t="n"/>
      <c r="F28" s="19">
        <f>"As of "&amp;C5&amp;": "&amp;SUMIFS(Customer_Data!$C$4:$C$1003,Customer_Data!$A$4:$A$1003,Exec_Dashboard!$C$5)&amp;" customers, net adds "&amp;(SUMIFS(Customer_Data!$D$4:$D$1003,Customer_Data!$A$4:$A$1003,Exec_Dashboard!$C$5)-SUMIFS(Customer_Data!$E$4:$E$1003,Customer_Data!$A$4:$A$1003,Exec_Dashboard!$C$5))&amp;" ("&amp;TEXT(IF(SUMIFS(Customer_Data!$C$4:$C$1003,Customer_Data!$B$4:$B$1003,Exec_Dashboard!$D$5-1)=0,0,SUMIFS(Customer_Data!$E$4:$E$1003,Customer_Data!$A$4:$A$1003,Exec_Dashboard!$C$5)/SUMIFS(Customer_Data!$C$4:$C$1003,Customer_Data!$B$4:$B$1003,Exec_Dashboard!$D$5-1)),"0.0%")&amp;" churn). Revenue "&amp;TEXT(SUMIFS(Financial_Data!$C$4:$C$1003,Financial_Data!$A$4:$A$1003,Exec_Dashboard!$C$5),"$#,##0")&amp;" vs budget "&amp;TEXT(SUMIFS(Financial_Data!$J$4:$J$1003,Financial_Data!$A$4:$A$1003,Exec_Dashboard!$C$5),"$#,##0")&amp;". "&amp;(COUNTIFS(Project_Data!$F$4:$F$1003,"On Track")+COUNTIFS(Project_Data!$F$4:$F$1003,"At Risk")+COUNTIFS(Project_Data!$F$4:$F$1003,"Behind"))&amp;" active projects, "&amp;COUNTIFS(Project_Data!$F$4:$F$1003,"Behind")&amp;" behind. Install backlog "&amp;(SUMIFS(Operations_Data!$F$4:$F$1003,Operations_Data!$B$4:$B$1003,"&lt;="&amp;Exec_Dashboard!$D$5)-SUMIFS(Operations_Data!$G$4:$G$1003,Operations_Data!$B$4:$B$1003,"&lt;="&amp;Exec_Dashboard!$D$5))&amp;", avg "&amp;TEXT(AVERAGEIFS(Operations_Data!$H$4:$H$1003,Operations_Data!$A$4:$A$1003,Exec_Dashboard!$C$5),"0.0")&amp;" days. "&amp;COUNTIFS(Risk_Register!$F$4:$F$1003,"&gt;=15")&amp;" red risk(s), "&amp;COUNTIFS(Board_Actions!$I$4:$I$1003,"Yes",Board_Actions!$H$4:$H$1003,"&lt;&gt;Complete")&amp;" decision(s) need executive action."</f>
        <v/>
      </c>
      <c r="G28" s="10" t="n"/>
      <c r="H28" s="10" t="n"/>
      <c r="I28" s="10" t="n"/>
      <c r="J28" s="10" t="n"/>
      <c r="K28" s="10" t="n"/>
      <c r="L28" s="10" t="n"/>
    </row>
    <row r="29">
      <c r="B29" s="16">
        <f>COUNTIFS(Risk_Register!$F$4:$F$1003,"&gt;=15")</f>
        <v/>
      </c>
      <c r="C29" s="10" t="n"/>
      <c r="D29" s="16">
        <f>COUNTIFS(Board_Actions!$I$4:$I$1003,"Yes",Board_Actions!$H$4:$H$1003,"&lt;&gt;Complete")</f>
        <v/>
      </c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B30" s="13">
        <f>IF(B29=0,"GREEN",IF(B29&lt;=1,"YELLOW","RED"))</f>
        <v/>
      </c>
      <c r="C30" s="10" t="n"/>
      <c r="D30" s="13">
        <f>IF(D29=0,"GREEN",IF(D29&lt;=3,"YELLOW","RED"))</f>
        <v/>
      </c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3" ht="22" customHeight="1">
      <c r="B33" s="8" t="inlineStr">
        <is>
          <t>TIME-SERIES ROLLUPS  —  This Month / YTD / Rolling-12 / Prior Month / Goal / Variance</t>
        </is>
      </c>
    </row>
    <row r="34">
      <c r="B34" s="20" t="inlineStr">
        <is>
          <t>Metric</t>
        </is>
      </c>
      <c r="C34" s="20" t="inlineStr">
        <is>
          <t>This Month</t>
        </is>
      </c>
      <c r="D34" s="20" t="inlineStr">
        <is>
          <t>YTD</t>
        </is>
      </c>
      <c r="E34" s="20" t="inlineStr">
        <is>
          <t>Rolling 12</t>
        </is>
      </c>
      <c r="F34" s="20" t="inlineStr">
        <is>
          <t>Prior Month</t>
        </is>
      </c>
      <c r="G34" s="20" t="inlineStr">
        <is>
          <t>Goal (MTD)</t>
        </is>
      </c>
      <c r="H34" s="20" t="inlineStr">
        <is>
          <t>Variance</t>
        </is>
      </c>
      <c r="I34" s="20" t="inlineStr">
        <is>
          <t>Status</t>
        </is>
      </c>
    </row>
    <row r="35">
      <c r="B35" s="21" t="inlineStr">
        <is>
          <t>New Sales</t>
        </is>
      </c>
      <c r="C35" s="22">
        <f>SUMIFS(Calc!$C$2:$C$13,Calc!$A$2:$A$13,Exec_Dashboard!$C$5)</f>
        <v/>
      </c>
      <c r="D35" s="22">
        <f>SUMIFS(Calc!$C$2:$C$13,Calc!$B$2:$B$13,"&lt;="&amp;Exec_Dashboard!$D$5)</f>
        <v/>
      </c>
      <c r="E35" s="22">
        <f>SUMIFS(Calc!$C$2:$C$13,Calc!$B$2:$B$13,"&gt;"&amp;(Exec_Dashboard!$D$5-12))</f>
        <v/>
      </c>
      <c r="F35" s="22">
        <f>SUMIFS(Calc!$C$2:$C$13,Calc!$B$2:$B$13,Exec_Dashboard!$D$5-1)</f>
        <v/>
      </c>
      <c r="G35" s="22">
        <f>SUMIFS(Sales_Targets!$C$4:$C$1003,Sales_Targets!$A$4:$A$1003,Exec_Dashboard!$C$5)</f>
        <v/>
      </c>
      <c r="H35" s="22">
        <f>C35-G35</f>
        <v/>
      </c>
      <c r="I35" s="23">
        <f>IF(C35&gt;=G35,"GREEN",IF(C35&gt;=0.9*G35,"YELLOW","RED"))</f>
        <v/>
      </c>
    </row>
    <row r="36">
      <c r="B36" s="21" t="inlineStr">
        <is>
          <t>Disconnects</t>
        </is>
      </c>
      <c r="C36" s="22">
        <f>SUMIFS(Calc!$D$2:$D$13,Calc!$A$2:$A$13,Exec_Dashboard!$C$5)</f>
        <v/>
      </c>
      <c r="D36" s="22">
        <f>SUMIFS(Calc!$D$2:$D$13,Calc!$B$2:$B$13,"&lt;="&amp;Exec_Dashboard!$D$5)</f>
        <v/>
      </c>
      <c r="E36" s="22">
        <f>SUMIFS(Calc!$D$2:$D$13,Calc!$B$2:$B$13,"&gt;"&amp;(Exec_Dashboard!$D$5-12))</f>
        <v/>
      </c>
      <c r="F36" s="22">
        <f>SUMIFS(Calc!$D$2:$D$13,Calc!$B$2:$B$13,Exec_Dashboard!$D$5-1)</f>
        <v/>
      </c>
      <c r="G36" s="23" t="inlineStr">
        <is>
          <t>—</t>
        </is>
      </c>
      <c r="H36" s="22">
        <f>C36-F36</f>
        <v/>
      </c>
      <c r="I36" s="23">
        <f>IF(C36&lt;=F36,"GREEN",IF(C36&lt;=1.05*F36,"YELLOW","RED"))</f>
        <v/>
      </c>
    </row>
    <row r="37">
      <c r="B37" s="21" t="inlineStr">
        <is>
          <t>Net Adds</t>
        </is>
      </c>
      <c r="C37" s="22">
        <f>SUMIFS(Calc!$E$2:$E$13,Calc!$A$2:$A$13,Exec_Dashboard!$C$5)</f>
        <v/>
      </c>
      <c r="D37" s="22">
        <f>SUMIFS(Calc!$E$2:$E$13,Calc!$B$2:$B$13,"&lt;="&amp;Exec_Dashboard!$D$5)</f>
        <v/>
      </c>
      <c r="E37" s="22">
        <f>SUMIFS(Calc!$E$2:$E$13,Calc!$B$2:$B$13,"&gt;"&amp;(Exec_Dashboard!$D$5-12))</f>
        <v/>
      </c>
      <c r="F37" s="22">
        <f>SUMIFS(Calc!$E$2:$E$13,Calc!$B$2:$B$13,Exec_Dashboard!$D$5-1)</f>
        <v/>
      </c>
      <c r="G37" s="23" t="inlineStr">
        <is>
          <t>—</t>
        </is>
      </c>
      <c r="H37" s="22">
        <f>C37-F37</f>
        <v/>
      </c>
      <c r="I37" s="23">
        <f>IF(C37&gt;=F37,"GREEN",IF(C37&gt;=0.95*F37,"YELLOW","RED"))</f>
        <v/>
      </c>
    </row>
    <row r="38">
      <c r="B38" s="21" t="inlineStr">
        <is>
          <t>Revenue</t>
        </is>
      </c>
      <c r="C38" s="24">
        <f>SUMIFS(Calc!$J$2:$J$13,Calc!$A$2:$A$13,Exec_Dashboard!$C$5)</f>
        <v/>
      </c>
      <c r="D38" s="24">
        <f>SUMIFS(Calc!$J$2:$J$13,Calc!$B$2:$B$13,"&lt;="&amp;Exec_Dashboard!$D$5)</f>
        <v/>
      </c>
      <c r="E38" s="24">
        <f>SUMIFS(Calc!$J$2:$J$13,Calc!$B$2:$B$13,"&gt;"&amp;(Exec_Dashboard!$D$5-12))</f>
        <v/>
      </c>
      <c r="F38" s="24">
        <f>SUMIFS(Calc!$J$2:$J$13,Calc!$B$2:$B$13,Exec_Dashboard!$D$5-1)</f>
        <v/>
      </c>
      <c r="G38" s="24">
        <f>SUMIFS(Financial_Data!$J$4:$J$1003,Financial_Data!$A$4:$A$1003,Exec_Dashboard!$C$5)</f>
        <v/>
      </c>
      <c r="H38" s="24">
        <f>C38-G38</f>
        <v/>
      </c>
      <c r="I38" s="23">
        <f>IF(C38&gt;=G38,"GREEN",IF(C38&gt;=0.9*G38,"YELLOW","RED"))</f>
        <v/>
      </c>
    </row>
    <row r="39">
      <c r="B39" s="21" t="inlineStr">
        <is>
          <t>MRR</t>
        </is>
      </c>
      <c r="C39" s="24">
        <f>SUMIFS(Calc!$K$2:$K$13,Calc!$A$2:$A$13,Exec_Dashboard!$C$5)</f>
        <v/>
      </c>
      <c r="D39" s="24">
        <f>SUMIFS(Calc!$K$2:$K$13,Calc!$A$2:$A$13,Exec_Dashboard!$C$5)</f>
        <v/>
      </c>
      <c r="E39" s="24">
        <f>SUMIFS(Calc!$K$2:$K$13,Calc!$A$2:$A$13,Exec_Dashboard!$C$5)</f>
        <v/>
      </c>
      <c r="F39" s="24">
        <f>SUMIFS(Calc!$K$2:$K$13,Calc!$B$2:$B$13,Exec_Dashboard!$D$5-1)</f>
        <v/>
      </c>
      <c r="G39" s="23" t="inlineStr">
        <is>
          <t>—</t>
        </is>
      </c>
      <c r="H39" s="24">
        <f>C39-F39</f>
        <v/>
      </c>
      <c r="I39" s="23">
        <f>IF(C39&gt;=F39,"GREEN",IF(C39&gt;=0.95*F39,"YELLOW","RED"))</f>
        <v/>
      </c>
    </row>
    <row r="40">
      <c r="B40" s="21" t="inlineStr">
        <is>
          <t>CapEx</t>
        </is>
      </c>
      <c r="C40" s="24">
        <f>SUMIFS(Calc!$M$2:$M$13,Calc!$A$2:$A$13,Exec_Dashboard!$C$5)</f>
        <v/>
      </c>
      <c r="D40" s="24">
        <f>SUMIFS(Calc!$M$2:$M$13,Calc!$B$2:$B$13,"&lt;="&amp;Exec_Dashboard!$D$5)</f>
        <v/>
      </c>
      <c r="E40" s="24">
        <f>SUMIFS(Calc!$M$2:$M$13,Calc!$B$2:$B$13,"&gt;"&amp;(Exec_Dashboard!$D$5-12))</f>
        <v/>
      </c>
      <c r="F40" s="24">
        <f>SUMIFS(Calc!$M$2:$M$13,Calc!$B$2:$B$13,Exec_Dashboard!$D$5-1)</f>
        <v/>
      </c>
      <c r="G40" s="24">
        <f>SUMIFS(Financial_Data!$L$4:$L$1003,Financial_Data!$A$4:$A$1003,Exec_Dashboard!$C$5)</f>
        <v/>
      </c>
      <c r="H40" s="24">
        <f>C40-G40</f>
        <v/>
      </c>
      <c r="I40" s="23">
        <f>IF(C40&lt;=G40,"GREEN",IF(C40&lt;=1.1*G40,"YELLOW","RED"))</f>
        <v/>
      </c>
    </row>
    <row r="41">
      <c r="B41" s="21" t="inlineStr">
        <is>
          <t>OpEx</t>
        </is>
      </c>
      <c r="C41" s="24">
        <f>SUMIFS(Calc!$N$2:$N$13,Calc!$A$2:$A$13,Exec_Dashboard!$C$5)</f>
        <v/>
      </c>
      <c r="D41" s="24">
        <f>SUMIFS(Calc!$N$2:$N$13,Calc!$B$2:$B$13,"&lt;="&amp;Exec_Dashboard!$D$5)</f>
        <v/>
      </c>
      <c r="E41" s="24">
        <f>SUMIFS(Calc!$N$2:$N$13,Calc!$B$2:$B$13,"&gt;"&amp;(Exec_Dashboard!$D$5-12))</f>
        <v/>
      </c>
      <c r="F41" s="24">
        <f>SUMIFS(Calc!$N$2:$N$13,Calc!$B$2:$B$13,Exec_Dashboard!$D$5-1)</f>
        <v/>
      </c>
      <c r="G41" s="24">
        <f>SUMIFS(Financial_Data!$K$4:$K$1003,Financial_Data!$A$4:$A$1003,Exec_Dashboard!$C$5)</f>
        <v/>
      </c>
      <c r="H41" s="24">
        <f>C41-G41</f>
        <v/>
      </c>
      <c r="I41" s="23">
        <f>IF(C41&lt;=G41,"GREEN",IF(C41&lt;=1.1*G41,"YELLOW","RED"))</f>
        <v/>
      </c>
    </row>
    <row r="42">
      <c r="B42" s="21" t="inlineStr">
        <is>
          <t>Installs Completed</t>
        </is>
      </c>
      <c r="C42" s="22">
        <f>SUMIFS(Calc!$Q$2:$Q$13,Calc!$A$2:$A$13,Exec_Dashboard!$C$5)</f>
        <v/>
      </c>
      <c r="D42" s="22">
        <f>SUMIFS(Calc!$Q$2:$Q$13,Calc!$B$2:$B$13,"&lt;="&amp;Exec_Dashboard!$D$5)</f>
        <v/>
      </c>
      <c r="E42" s="22">
        <f>SUMIFS(Calc!$Q$2:$Q$13,Calc!$B$2:$B$13,"&gt;"&amp;(Exec_Dashboard!$D$5-12))</f>
        <v/>
      </c>
      <c r="F42" s="22">
        <f>SUMIFS(Calc!$Q$2:$Q$13,Calc!$B$2:$B$13,Exec_Dashboard!$D$5-1)</f>
        <v/>
      </c>
      <c r="G42" s="23" t="inlineStr">
        <is>
          <t>—</t>
        </is>
      </c>
      <c r="H42" s="22">
        <f>C42-F42</f>
        <v/>
      </c>
      <c r="I42" s="23">
        <f>IF(C42&gt;=F42,"GREEN",IF(C42&gt;=0.95*F42,"YELLOW","RED"))</f>
        <v/>
      </c>
    </row>
    <row r="43">
      <c r="B43" s="21" t="inlineStr">
        <is>
          <t>Trouble Tickets</t>
        </is>
      </c>
      <c r="C43" s="22">
        <f>SUMIFS(Calc!$U$2:$U$13,Calc!$A$2:$A$13,Exec_Dashboard!$C$5)</f>
        <v/>
      </c>
      <c r="D43" s="22">
        <f>SUMIFS(Calc!$U$2:$U$13,Calc!$B$2:$B$13,"&lt;="&amp;Exec_Dashboard!$D$5)</f>
        <v/>
      </c>
      <c r="E43" s="22">
        <f>SUMIFS(Calc!$U$2:$U$13,Calc!$B$2:$B$13,"&gt;"&amp;(Exec_Dashboard!$D$5-12))</f>
        <v/>
      </c>
      <c r="F43" s="22">
        <f>SUMIFS(Calc!$U$2:$U$13,Calc!$B$2:$B$13,Exec_Dashboard!$D$5-1)</f>
        <v/>
      </c>
      <c r="G43" s="23" t="inlineStr">
        <is>
          <t>—</t>
        </is>
      </c>
      <c r="H43" s="22">
        <f>C43-F43</f>
        <v/>
      </c>
      <c r="I43" s="23">
        <f>IF(C43&lt;=F43,"GREEN",IF(C43&lt;=1.05*F43,"YELLOW","RED"))</f>
        <v/>
      </c>
    </row>
    <row r="44">
      <c r="B44" s="21" t="inlineStr">
        <is>
          <t>Activations</t>
        </is>
      </c>
      <c r="C44" s="22">
        <f>SUMIFS(Calc!$W$2:$W$13,Calc!$A$2:$A$13,Exec_Dashboard!$C$5)</f>
        <v/>
      </c>
      <c r="D44" s="22">
        <f>SUMIFS(Calc!$W$2:$W$13,Calc!$B$2:$B$13,"&lt;="&amp;Exec_Dashboard!$D$5)</f>
        <v/>
      </c>
      <c r="E44" s="22">
        <f>SUMIFS(Calc!$W$2:$W$13,Calc!$B$2:$B$13,"&gt;"&amp;(Exec_Dashboard!$D$5-12))</f>
        <v/>
      </c>
      <c r="F44" s="22">
        <f>SUMIFS(Calc!$W$2:$W$13,Calc!$B$2:$B$13,Exec_Dashboard!$D$5-1)</f>
        <v/>
      </c>
      <c r="G44" s="23" t="inlineStr">
        <is>
          <t>—</t>
        </is>
      </c>
      <c r="H44" s="22">
        <f>C44-F44</f>
        <v/>
      </c>
      <c r="I44" s="23">
        <f>IF(C44&gt;=F44,"GREEN",IF(C44&gt;=0.95*F44,"YELLOW","RED"))</f>
        <v/>
      </c>
    </row>
    <row r="46" ht="22" customHeight="1">
      <c r="B46" s="8" t="inlineStr">
        <is>
          <t>TOP OPEN RISKS  (highest score)</t>
        </is>
      </c>
      <c r="G46" s="8" t="inlineStr">
        <is>
          <t>DECISIONS NEEDED FROM LEADERSHIP / BOARD</t>
        </is>
      </c>
    </row>
    <row r="47">
      <c r="B47" s="20" t="inlineStr">
        <is>
          <t>Risk</t>
        </is>
      </c>
      <c r="C47" s="20" t="inlineStr">
        <is>
          <t>Score</t>
        </is>
      </c>
      <c r="D47" s="20" t="inlineStr">
        <is>
          <t>RYG</t>
        </is>
      </c>
      <c r="G47" s="20" t="inlineStr">
        <is>
          <t>Decision / Action</t>
        </is>
      </c>
      <c r="J47" s="20" t="inlineStr">
        <is>
          <t>Owner</t>
        </is>
      </c>
      <c r="K47" s="20" t="inlineStr">
        <is>
          <t>Priority</t>
        </is>
      </c>
    </row>
    <row r="48">
      <c r="B48" s="25">
        <f>IFERROR(INDEX(Risk_Register!$B$4:$B$1003,MATCH(LARGE(Risk_Register!$F$4:$F$1003,1),Risk_Register!$F$4:$F$1003,0)),"")</f>
        <v/>
      </c>
      <c r="C48" s="10" t="n"/>
      <c r="D48" s="23">
        <f>LARGE(Risk_Register!$F$4:$F$1003,1)</f>
        <v/>
      </c>
      <c r="E48" s="23">
        <f>IF(D48&gt;=15,"RED",IF(D48&gt;=8,"YELLOW","GREEN"))</f>
        <v/>
      </c>
      <c r="G48" s="25">
        <f>IFERROR(INDEX(Board_Actions!$B$4:$B$1003,AGGREGATE(15,6,(ROW(Board_Actions!$I$4:$I$1003)-3)/((Board_Actions!$I$4:$I$1003="Yes")*(Board_Actions!$H$4:$H$1003&lt;&gt;"Complete")),1)),"")</f>
        <v/>
      </c>
      <c r="H48" s="10" t="n"/>
      <c r="I48" s="10" t="n"/>
      <c r="J48" s="26">
        <f>IFERROR(INDEX(Board_Actions!$D$4:$D$1003,AGGREGATE(15,6,(ROW(Board_Actions!$I$4:$I$1003)-3)/((Board_Actions!$I$4:$I$1003="Yes")*(Board_Actions!$H$4:$H$1003&lt;&gt;"Complete")),1)),"")</f>
        <v/>
      </c>
      <c r="K48" s="23">
        <f>IFERROR(INDEX(Board_Actions!$G$4:$G$1003,AGGREGATE(15,6,(ROW(Board_Actions!$I$4:$I$1003)-3)/((Board_Actions!$I$4:$I$1003="Yes")*(Board_Actions!$H$4:$H$1003&lt;&gt;"Complete")),1)),"")</f>
        <v/>
      </c>
    </row>
    <row r="49">
      <c r="B49" s="25">
        <f>IFERROR(INDEX(Risk_Register!$B$4:$B$1003,MATCH(LARGE(Risk_Register!$F$4:$F$1003,2),Risk_Register!$F$4:$F$1003,0)),"")</f>
        <v/>
      </c>
      <c r="C49" s="10" t="n"/>
      <c r="D49" s="23">
        <f>LARGE(Risk_Register!$F$4:$F$1003,2)</f>
        <v/>
      </c>
      <c r="E49" s="23">
        <f>IF(D49&gt;=15,"RED",IF(D49&gt;=8,"YELLOW","GREEN"))</f>
        <v/>
      </c>
      <c r="G49" s="25">
        <f>IFERROR(INDEX(Board_Actions!$B$4:$B$1003,AGGREGATE(15,6,(ROW(Board_Actions!$I$4:$I$1003)-3)/((Board_Actions!$I$4:$I$1003="Yes")*(Board_Actions!$H$4:$H$1003&lt;&gt;"Complete")),2)),"")</f>
        <v/>
      </c>
      <c r="H49" s="10" t="n"/>
      <c r="I49" s="10" t="n"/>
      <c r="J49" s="26">
        <f>IFERROR(INDEX(Board_Actions!$D$4:$D$1003,AGGREGATE(15,6,(ROW(Board_Actions!$I$4:$I$1003)-3)/((Board_Actions!$I$4:$I$1003="Yes")*(Board_Actions!$H$4:$H$1003&lt;&gt;"Complete")),2)),"")</f>
        <v/>
      </c>
      <c r="K49" s="23">
        <f>IFERROR(INDEX(Board_Actions!$G$4:$G$1003,AGGREGATE(15,6,(ROW(Board_Actions!$I$4:$I$1003)-3)/((Board_Actions!$I$4:$I$1003="Yes")*(Board_Actions!$H$4:$H$1003&lt;&gt;"Complete")),2)),"")</f>
        <v/>
      </c>
    </row>
    <row r="50">
      <c r="B50" s="25">
        <f>IFERROR(INDEX(Risk_Register!$B$4:$B$1003,MATCH(LARGE(Risk_Register!$F$4:$F$1003,3),Risk_Register!$F$4:$F$1003,0)),"")</f>
        <v/>
      </c>
      <c r="C50" s="10" t="n"/>
      <c r="D50" s="23">
        <f>LARGE(Risk_Register!$F$4:$F$1003,3)</f>
        <v/>
      </c>
      <c r="E50" s="23">
        <f>IF(D50&gt;=15,"RED",IF(D50&gt;=8,"YELLOW","GREEN"))</f>
        <v/>
      </c>
      <c r="G50" s="25">
        <f>IFERROR(INDEX(Board_Actions!$B$4:$B$1003,AGGREGATE(15,6,(ROW(Board_Actions!$I$4:$I$1003)-3)/((Board_Actions!$I$4:$I$1003="Yes")*(Board_Actions!$H$4:$H$1003&lt;&gt;"Complete")),3)),"")</f>
        <v/>
      </c>
      <c r="H50" s="10" t="n"/>
      <c r="I50" s="10" t="n"/>
      <c r="J50" s="26">
        <f>IFERROR(INDEX(Board_Actions!$D$4:$D$1003,AGGREGATE(15,6,(ROW(Board_Actions!$I$4:$I$1003)-3)/((Board_Actions!$I$4:$I$1003="Yes")*(Board_Actions!$H$4:$H$1003&lt;&gt;"Complete")),3)),"")</f>
        <v/>
      </c>
      <c r="K50" s="23">
        <f>IFERROR(INDEX(Board_Actions!$G$4:$G$1003,AGGREGATE(15,6,(ROW(Board_Actions!$I$4:$I$1003)-3)/((Board_Actions!$I$4:$I$1003="Yes")*(Board_Actions!$H$4:$H$1003&lt;&gt;"Complete")),3)),"")</f>
        <v/>
      </c>
    </row>
    <row r="51">
      <c r="B51" s="25">
        <f>IFERROR(INDEX(Risk_Register!$B$4:$B$1003,MATCH(LARGE(Risk_Register!$F$4:$F$1003,4),Risk_Register!$F$4:$F$1003,0)),"")</f>
        <v/>
      </c>
      <c r="C51" s="10" t="n"/>
      <c r="D51" s="23">
        <f>LARGE(Risk_Register!$F$4:$F$1003,4)</f>
        <v/>
      </c>
      <c r="E51" s="23">
        <f>IF(D51&gt;=15,"RED",IF(D51&gt;=8,"YELLOW","GREEN"))</f>
        <v/>
      </c>
      <c r="G51" s="25">
        <f>IFERROR(INDEX(Board_Actions!$B$4:$B$1003,AGGREGATE(15,6,(ROW(Board_Actions!$I$4:$I$1003)-3)/((Board_Actions!$I$4:$I$1003="Yes")*(Board_Actions!$H$4:$H$1003&lt;&gt;"Complete")),4)),"")</f>
        <v/>
      </c>
      <c r="H51" s="10" t="n"/>
      <c r="I51" s="10" t="n"/>
      <c r="J51" s="26">
        <f>IFERROR(INDEX(Board_Actions!$D$4:$D$1003,AGGREGATE(15,6,(ROW(Board_Actions!$I$4:$I$1003)-3)/((Board_Actions!$I$4:$I$1003="Yes")*(Board_Actions!$H$4:$H$1003&lt;&gt;"Complete")),4)),"")</f>
        <v/>
      </c>
      <c r="K51" s="23">
        <f>IFERROR(INDEX(Board_Actions!$G$4:$G$1003,AGGREGATE(15,6,(ROW(Board_Actions!$I$4:$I$1003)-3)/((Board_Actions!$I$4:$I$1003="Yes")*(Board_Actions!$H$4:$H$1003&lt;&gt;"Complete")),4)),"")</f>
        <v/>
      </c>
    </row>
    <row r="52">
      <c r="B52" s="25">
        <f>IFERROR(INDEX(Risk_Register!$B$4:$B$1003,MATCH(LARGE(Risk_Register!$F$4:$F$1003,5),Risk_Register!$F$4:$F$1003,0)),"")</f>
        <v/>
      </c>
      <c r="C52" s="10" t="n"/>
      <c r="D52" s="23">
        <f>LARGE(Risk_Register!$F$4:$F$1003,5)</f>
        <v/>
      </c>
      <c r="E52" s="23">
        <f>IF(D52&gt;=15,"RED",IF(D52&gt;=8,"YELLOW","GREEN"))</f>
        <v/>
      </c>
      <c r="G52" s="25">
        <f>IFERROR(INDEX(Board_Actions!$B$4:$B$1003,AGGREGATE(15,6,(ROW(Board_Actions!$I$4:$I$1003)-3)/((Board_Actions!$I$4:$I$1003="Yes")*(Board_Actions!$H$4:$H$1003&lt;&gt;"Complete")),5)),"")</f>
        <v/>
      </c>
      <c r="H52" s="10" t="n"/>
      <c r="I52" s="10" t="n"/>
      <c r="J52" s="26">
        <f>IFERROR(INDEX(Board_Actions!$D$4:$D$1003,AGGREGATE(15,6,(ROW(Board_Actions!$I$4:$I$1003)-3)/((Board_Actions!$I$4:$I$1003="Yes")*(Board_Actions!$H$4:$H$1003&lt;&gt;"Complete")),5)),"")</f>
        <v/>
      </c>
      <c r="K52" s="23">
        <f>IFERROR(INDEX(Board_Actions!$G$4:$G$1003,AGGREGATE(15,6,(ROW(Board_Actions!$I$4:$I$1003)-3)/((Board_Actions!$I$4:$I$1003="Yes")*(Board_Actions!$H$4:$H$1003&lt;&gt;"Complete")),5)),"")</f>
        <v/>
      </c>
    </row>
    <row r="55" ht="22" customHeight="1">
      <c r="B55" s="8" t="inlineStr">
        <is>
          <t>TREND CHARTS</t>
        </is>
      </c>
    </row>
  </sheetData>
  <mergeCells count="90">
    <mergeCell ref="D20:E20"/>
    <mergeCell ref="H10:I10"/>
    <mergeCell ref="F25:G25"/>
    <mergeCell ref="J10:K10"/>
    <mergeCell ref="J50"/>
    <mergeCell ref="J19:K19"/>
    <mergeCell ref="H9:I9"/>
    <mergeCell ref="J9:K9"/>
    <mergeCell ref="J52"/>
    <mergeCell ref="F15:G15"/>
    <mergeCell ref="D13:E13"/>
    <mergeCell ref="B14:C14"/>
    <mergeCell ref="B13:C13"/>
    <mergeCell ref="G50:I50"/>
    <mergeCell ref="F23:G23"/>
    <mergeCell ref="F13:G13"/>
    <mergeCell ref="G52:I52"/>
    <mergeCell ref="H13:I13"/>
    <mergeCell ref="B49:C49"/>
    <mergeCell ref="B24:C24"/>
    <mergeCell ref="D24:E24"/>
    <mergeCell ref="B51:C51"/>
    <mergeCell ref="H15:I15"/>
    <mergeCell ref="H23:I23"/>
    <mergeCell ref="J23:K23"/>
    <mergeCell ref="D10:E10"/>
    <mergeCell ref="B25:C25"/>
    <mergeCell ref="F10:G10"/>
    <mergeCell ref="D19:E19"/>
    <mergeCell ref="F19:G19"/>
    <mergeCell ref="B18:C18"/>
    <mergeCell ref="F28:L30"/>
    <mergeCell ref="H25:I25"/>
    <mergeCell ref="F20:G20"/>
    <mergeCell ref="F18:G18"/>
    <mergeCell ref="G51:I51"/>
    <mergeCell ref="J20:K20"/>
    <mergeCell ref="B29:C29"/>
    <mergeCell ref="H19:I19"/>
    <mergeCell ref="D9:E9"/>
    <mergeCell ref="F9:G9"/>
    <mergeCell ref="B15:C15"/>
    <mergeCell ref="D15:E15"/>
    <mergeCell ref="D29:E29"/>
    <mergeCell ref="D23:E23"/>
    <mergeCell ref="H14:I14"/>
    <mergeCell ref="B46:F46"/>
    <mergeCell ref="A2:L2"/>
    <mergeCell ref="B52:C52"/>
    <mergeCell ref="J24:K24"/>
    <mergeCell ref="F8:G8"/>
    <mergeCell ref="G47:I47"/>
    <mergeCell ref="B19:C19"/>
    <mergeCell ref="J25:K25"/>
    <mergeCell ref="B28:C28"/>
    <mergeCell ref="D28:E28"/>
    <mergeCell ref="B9:C9"/>
    <mergeCell ref="J49"/>
    <mergeCell ref="D25:E25"/>
    <mergeCell ref="B30:C30"/>
    <mergeCell ref="D30:E30"/>
    <mergeCell ref="B20:C20"/>
    <mergeCell ref="D14:E14"/>
    <mergeCell ref="F14:G14"/>
    <mergeCell ref="G46:K46"/>
    <mergeCell ref="H20:I20"/>
    <mergeCell ref="J14:K14"/>
    <mergeCell ref="G49:I49"/>
    <mergeCell ref="B55:K55"/>
    <mergeCell ref="J51"/>
    <mergeCell ref="J13:K13"/>
    <mergeCell ref="B33:K33"/>
    <mergeCell ref="B48:C48"/>
    <mergeCell ref="F24:G24"/>
    <mergeCell ref="J48"/>
    <mergeCell ref="J15:K15"/>
    <mergeCell ref="B23:C23"/>
    <mergeCell ref="B7:K7"/>
    <mergeCell ref="B8:C8"/>
    <mergeCell ref="B10:C10"/>
    <mergeCell ref="D18:E18"/>
    <mergeCell ref="D8:E8"/>
    <mergeCell ref="H24:I24"/>
    <mergeCell ref="A1:L1"/>
    <mergeCell ref="H18:I18"/>
    <mergeCell ref="J18:K18"/>
    <mergeCell ref="G48:I48"/>
    <mergeCell ref="B50:C50"/>
    <mergeCell ref="H8:I8"/>
    <mergeCell ref="J8:K8"/>
  </mergeCells>
  <conditionalFormatting sqref="D10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conditionalFormatting sqref="F10">
    <cfRule type="cellIs" priority="4" operator="equal" dxfId="0">
      <formula>"GREEN"</formula>
    </cfRule>
    <cfRule type="cellIs" priority="5" operator="equal" dxfId="1">
      <formula>"YELLOW"</formula>
    </cfRule>
    <cfRule type="cellIs" priority="6" operator="equal" dxfId="2">
      <formula>"RED"</formula>
    </cfRule>
  </conditionalFormatting>
  <conditionalFormatting sqref="H10">
    <cfRule type="cellIs" priority="7" operator="equal" dxfId="0">
      <formula>"GREEN"</formula>
    </cfRule>
    <cfRule type="cellIs" priority="8" operator="equal" dxfId="1">
      <formula>"YELLOW"</formula>
    </cfRule>
    <cfRule type="cellIs" priority="9" operator="equal" dxfId="2">
      <formula>"RED"</formula>
    </cfRule>
  </conditionalFormatting>
  <conditionalFormatting sqref="J10">
    <cfRule type="cellIs" priority="10" operator="equal" dxfId="0">
      <formula>"GREEN"</formula>
    </cfRule>
    <cfRule type="cellIs" priority="11" operator="equal" dxfId="1">
      <formula>"YELLOW"</formula>
    </cfRule>
    <cfRule type="cellIs" priority="12" operator="equal" dxfId="2">
      <formula>"RED"</formula>
    </cfRule>
  </conditionalFormatting>
  <conditionalFormatting sqref="D15">
    <cfRule type="cellIs" priority="13" operator="equal" dxfId="0">
      <formula>"GREEN"</formula>
    </cfRule>
    <cfRule type="cellIs" priority="14" operator="equal" dxfId="1">
      <formula>"YELLOW"</formula>
    </cfRule>
    <cfRule type="cellIs" priority="15" operator="equal" dxfId="2">
      <formula>"RED"</formula>
    </cfRule>
  </conditionalFormatting>
  <conditionalFormatting sqref="H15">
    <cfRule type="cellIs" priority="16" operator="equal" dxfId="0">
      <formula>"GREEN"</formula>
    </cfRule>
    <cfRule type="cellIs" priority="17" operator="equal" dxfId="1">
      <formula>"YELLOW"</formula>
    </cfRule>
    <cfRule type="cellIs" priority="18" operator="equal" dxfId="2">
      <formula>"RED"</formula>
    </cfRule>
  </conditionalFormatting>
  <conditionalFormatting sqref="D20">
    <cfRule type="cellIs" priority="19" operator="equal" dxfId="0">
      <formula>"GREEN"</formula>
    </cfRule>
    <cfRule type="cellIs" priority="20" operator="equal" dxfId="1">
      <formula>"YELLOW"</formula>
    </cfRule>
    <cfRule type="cellIs" priority="21" operator="equal" dxfId="2">
      <formula>"RED"</formula>
    </cfRule>
  </conditionalFormatting>
  <conditionalFormatting sqref="F20">
    <cfRule type="cellIs" priority="22" operator="equal" dxfId="0">
      <formula>"GREEN"</formula>
    </cfRule>
    <cfRule type="cellIs" priority="23" operator="equal" dxfId="1">
      <formula>"YELLOW"</formula>
    </cfRule>
    <cfRule type="cellIs" priority="24" operator="equal" dxfId="2">
      <formula>"RED"</formula>
    </cfRule>
  </conditionalFormatting>
  <conditionalFormatting sqref="H20">
    <cfRule type="cellIs" priority="25" operator="equal" dxfId="0">
      <formula>"GREEN"</formula>
    </cfRule>
    <cfRule type="cellIs" priority="26" operator="equal" dxfId="1">
      <formula>"YELLOW"</formula>
    </cfRule>
    <cfRule type="cellIs" priority="27" operator="equal" dxfId="2">
      <formula>"RED"</formula>
    </cfRule>
  </conditionalFormatting>
  <conditionalFormatting sqref="J20">
    <cfRule type="cellIs" priority="28" operator="equal" dxfId="0">
      <formula>"GREEN"</formula>
    </cfRule>
    <cfRule type="cellIs" priority="29" operator="equal" dxfId="1">
      <formula>"YELLOW"</formula>
    </cfRule>
    <cfRule type="cellIs" priority="30" operator="equal" dxfId="2">
      <formula>"RED"</formula>
    </cfRule>
  </conditionalFormatting>
  <conditionalFormatting sqref="B25">
    <cfRule type="cellIs" priority="31" operator="equal" dxfId="0">
      <formula>"GREEN"</formula>
    </cfRule>
    <cfRule type="cellIs" priority="32" operator="equal" dxfId="1">
      <formula>"YELLOW"</formula>
    </cfRule>
    <cfRule type="cellIs" priority="33" operator="equal" dxfId="2">
      <formula>"RED"</formula>
    </cfRule>
  </conditionalFormatting>
  <conditionalFormatting sqref="D25">
    <cfRule type="cellIs" priority="34" operator="equal" dxfId="0">
      <formula>"GREEN"</formula>
    </cfRule>
    <cfRule type="cellIs" priority="35" operator="equal" dxfId="1">
      <formula>"YELLOW"</formula>
    </cfRule>
    <cfRule type="cellIs" priority="36" operator="equal" dxfId="2">
      <formula>"RED"</formula>
    </cfRule>
  </conditionalFormatting>
  <conditionalFormatting sqref="F25">
    <cfRule type="cellIs" priority="37" operator="equal" dxfId="0">
      <formula>"GREEN"</formula>
    </cfRule>
    <cfRule type="cellIs" priority="38" operator="equal" dxfId="1">
      <formula>"YELLOW"</formula>
    </cfRule>
    <cfRule type="cellIs" priority="39" operator="equal" dxfId="2">
      <formula>"RED"</formula>
    </cfRule>
  </conditionalFormatting>
  <conditionalFormatting sqref="J25">
    <cfRule type="cellIs" priority="40" operator="equal" dxfId="0">
      <formula>"GREEN"</formula>
    </cfRule>
    <cfRule type="cellIs" priority="41" operator="equal" dxfId="1">
      <formula>"YELLOW"</formula>
    </cfRule>
    <cfRule type="cellIs" priority="42" operator="equal" dxfId="2">
      <formula>"RED"</formula>
    </cfRule>
  </conditionalFormatting>
  <conditionalFormatting sqref="B30">
    <cfRule type="cellIs" priority="43" operator="equal" dxfId="0">
      <formula>"GREEN"</formula>
    </cfRule>
    <cfRule type="cellIs" priority="44" operator="equal" dxfId="1">
      <formula>"YELLOW"</formula>
    </cfRule>
    <cfRule type="cellIs" priority="45" operator="equal" dxfId="2">
      <formula>"RED"</formula>
    </cfRule>
  </conditionalFormatting>
  <conditionalFormatting sqref="D30">
    <cfRule type="cellIs" priority="46" operator="equal" dxfId="0">
      <formula>"GREEN"</formula>
    </cfRule>
    <cfRule type="cellIs" priority="47" operator="equal" dxfId="1">
      <formula>"YELLOW"</formula>
    </cfRule>
    <cfRule type="cellIs" priority="48" operator="equal" dxfId="2">
      <formula>"RED"</formula>
    </cfRule>
  </conditionalFormatting>
  <conditionalFormatting sqref="I35:I44">
    <cfRule type="cellIs" priority="49" operator="equal" dxfId="0">
      <formula>"GREEN"</formula>
    </cfRule>
    <cfRule type="cellIs" priority="50" operator="equal" dxfId="1">
      <formula>"YELLOW"</formula>
    </cfRule>
    <cfRule type="cellIs" priority="51" operator="equal" dxfId="2">
      <formula>"RED"</formula>
    </cfRule>
  </conditionalFormatting>
  <conditionalFormatting sqref="E48:E52">
    <cfRule type="cellIs" priority="52" operator="equal" dxfId="0">
      <formula>"GREEN"</formula>
    </cfRule>
    <cfRule type="cellIs" priority="53" operator="equal" dxfId="1">
      <formula>"YELLOW"</formula>
    </cfRule>
    <cfRule type="cellIs" priority="54" operator="equal" dxfId="2">
      <formula>"RED"</formula>
    </cfRule>
  </conditionalFormatting>
  <dataValidations count="1">
    <dataValidation sqref="C5" showDropDown="0" showInputMessage="0" showErrorMessage="0" allowBlank="1" type="list">
      <formula1>=Lists!$A$2:$A$13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AC8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1" t="inlineStr">
        <is>
          <t>SALES MANAGEMENT DASHBOARD</t>
        </is>
      </c>
    </row>
    <row r="2">
      <c r="A2" s="2" t="inlineStr">
        <is>
          <t>Leads → Qualified → Connects  •  pipeline, channels, counties, reps, goal vs actual  •  reporting month set on Exec Dashboard</t>
        </is>
      </c>
    </row>
    <row r="4" ht="22" customHeight="1">
      <c r="B4" s="8" t="inlineStr">
        <is>
          <t>SALES KPIs (current reporting month)</t>
        </is>
      </c>
    </row>
    <row r="5">
      <c r="B5" s="9" t="inlineStr">
        <is>
          <t>LEADS (MTD)</t>
        </is>
      </c>
      <c r="C5" s="10" t="n"/>
      <c r="D5" s="9" t="inlineStr">
        <is>
          <t>QUALIFIED (MTD)</t>
        </is>
      </c>
      <c r="E5" s="10" t="n"/>
      <c r="F5" s="9" t="inlineStr">
        <is>
          <t>CONVERSION RATE</t>
        </is>
      </c>
      <c r="G5" s="10" t="n"/>
      <c r="H5" s="9" t="inlineStr">
        <is>
          <t>CONNECTS (MTD)</t>
        </is>
      </c>
      <c r="I5" s="10" t="n"/>
      <c r="J5" s="9" t="inlineStr">
        <is>
          <t>GOAL (MTD)</t>
        </is>
      </c>
      <c r="K5" s="10" t="n"/>
      <c r="L5" s="9" t="inlineStr">
        <is>
          <t>VARIANCE TO GOAL</t>
        </is>
      </c>
      <c r="M5" s="10" t="n"/>
    </row>
    <row r="6">
      <c r="B6" s="11">
        <f>SUMIFS(Sales_Data!$H$4:$H$1003,Sales_Data!$A$4:$A$1003,Exec_Dashboard!$C$5)</f>
        <v/>
      </c>
      <c r="C6" s="10" t="n"/>
      <c r="D6" s="11">
        <f>SUMIFS(Sales_Data!$I$4:$I$1003,Sales_Data!$A$4:$A$1003,Exec_Dashboard!$C$5)</f>
        <v/>
      </c>
      <c r="E6" s="10" t="n"/>
      <c r="F6" s="12">
        <f>IF(SUMIFS(Sales_Data!$H$4:$H$1003,Sales_Data!$A$4:$A$1003,Exec_Dashboard!$C$5)=0,0,SUMIFS(Sales_Data!$J$4:$J$1003,Sales_Data!$A$4:$A$1003,Exec_Dashboard!$C$5)/SUMIFS(Sales_Data!$H$4:$H$1003,Sales_Data!$A$4:$A$1003,Exec_Dashboard!$C$5))</f>
        <v/>
      </c>
      <c r="G6" s="10" t="n"/>
      <c r="H6" s="11">
        <f>SUMIFS(Sales_Data!$J$4:$J$1003,Sales_Data!$A$4:$A$1003,Exec_Dashboard!$C$5)</f>
        <v/>
      </c>
      <c r="I6" s="10" t="n"/>
      <c r="J6" s="11">
        <f>SUMIFS(Sales_Targets!$C$4:$C$1003,Sales_Targets!$A$4:$A$1003,Exec_Dashboard!$C$5)</f>
        <v/>
      </c>
      <c r="K6" s="10" t="n"/>
      <c r="L6" s="11">
        <f>SUMIFS(Sales_Data!$J$4:$J$1003,Sales_Data!$A$4:$A$1003,Exec_Dashboard!$C$5)-SUMIFS(Sales_Targets!$C$4:$C$1003,Sales_Targets!$A$4:$A$1003,Exec_Dashboard!$C$5)</f>
        <v/>
      </c>
      <c r="M6" s="10" t="n"/>
    </row>
    <row r="7">
      <c r="B7" s="13" t="inlineStr">
        <is>
          <t>Top of funnel</t>
        </is>
      </c>
      <c r="C7" s="10" t="n"/>
      <c r="D7" s="13" t="inlineStr">
        <is>
          <t>Sales-qualified</t>
        </is>
      </c>
      <c r="E7" s="10" t="n"/>
      <c r="F7" s="13">
        <f>IF(F6&gt;=0.25,"GREEN",IF(F6&gt;=0.15,"YELLOW","RED"))</f>
        <v/>
      </c>
      <c r="G7" s="10" t="n"/>
      <c r="H7" s="13" t="inlineStr">
        <is>
          <t>Closed-won units</t>
        </is>
      </c>
      <c r="I7" s="10" t="n"/>
      <c r="J7" s="13" t="inlineStr">
        <is>
          <t>Monthly target</t>
        </is>
      </c>
      <c r="K7" s="10" t="n"/>
      <c r="L7" s="13">
        <f>IF(L6&gt;=0,"GREEN",IF(L6&gt;=-0.1*SUMIFS(Sales_Targets!$C$4:$C$1003,Sales_Targets!$A$4:$A$1003,Exec_Dashboard!$C$5),"YELLOW","RED"))</f>
        <v/>
      </c>
      <c r="M7" s="10" t="n"/>
    </row>
    <row r="10">
      <c r="B10" s="9" t="inlineStr">
        <is>
          <t>NEW MRR ADDED</t>
        </is>
      </c>
      <c r="C10" s="10" t="n"/>
      <c r="D10" s="9" t="inlineStr">
        <is>
          <t>RESIDENTIAL SALES</t>
        </is>
      </c>
      <c r="E10" s="10" t="n"/>
      <c r="F10" s="9" t="inlineStr">
        <is>
          <t>BUSINESS SALES</t>
        </is>
      </c>
      <c r="G10" s="10" t="n"/>
      <c r="H10" s="9" t="inlineStr">
        <is>
          <t>PIPELINE VALUE (OPEN)</t>
        </is>
      </c>
      <c r="I10" s="10" t="n"/>
      <c r="J10" s="9" t="inlineStr">
        <is>
          <t>CLOSED-WON (ARR)</t>
        </is>
      </c>
      <c r="K10" s="10" t="n"/>
      <c r="L10" s="9" t="inlineStr">
        <is>
          <t>LOST OPPORTUNITIES</t>
        </is>
      </c>
      <c r="M10" s="10" t="n"/>
    </row>
    <row r="11">
      <c r="B11" s="14">
        <f>SUMIFS(Sales_Data!$K$4:$K$1003,Sales_Data!$A$4:$A$1003,Exec_Dashboard!$C$5)</f>
        <v/>
      </c>
      <c r="C11" s="10" t="n"/>
      <c r="D11" s="11">
        <f>SUMIFS(Sales_Data!$J$4:$J$1003,Sales_Data!$A$4:$A$1003,Exec_Dashboard!$C$5,Sales_Data!$D$4:$D$1003,"Residential")</f>
        <v/>
      </c>
      <c r="E11" s="10" t="n"/>
      <c r="F11" s="11">
        <f>SUMIFS(Sales_Data!$J$4:$J$1003,Sales_Data!$A$4:$A$1003,Exec_Dashboard!$C$5,Sales_Data!$D$4:$D$1003,"Business")</f>
        <v/>
      </c>
      <c r="G11" s="10" t="n"/>
      <c r="H11" s="14">
        <f>SUMIFS(Pipeline!$G$4:$G$1003,Pipeline!$F$4:$F$1003,"&lt;&gt;Closed-Won",Pipeline!$F$4:$F$1003,"&lt;&gt;Closed-Lost")</f>
        <v/>
      </c>
      <c r="I11" s="10" t="n"/>
      <c r="J11" s="14">
        <f>SUMIFS(Pipeline!$G$4:$G$1003,Pipeline!$F$4:$F$1003,"Closed-Won")</f>
        <v/>
      </c>
      <c r="K11" s="10" t="n"/>
      <c r="L11" s="16">
        <f>COUNTIFS(Pipeline!$F$4:$F$1003,"Closed-Lost")</f>
        <v/>
      </c>
      <c r="M11" s="10" t="n"/>
    </row>
    <row r="12">
      <c r="B12" s="13" t="inlineStr">
        <is>
          <t>Recurring $ added</t>
        </is>
      </c>
      <c r="C12" s="10" t="n"/>
      <c r="D12" s="13" t="inlineStr"/>
      <c r="E12" s="10" t="n"/>
      <c r="F12" s="13" t="inlineStr"/>
      <c r="G12" s="10" t="n"/>
      <c r="H12" s="13">
        <f>IF(H11&gt;=1500000,"GREEN",IF(H11&gt;=800000,"YELLOW","RED"))</f>
        <v/>
      </c>
      <c r="I12" s="10" t="n"/>
      <c r="J12" s="13" t="inlineStr"/>
      <c r="K12" s="10" t="n"/>
      <c r="L12" s="13" t="inlineStr"/>
      <c r="M12" s="10" t="n"/>
    </row>
    <row r="15">
      <c r="B15" s="9" t="inlineStr">
        <is>
          <t>ENTERPRISE OPPS (OPEN)</t>
        </is>
      </c>
      <c r="C15" s="10" t="n"/>
      <c r="D15" s="9" t="inlineStr">
        <is>
          <t>HOA / DEVELOPER OPPS</t>
        </is>
      </c>
      <c r="E15" s="10" t="n"/>
      <c r="F15" s="9" t="inlineStr">
        <is>
          <t>BULK AGREEMENT OPPS</t>
        </is>
      </c>
      <c r="G15" s="10" t="n"/>
      <c r="H15" s="9" t="inlineStr">
        <is>
          <t>DOOR KNOCKS (MTD)</t>
        </is>
      </c>
      <c r="I15" s="10" t="n"/>
      <c r="J15" s="9" t="inlineStr">
        <is>
          <t>QUAL → CLOSE RATE</t>
        </is>
      </c>
      <c r="K15" s="10" t="n"/>
      <c r="L15" s="9" t="inlineStr">
        <is>
          <t>AVG NEW MRR / CONNECT</t>
        </is>
      </c>
      <c r="M15" s="10" t="n"/>
    </row>
    <row r="16">
      <c r="B16" s="16">
        <f>COUNTIFS(Pipeline!$E$4:$E$1003,"Enterprise/DIA",Pipeline!$F$4:$F$1003,"&lt;&gt;Closed-Lost",Pipeline!$F$4:$F$1003,"&lt;&gt;Closed-Won")</f>
        <v/>
      </c>
      <c r="C16" s="10" t="n"/>
      <c r="D16" s="16">
        <f>COUNTIFS(Pipeline!$E$4:$E$1003,"HOA/Developer")</f>
        <v/>
      </c>
      <c r="E16" s="10" t="n"/>
      <c r="F16" s="16">
        <f>COUNTIFS(Pipeline!$E$4:$E$1003,"Bulk Agreement")</f>
        <v/>
      </c>
      <c r="G16" s="10" t="n"/>
      <c r="H16" s="11">
        <f>SUMIFS(Sales_Data!$L$4:$L$1003,Sales_Data!$A$4:$A$1003,Exec_Dashboard!$C$5)</f>
        <v/>
      </c>
      <c r="I16" s="10" t="n"/>
      <c r="J16" s="12">
        <f>IF(SUMIFS(Sales_Data!$I$4:$I$1003,Sales_Data!$A$4:$A$1003,Exec_Dashboard!$C$5)=0,0,SUMIFS(Sales_Data!$J$4:$J$1003,Sales_Data!$A$4:$A$1003,Exec_Dashboard!$C$5)/SUMIFS(Sales_Data!$I$4:$I$1003,Sales_Data!$A$4:$A$1003,Exec_Dashboard!$C$5))</f>
        <v/>
      </c>
      <c r="K16" s="10" t="n"/>
      <c r="L16" s="15">
        <f>IF(SUMIFS(Sales_Data!$J$4:$J$1003,Sales_Data!$A$4:$A$1003,Exec_Dashboard!$C$5)=0,0,SUMIFS(Sales_Data!$K$4:$K$1003,Sales_Data!$A$4:$A$1003,Exec_Dashboard!$C$5)/SUMIFS(Sales_Data!$J$4:$J$1003,Sales_Data!$A$4:$A$1003,Exec_Dashboard!$C$5))</f>
        <v/>
      </c>
      <c r="M16" s="10" t="n"/>
    </row>
    <row r="17">
      <c r="B17" s="13" t="inlineStr">
        <is>
          <t>DIA pipeline count</t>
        </is>
      </c>
      <c r="C17" s="10" t="n"/>
      <c r="D17" s="13" t="inlineStr"/>
      <c r="E17" s="10" t="n"/>
      <c r="F17" s="13" t="inlineStr"/>
      <c r="G17" s="10" t="n"/>
      <c r="H17" s="13" t="inlineStr">
        <is>
          <t>D2D activity</t>
        </is>
      </c>
      <c r="I17" s="10" t="n"/>
      <c r="J17" s="13">
        <f>IF(J16&gt;=0.5,"GREEN",IF(J16&gt;=0.3,"YELLOW","RED"))</f>
        <v/>
      </c>
      <c r="K17" s="10" t="n"/>
      <c r="L17" s="13" t="inlineStr"/>
      <c r="M17" s="10" t="n"/>
    </row>
    <row r="20" ht="22" customHeight="1">
      <c r="B20" s="8" t="inlineStr">
        <is>
          <t>ANALYTICS</t>
        </is>
      </c>
    </row>
    <row r="60">
      <c r="P60" s="3" t="inlineStr">
        <is>
          <t>Sales by County</t>
        </is>
      </c>
      <c r="S60" s="3" t="inlineStr">
        <is>
          <t>Sales by Channel</t>
        </is>
      </c>
      <c r="V60" s="3" t="inlineStr">
        <is>
          <t>Sales by Rep</t>
        </is>
      </c>
      <c r="Y60" s="3" t="inlineStr">
        <is>
          <t>Pipeline by Stage</t>
        </is>
      </c>
      <c r="AB60" s="3" t="inlineStr">
        <is>
          <t>Lost Reasons</t>
        </is>
      </c>
    </row>
    <row r="61">
      <c r="P61" s="27" t="inlineStr">
        <is>
          <t>Category</t>
        </is>
      </c>
      <c r="Q61" s="27" t="inlineStr">
        <is>
          <t>Value</t>
        </is>
      </c>
      <c r="S61" s="27" t="inlineStr">
        <is>
          <t>Category</t>
        </is>
      </c>
      <c r="T61" s="27" t="inlineStr">
        <is>
          <t>Value</t>
        </is>
      </c>
      <c r="V61" s="27" t="inlineStr">
        <is>
          <t>Category</t>
        </is>
      </c>
      <c r="W61" s="27" t="inlineStr">
        <is>
          <t>Value</t>
        </is>
      </c>
      <c r="Y61" s="27" t="inlineStr">
        <is>
          <t>Category</t>
        </is>
      </c>
      <c r="Z61" s="27" t="inlineStr">
        <is>
          <t>Value</t>
        </is>
      </c>
      <c r="AB61" s="27" t="inlineStr">
        <is>
          <t>Category</t>
        </is>
      </c>
      <c r="AC61" s="27" t="inlineStr">
        <is>
          <t>Value</t>
        </is>
      </c>
    </row>
    <row r="62">
      <c r="P62" s="28" t="inlineStr">
        <is>
          <t>Robeson</t>
        </is>
      </c>
      <c r="Q62" s="29">
        <f>SUMIFS(Sales_Data!$J$4:$J$1003,Sales_Data!$C$4:$C$1003,"Robeson")</f>
        <v/>
      </c>
      <c r="S62" s="28" t="inlineStr">
        <is>
          <t>Door-to-Door</t>
        </is>
      </c>
      <c r="T62" s="29">
        <f>SUMIFS(Sales_Data!$J$4:$J$1003,Sales_Data!$E$4:$E$1003,"Door-to-Door")</f>
        <v/>
      </c>
      <c r="V62" s="28" t="inlineStr">
        <is>
          <t>Maria Lopez</t>
        </is>
      </c>
      <c r="W62" s="29">
        <f>SUMIFS(Sales_Data!$J$4:$J$1003,Sales_Data!$G$4:$G$1003,"Maria Lopez")</f>
        <v/>
      </c>
      <c r="Y62" s="28" t="inlineStr">
        <is>
          <t>Prospect</t>
        </is>
      </c>
      <c r="Z62" s="30">
        <f>SUMIFS(Pipeline!$G$4:$G$1003,Pipeline!$F$4:$F$1003,"Prospect")</f>
        <v/>
      </c>
      <c r="AB62" s="28" t="inlineStr">
        <is>
          <t>Price</t>
        </is>
      </c>
      <c r="AC62" s="29">
        <f>COUNTIFS(Pipeline!$J$4:$J$1003,"Price")</f>
        <v/>
      </c>
    </row>
    <row r="63">
      <c r="P63" s="28" t="inlineStr">
        <is>
          <t>Hoke</t>
        </is>
      </c>
      <c r="Q63" s="29">
        <f>SUMIFS(Sales_Data!$J$4:$J$1003,Sales_Data!$C$4:$C$1003,"Hoke")</f>
        <v/>
      </c>
      <c r="S63" s="28" t="inlineStr">
        <is>
          <t>Inbound Call</t>
        </is>
      </c>
      <c r="T63" s="29">
        <f>SUMIFS(Sales_Data!$J$4:$J$1003,Sales_Data!$E$4:$E$1003,"Inbound Call")</f>
        <v/>
      </c>
      <c r="V63" s="28" t="inlineStr">
        <is>
          <t>James Carter</t>
        </is>
      </c>
      <c r="W63" s="29">
        <f>SUMIFS(Sales_Data!$J$4:$J$1003,Sales_Data!$G$4:$G$1003,"James Carter")</f>
        <v/>
      </c>
      <c r="Y63" s="28" t="inlineStr">
        <is>
          <t>Qualified</t>
        </is>
      </c>
      <c r="Z63" s="30">
        <f>SUMIFS(Pipeline!$G$4:$G$1003,Pipeline!$F$4:$F$1003,"Qualified")</f>
        <v/>
      </c>
      <c r="AB63" s="28" t="inlineStr">
        <is>
          <t>Competitor Fiber</t>
        </is>
      </c>
      <c r="AC63" s="29">
        <f>COUNTIFS(Pipeline!$J$4:$J$1003,"Competitor Fiber")</f>
        <v/>
      </c>
    </row>
    <row r="64">
      <c r="P64" s="28" t="inlineStr">
        <is>
          <t>Cumberland</t>
        </is>
      </c>
      <c r="Q64" s="29">
        <f>SUMIFS(Sales_Data!$J$4:$J$1003,Sales_Data!$C$4:$C$1003,"Cumberland")</f>
        <v/>
      </c>
      <c r="S64" s="28" t="inlineStr">
        <is>
          <t>Website</t>
        </is>
      </c>
      <c r="T64" s="29">
        <f>SUMIFS(Sales_Data!$J$4:$J$1003,Sales_Data!$E$4:$E$1003,"Website")</f>
        <v/>
      </c>
      <c r="V64" s="28" t="inlineStr">
        <is>
          <t>Tanya Hunt</t>
        </is>
      </c>
      <c r="W64" s="29">
        <f>SUMIFS(Sales_Data!$J$4:$J$1003,Sales_Data!$G$4:$G$1003,"Tanya Hunt")</f>
        <v/>
      </c>
      <c r="Y64" s="28" t="inlineStr">
        <is>
          <t>Proposal</t>
        </is>
      </c>
      <c r="Z64" s="30">
        <f>SUMIFS(Pipeline!$G$4:$G$1003,Pipeline!$F$4:$F$1003,"Proposal")</f>
        <v/>
      </c>
      <c r="AB64" s="28" t="inlineStr">
        <is>
          <t>No Coverage Yet</t>
        </is>
      </c>
      <c r="AC64" s="29">
        <f>COUNTIFS(Pipeline!$J$4:$J$1003,"No Coverage Yet")</f>
        <v/>
      </c>
    </row>
    <row r="65">
      <c r="P65" s="28" t="inlineStr">
        <is>
          <t>Scotland</t>
        </is>
      </c>
      <c r="Q65" s="29">
        <f>SUMIFS(Sales_Data!$J$4:$J$1003,Sales_Data!$C$4:$C$1003,"Scotland")</f>
        <v/>
      </c>
      <c r="S65" s="28" t="inlineStr">
        <is>
          <t>Referral</t>
        </is>
      </c>
      <c r="T65" s="29">
        <f>SUMIFS(Sales_Data!$J$4:$J$1003,Sales_Data!$E$4:$E$1003,"Referral")</f>
        <v/>
      </c>
      <c r="V65" s="28" t="inlineStr">
        <is>
          <t>Derek Oxendine</t>
        </is>
      </c>
      <c r="W65" s="29">
        <f>SUMIFS(Sales_Data!$J$4:$J$1003,Sales_Data!$G$4:$G$1003,"Derek Oxendine")</f>
        <v/>
      </c>
      <c r="Y65" s="28" t="inlineStr">
        <is>
          <t>Negotiation</t>
        </is>
      </c>
      <c r="Z65" s="30">
        <f>SUMIFS(Pipeline!$G$4:$G$1003,Pipeline!$F$4:$F$1003,"Negotiation")</f>
        <v/>
      </c>
      <c r="AB65" s="28" t="inlineStr">
        <is>
          <t>Timing</t>
        </is>
      </c>
      <c r="AC65" s="29">
        <f>COUNTIFS(Pipeline!$J$4:$J$1003,"Timing")</f>
        <v/>
      </c>
    </row>
    <row r="66">
      <c r="P66" s="28" t="inlineStr">
        <is>
          <t>Bladen</t>
        </is>
      </c>
      <c r="Q66" s="29">
        <f>SUMIFS(Sales_Data!$J$4:$J$1003,Sales_Data!$C$4:$C$1003,"Bladen")</f>
        <v/>
      </c>
      <c r="S66" s="28" t="inlineStr">
        <is>
          <t>Event</t>
        </is>
      </c>
      <c r="T66" s="29">
        <f>SUMIFS(Sales_Data!$J$4:$J$1003,Sales_Data!$E$4:$E$1003,"Event")</f>
        <v/>
      </c>
      <c r="V66" s="28" t="inlineStr">
        <is>
          <t>Sarah Locklear</t>
        </is>
      </c>
      <c r="W66" s="29">
        <f>SUMIFS(Sales_Data!$J$4:$J$1003,Sales_Data!$G$4:$G$1003,"Sarah Locklear")</f>
        <v/>
      </c>
      <c r="Y66" s="28" t="inlineStr">
        <is>
          <t>Closed-Won</t>
        </is>
      </c>
      <c r="Z66" s="30">
        <f>SUMIFS(Pipeline!$G$4:$G$1003,Pipeline!$F$4:$F$1003,"Closed-Won")</f>
        <v/>
      </c>
      <c r="AB66" s="28" t="inlineStr">
        <is>
          <t>Credit/Install Fee</t>
        </is>
      </c>
      <c r="AC66" s="29">
        <f>COUNTIFS(Pipeline!$J$4:$J$1003,"Credit/Install Fee")</f>
        <v/>
      </c>
    </row>
    <row r="67">
      <c r="P67" s="28" t="inlineStr">
        <is>
          <t>Columbus</t>
        </is>
      </c>
      <c r="Q67" s="29">
        <f>SUMIFS(Sales_Data!$J$4:$J$1003,Sales_Data!$C$4:$C$1003,"Columbus")</f>
        <v/>
      </c>
      <c r="S67" s="28" t="inlineStr">
        <is>
          <t>HOA/Developer</t>
        </is>
      </c>
      <c r="T67" s="29">
        <f>SUMIFS(Sales_Data!$J$4:$J$1003,Sales_Data!$E$4:$E$1003,"HOA/Developer")</f>
        <v/>
      </c>
      <c r="AB67" s="28" t="inlineStr">
        <is>
          <t>Lost Contact</t>
        </is>
      </c>
      <c r="AC67" s="29">
        <f>COUNTIFS(Pipeline!$J$4:$J$1003,"Lost Contact")</f>
        <v/>
      </c>
    </row>
    <row r="75">
      <c r="P75" s="3" t="inlineStr">
        <is>
          <t>Goal vs Actual (monthly)</t>
        </is>
      </c>
    </row>
    <row r="76">
      <c r="P76" s="31" t="inlineStr">
        <is>
          <t>Month</t>
        </is>
      </c>
      <c r="Q76" s="31" t="inlineStr">
        <is>
          <t>Actual</t>
        </is>
      </c>
      <c r="R76" s="31" t="inlineStr">
        <is>
          <t>Goal</t>
        </is>
      </c>
    </row>
    <row r="77">
      <c r="P77">
        <f>Sales_Targets!A4</f>
        <v/>
      </c>
      <c r="Q77">
        <f>SUMIFS(Sales_Data!$J$4:$J$1003,Sales_Data!$B$4:$B$1003,Sales_Targets!B4)</f>
        <v/>
      </c>
      <c r="R77">
        <f>Sales_Targets!C4</f>
        <v/>
      </c>
    </row>
    <row r="78">
      <c r="P78">
        <f>Sales_Targets!A5</f>
        <v/>
      </c>
      <c r="Q78">
        <f>SUMIFS(Sales_Data!$J$4:$J$1003,Sales_Data!$B$4:$B$1003,Sales_Targets!B5)</f>
        <v/>
      </c>
      <c r="R78">
        <f>Sales_Targets!C5</f>
        <v/>
      </c>
    </row>
    <row r="79">
      <c r="P79">
        <f>Sales_Targets!A6</f>
        <v/>
      </c>
      <c r="Q79">
        <f>SUMIFS(Sales_Data!$J$4:$J$1003,Sales_Data!$B$4:$B$1003,Sales_Targets!B6)</f>
        <v/>
      </c>
      <c r="R79">
        <f>Sales_Targets!C6</f>
        <v/>
      </c>
    </row>
    <row r="80">
      <c r="P80">
        <f>Sales_Targets!A7</f>
        <v/>
      </c>
      <c r="Q80">
        <f>SUMIFS(Sales_Data!$J$4:$J$1003,Sales_Data!$B$4:$B$1003,Sales_Targets!B7)</f>
        <v/>
      </c>
      <c r="R80">
        <f>Sales_Targets!C7</f>
        <v/>
      </c>
    </row>
    <row r="81">
      <c r="P81">
        <f>Sales_Targets!A8</f>
        <v/>
      </c>
      <c r="Q81">
        <f>SUMIFS(Sales_Data!$J$4:$J$1003,Sales_Data!$B$4:$B$1003,Sales_Targets!B8)</f>
        <v/>
      </c>
      <c r="R81">
        <f>Sales_Targets!C8</f>
        <v/>
      </c>
    </row>
    <row r="82">
      <c r="P82">
        <f>Sales_Targets!A9</f>
        <v/>
      </c>
      <c r="Q82">
        <f>SUMIFS(Sales_Data!$J$4:$J$1003,Sales_Data!$B$4:$B$1003,Sales_Targets!B9)</f>
        <v/>
      </c>
      <c r="R82">
        <f>Sales_Targets!C9</f>
        <v/>
      </c>
    </row>
    <row r="83">
      <c r="P83">
        <f>Sales_Targets!A10</f>
        <v/>
      </c>
      <c r="Q83">
        <f>SUMIFS(Sales_Data!$J$4:$J$1003,Sales_Data!$B$4:$B$1003,Sales_Targets!B10)</f>
        <v/>
      </c>
      <c r="R83">
        <f>Sales_Targets!C10</f>
        <v/>
      </c>
    </row>
    <row r="84">
      <c r="P84">
        <f>Sales_Targets!A11</f>
        <v/>
      </c>
      <c r="Q84">
        <f>SUMIFS(Sales_Data!$J$4:$J$1003,Sales_Data!$B$4:$B$1003,Sales_Targets!B11)</f>
        <v/>
      </c>
      <c r="R84">
        <f>Sales_Targets!C11</f>
        <v/>
      </c>
    </row>
    <row r="85">
      <c r="P85">
        <f>Sales_Targets!A12</f>
        <v/>
      </c>
      <c r="Q85">
        <f>SUMIFS(Sales_Data!$J$4:$J$1003,Sales_Data!$B$4:$B$1003,Sales_Targets!B12)</f>
        <v/>
      </c>
      <c r="R85">
        <f>Sales_Targets!C12</f>
        <v/>
      </c>
    </row>
    <row r="86">
      <c r="P86">
        <f>Sales_Targets!A13</f>
        <v/>
      </c>
      <c r="Q86">
        <f>SUMIFS(Sales_Data!$J$4:$J$1003,Sales_Data!$B$4:$B$1003,Sales_Targets!B13)</f>
        <v/>
      </c>
      <c r="R86">
        <f>Sales_Targets!C13</f>
        <v/>
      </c>
    </row>
    <row r="87">
      <c r="P87">
        <f>Sales_Targets!A14</f>
        <v/>
      </c>
      <c r="Q87">
        <f>SUMIFS(Sales_Data!$J$4:$J$1003,Sales_Data!$B$4:$B$1003,Sales_Targets!B14)</f>
        <v/>
      </c>
      <c r="R87">
        <f>Sales_Targets!C14</f>
        <v/>
      </c>
    </row>
    <row r="88">
      <c r="P88">
        <f>Sales_Targets!A15</f>
        <v/>
      </c>
      <c r="Q88">
        <f>SUMIFS(Sales_Data!$J$4:$J$1003,Sales_Data!$B$4:$B$1003,Sales_Targets!B15)</f>
        <v/>
      </c>
      <c r="R88">
        <f>Sales_Targets!C15</f>
        <v/>
      </c>
    </row>
  </sheetData>
  <mergeCells count="58">
    <mergeCell ref="L17:M17"/>
    <mergeCell ref="F11:G11"/>
    <mergeCell ref="B16:C16"/>
    <mergeCell ref="L7:M7"/>
    <mergeCell ref="B7:C7"/>
    <mergeCell ref="J5:K5"/>
    <mergeCell ref="D10:E10"/>
    <mergeCell ref="F10:G10"/>
    <mergeCell ref="H10:I10"/>
    <mergeCell ref="F16:G16"/>
    <mergeCell ref="L16:M16"/>
    <mergeCell ref="J10:K10"/>
    <mergeCell ref="F6:G6"/>
    <mergeCell ref="F7:G7"/>
    <mergeCell ref="B12:C12"/>
    <mergeCell ref="D6:E6"/>
    <mergeCell ref="F12:G12"/>
    <mergeCell ref="L12:M12"/>
    <mergeCell ref="H6:I6"/>
    <mergeCell ref="B11:C11"/>
    <mergeCell ref="J6:K6"/>
    <mergeCell ref="F15:G15"/>
    <mergeCell ref="D11:E11"/>
    <mergeCell ref="F5:G5"/>
    <mergeCell ref="J15:K15"/>
    <mergeCell ref="L15:M15"/>
    <mergeCell ref="L5:M5"/>
    <mergeCell ref="B17:C17"/>
    <mergeCell ref="D17:E17"/>
    <mergeCell ref="F17:G17"/>
    <mergeCell ref="H17:I17"/>
    <mergeCell ref="H11:I11"/>
    <mergeCell ref="D16:E16"/>
    <mergeCell ref="J11:K11"/>
    <mergeCell ref="A1:M1"/>
    <mergeCell ref="D7:E7"/>
    <mergeCell ref="H16:I16"/>
    <mergeCell ref="B20:M20"/>
    <mergeCell ref="H7:I7"/>
    <mergeCell ref="J16:K16"/>
    <mergeCell ref="L10:M10"/>
    <mergeCell ref="J7:K7"/>
    <mergeCell ref="B10:C10"/>
    <mergeCell ref="B4:M4"/>
    <mergeCell ref="D12:E12"/>
    <mergeCell ref="B6:C6"/>
    <mergeCell ref="H12:I12"/>
    <mergeCell ref="J12:K12"/>
    <mergeCell ref="B15:C15"/>
    <mergeCell ref="L6:M6"/>
    <mergeCell ref="D15:E15"/>
    <mergeCell ref="B5:C5"/>
    <mergeCell ref="D5:E5"/>
    <mergeCell ref="H15:I15"/>
    <mergeCell ref="L11:M11"/>
    <mergeCell ref="H5:I5"/>
    <mergeCell ref="A2:M2"/>
    <mergeCell ref="J17:K17"/>
  </mergeCells>
  <conditionalFormatting sqref="F7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conditionalFormatting sqref="L7">
    <cfRule type="cellIs" priority="4" operator="equal" dxfId="0">
      <formula>"GREEN"</formula>
    </cfRule>
    <cfRule type="cellIs" priority="5" operator="equal" dxfId="1">
      <formula>"YELLOW"</formula>
    </cfRule>
    <cfRule type="cellIs" priority="6" operator="equal" dxfId="2">
      <formula>"RED"</formula>
    </cfRule>
  </conditionalFormatting>
  <conditionalFormatting sqref="H12">
    <cfRule type="cellIs" priority="7" operator="equal" dxfId="0">
      <formula>"GREEN"</formula>
    </cfRule>
    <cfRule type="cellIs" priority="8" operator="equal" dxfId="1">
      <formula>"YELLOW"</formula>
    </cfRule>
    <cfRule type="cellIs" priority="9" operator="equal" dxfId="2">
      <formula>"RED"</formula>
    </cfRule>
  </conditionalFormatting>
  <conditionalFormatting sqref="J17">
    <cfRule type="cellIs" priority="10" operator="equal" dxfId="0">
      <formula>"GREEN"</formula>
    </cfRule>
    <cfRule type="cellIs" priority="11" operator="equal" dxfId="1">
      <formula>"YELLOW"</formula>
    </cfRule>
    <cfRule type="cellIs" priority="12" operator="equal" dxfId="2">
      <formula>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Q10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1" t="inlineStr">
        <is>
          <t>OPERATIONS MANAGEMENT DASHBOARD</t>
        </is>
      </c>
    </row>
    <row r="2">
      <c r="A2" s="2" t="inlineStr">
        <is>
          <t>Build → Drop → Install → Activate  •  trouble tickets, contractors, project health  •  reporting month set on Exec Dashboard</t>
        </is>
      </c>
    </row>
    <row r="4" ht="22" customHeight="1">
      <c r="B4" s="8" t="inlineStr">
        <is>
          <t>OPERATIONS KPIs (current reporting month)</t>
        </is>
      </c>
    </row>
    <row r="5">
      <c r="B5" s="9" t="inlineStr">
        <is>
          <t>HOMES PASSED ADDED</t>
        </is>
      </c>
      <c r="C5" s="10" t="n"/>
      <c r="D5" s="9" t="inlineStr">
        <is>
          <t>FOOTAGE BUILT</t>
        </is>
      </c>
      <c r="E5" s="10" t="n"/>
      <c r="F5" s="9" t="inlineStr">
        <is>
          <t>COST / HOME PASSED</t>
        </is>
      </c>
      <c r="G5" s="10" t="n"/>
      <c r="H5" s="9" t="inlineStr">
        <is>
          <t>DROPS COMPLETED</t>
        </is>
      </c>
      <c r="I5" s="10" t="n"/>
      <c r="J5" s="9" t="inlineStr">
        <is>
          <t>SPLICES COMPLETED</t>
        </is>
      </c>
      <c r="K5" s="10" t="n"/>
      <c r="L5" s="9" t="inlineStr">
        <is>
          <t>ACTIVATIONS</t>
        </is>
      </c>
      <c r="M5" s="10" t="n"/>
    </row>
    <row r="6">
      <c r="B6" s="11">
        <f>SUMIFS(Operations_Data!$C$4:$C$1003,Operations_Data!$A$4:$A$1003,Exec_Dashboard!$C$5)</f>
        <v/>
      </c>
      <c r="C6" s="10" t="n"/>
      <c r="D6" s="11">
        <f>SUMIFS(Operations_Data!$D$4:$D$1003,Operations_Data!$A$4:$A$1003,Exec_Dashboard!$C$5)</f>
        <v/>
      </c>
      <c r="E6" s="10" t="n"/>
      <c r="F6" s="14">
        <f>IF(SUMIFS(Operations_Data!$C$4:$C$1003,Operations_Data!$A$4:$A$1003,Exec_Dashboard!$C$5)=0,0,SUMIFS(Financial_Data!$E$4:$E$1003,Financial_Data!$A$4:$A$1003,Exec_Dashboard!$C$5)/SUMIFS(Operations_Data!$C$4:$C$1003,Operations_Data!$A$4:$A$1003,Exec_Dashboard!$C$5))</f>
        <v/>
      </c>
      <c r="G6" s="10" t="n"/>
      <c r="H6" s="11">
        <f>SUMIFS(Operations_Data!$E$4:$E$1003,Operations_Data!$A$4:$A$1003,Exec_Dashboard!$C$5)</f>
        <v/>
      </c>
      <c r="I6" s="10" t="n"/>
      <c r="J6" s="11">
        <f>SUMIFS(Operations_Data!$M$4:$M$1003,Operations_Data!$A$4:$A$1003,Exec_Dashboard!$C$5)</f>
        <v/>
      </c>
      <c r="K6" s="10" t="n"/>
      <c r="L6" s="11">
        <f>SUMIFS(Operations_Data!$L$4:$L$1003,Operations_Data!$A$4:$A$1003,Exec_Dashboard!$C$5)</f>
        <v/>
      </c>
      <c r="M6" s="10" t="n"/>
    </row>
    <row r="7">
      <c r="B7" s="13" t="inlineStr">
        <is>
          <t>This month</t>
        </is>
      </c>
      <c r="C7" s="10" t="n"/>
      <c r="D7" s="13" t="inlineStr">
        <is>
          <t>Linear feet</t>
        </is>
      </c>
      <c r="E7" s="10" t="n"/>
      <c r="F7" s="13">
        <f>IF(F6&lt;=700,"GREEN",IF(F6&lt;=950,"YELLOW","RED"))</f>
        <v/>
      </c>
      <c r="G7" s="10" t="n"/>
      <c r="H7" s="13" t="inlineStr"/>
      <c r="I7" s="10" t="n"/>
      <c r="J7" s="13" t="inlineStr"/>
      <c r="K7" s="10" t="n"/>
      <c r="L7" s="13" t="inlineStr"/>
      <c r="M7" s="10" t="n"/>
    </row>
    <row r="10">
      <c r="B10" s="9" t="inlineStr">
        <is>
          <t>INSTALLS SCHEDULED</t>
        </is>
      </c>
      <c r="C10" s="10" t="n"/>
      <c r="D10" s="9" t="inlineStr">
        <is>
          <t>INSTALLS COMPLETED</t>
        </is>
      </c>
      <c r="E10" s="10" t="n"/>
      <c r="F10" s="9" t="inlineStr">
        <is>
          <t>INSTALL BACKLOG</t>
        </is>
      </c>
      <c r="G10" s="10" t="n"/>
      <c r="H10" s="9" t="inlineStr">
        <is>
          <t>AVG DAYS TO INSTALL</t>
        </is>
      </c>
      <c r="I10" s="10" t="n"/>
      <c r="J10" s="9" t="inlineStr">
        <is>
          <t>TROUBLE TICKETS</t>
        </is>
      </c>
      <c r="K10" s="10" t="n"/>
      <c r="L10" s="9" t="inlineStr">
        <is>
          <t>REPEAT TICKET %</t>
        </is>
      </c>
      <c r="M10" s="10" t="n"/>
    </row>
    <row r="11">
      <c r="B11" s="11">
        <f>SUMIFS(Operations_Data!$F$4:$F$1003,Operations_Data!$A$4:$A$1003,Exec_Dashboard!$C$5)</f>
        <v/>
      </c>
      <c r="C11" s="10" t="n"/>
      <c r="D11" s="11">
        <f>SUMIFS(Operations_Data!$G$4:$G$1003,Operations_Data!$A$4:$A$1003,Exec_Dashboard!$C$5)</f>
        <v/>
      </c>
      <c r="E11" s="10" t="n"/>
      <c r="F11" s="11">
        <f>SUMIFS(Operations_Data!$F$4:$F$1003,Operations_Data!$B$4:$B$1003,"&lt;="&amp;Exec_Dashboard!$D$5)-SUMIFS(Operations_Data!$G$4:$G$1003,Operations_Data!$B$4:$B$1003,"&lt;="&amp;Exec_Dashboard!$D$5)</f>
        <v/>
      </c>
      <c r="G11" s="10" t="n"/>
      <c r="H11" s="17">
        <f>AVERAGEIFS(Operations_Data!$H$4:$H$1003,Operations_Data!$A$4:$A$1003,Exec_Dashboard!$C$5)</f>
        <v/>
      </c>
      <c r="I11" s="10" t="n"/>
      <c r="J11" s="11">
        <f>SUMIFS(Operations_Data!$I$4:$I$1003,Operations_Data!$A$4:$A$1003,Exec_Dashboard!$C$5)</f>
        <v/>
      </c>
      <c r="K11" s="10" t="n"/>
      <c r="L11" s="12">
        <f>IF(SUMIFS(Operations_Data!$I$4:$I$1003,Operations_Data!$A$4:$A$1003,Exec_Dashboard!$C$5)=0,0,SUMIFS(Operations_Data!$J$4:$J$1003,Operations_Data!$A$4:$A$1003,Exec_Dashboard!$C$5)/SUMIFS(Operations_Data!$I$4:$I$1003,Operations_Data!$A$4:$A$1003,Exec_Dashboard!$C$5))</f>
        <v/>
      </c>
      <c r="M11" s="10" t="n"/>
    </row>
    <row r="12">
      <c r="B12" s="13" t="inlineStr"/>
      <c r="C12" s="10" t="n"/>
      <c r="D12" s="13">
        <f>IF(D11&gt;=SUMIFS(Operations_Data!$F$4:$F$1003,Operations_Data!$A$4:$A$1003,Exec_Dashboard!$C$5),"GREEN",IF(D11&gt;=0.85*SUMIFS(Operations_Data!$F$4:$F$1003,Operations_Data!$A$4:$A$1003,Exec_Dashboard!$C$5),"YELLOW","RED"))</f>
        <v/>
      </c>
      <c r="E12" s="10" t="n"/>
      <c r="F12" s="13">
        <f>IF(F11&lt;=200,"GREEN",IF(F11&lt;=400,"YELLOW","RED"))</f>
        <v/>
      </c>
      <c r="G12" s="10" t="n"/>
      <c r="H12" s="13">
        <f>IF(H11&lt;=7,"GREEN",IF(H11&lt;=10,"YELLOW","RED"))</f>
        <v/>
      </c>
      <c r="I12" s="10" t="n"/>
      <c r="J12" s="13">
        <f>IF(J11&lt;=250,"GREEN",IF(J11&lt;=320,"YELLOW","RED"))</f>
        <v/>
      </c>
      <c r="K12" s="10" t="n"/>
      <c r="L12" s="13">
        <f>IF(L11&lt;=0.1,"GREEN",IF(L11&lt;=0.15,"YELLOW","RED"))</f>
        <v/>
      </c>
      <c r="M12" s="10" t="n"/>
    </row>
    <row r="15">
      <c r="B15" s="9" t="inlineStr">
        <is>
          <t>OUTAGES (MTD)</t>
        </is>
      </c>
      <c r="C15" s="10" t="n"/>
      <c r="D15" s="9" t="inlineStr">
        <is>
          <t>PROJECTS ON TRACK</t>
        </is>
      </c>
      <c r="E15" s="10" t="n"/>
      <c r="F15" s="9" t="inlineStr">
        <is>
          <t>PROJECTS AT RISK</t>
        </is>
      </c>
      <c r="G15" s="10" t="n"/>
      <c r="H15" s="9" t="inlineStr">
        <is>
          <t>PROJECTS BEHIND</t>
        </is>
      </c>
      <c r="I15" s="10" t="n"/>
      <c r="J15" s="9" t="inlineStr">
        <is>
          <t>AVG PROJECT % COMPLETE</t>
        </is>
      </c>
      <c r="K15" s="10" t="n"/>
      <c r="L15" s="9" t="inlineStr">
        <is>
          <t>AVG CONTRACTOR SCORE</t>
        </is>
      </c>
      <c r="M15" s="10" t="n"/>
    </row>
    <row r="16">
      <c r="B16" s="16">
        <f>SUMIFS(Operations_Data!$K$4:$K$1003,Operations_Data!$A$4:$A$1003,Exec_Dashboard!$C$5)</f>
        <v/>
      </c>
      <c r="C16" s="10" t="n"/>
      <c r="D16" s="16">
        <f>COUNTIFS(Project_Data!$F$4:$F$1003,"On Track")</f>
        <v/>
      </c>
      <c r="E16" s="10" t="n"/>
      <c r="F16" s="16">
        <f>COUNTIFS(Project_Data!$F$4:$F$1003,"At Risk")</f>
        <v/>
      </c>
      <c r="G16" s="10" t="n"/>
      <c r="H16" s="16">
        <f>COUNTIFS(Project_Data!$F$4:$F$1003,"Behind")</f>
        <v/>
      </c>
      <c r="I16" s="10" t="n"/>
      <c r="J16" s="32">
        <f>AVERAGE(Project_Data!$E$4:$E$1003)</f>
        <v/>
      </c>
      <c r="K16" s="10" t="n"/>
      <c r="L16" s="17">
        <f>AVERAGE(Project_Data!$Q$4:$Q$1003)</f>
        <v/>
      </c>
      <c r="M16" s="10" t="n"/>
    </row>
    <row r="17">
      <c r="B17" s="13">
        <f>IF(B16&lt;=2,"GREEN",IF(B16&lt;=4,"YELLOW","RED"))</f>
        <v/>
      </c>
      <c r="C17" s="10" t="n"/>
      <c r="D17" s="13" t="inlineStr"/>
      <c r="E17" s="10" t="n"/>
      <c r="F17" s="13">
        <f>IF(F16=0,"GREEN",IF(F16&lt;=2,"YELLOW","RED"))</f>
        <v/>
      </c>
      <c r="G17" s="10" t="n"/>
      <c r="H17" s="13">
        <f>IF(H16=0,"GREEN",IF(H16&lt;=1,"YELLOW","RED"))</f>
        <v/>
      </c>
      <c r="I17" s="10" t="n"/>
      <c r="J17" s="13" t="inlineStr"/>
      <c r="K17" s="10" t="n"/>
      <c r="L17" s="13">
        <f>IF(L16&gt;=8,"GREEN",IF(L16&gt;=6.5,"YELLOW","RED"))</f>
        <v/>
      </c>
      <c r="M17" s="10" t="n"/>
    </row>
    <row r="20" ht="22" customHeight="1">
      <c r="B20" s="8" t="inlineStr">
        <is>
          <t>PROJECT HEALTH &amp; ANALYTICS</t>
        </is>
      </c>
    </row>
    <row r="60">
      <c r="P60" s="3" t="inlineStr">
        <is>
          <t>Build Progress by Project</t>
        </is>
      </c>
    </row>
    <row r="61">
      <c r="P61" s="31" t="inlineStr">
        <is>
          <t>Project</t>
        </is>
      </c>
      <c r="Q61" s="31" t="inlineStr">
        <is>
          <t>% Complete</t>
        </is>
      </c>
    </row>
    <row r="62">
      <c r="P62">
        <f>Project_Data!A4</f>
        <v/>
      </c>
      <c r="Q62" s="33">
        <f>Project_Data!E4</f>
        <v/>
      </c>
    </row>
    <row r="63">
      <c r="P63">
        <f>Project_Data!A5</f>
        <v/>
      </c>
      <c r="Q63" s="33">
        <f>Project_Data!E5</f>
        <v/>
      </c>
    </row>
    <row r="64">
      <c r="P64">
        <f>Project_Data!A6</f>
        <v/>
      </c>
      <c r="Q64" s="33">
        <f>Project_Data!E6</f>
        <v/>
      </c>
    </row>
    <row r="65">
      <c r="P65">
        <f>Project_Data!A7</f>
        <v/>
      </c>
      <c r="Q65" s="33">
        <f>Project_Data!E7</f>
        <v/>
      </c>
    </row>
    <row r="66">
      <c r="P66">
        <f>Project_Data!A8</f>
        <v/>
      </c>
      <c r="Q66" s="33">
        <f>Project_Data!E8</f>
        <v/>
      </c>
    </row>
    <row r="67">
      <c r="P67">
        <f>Project_Data!A9</f>
        <v/>
      </c>
      <c r="Q67" s="33">
        <f>Project_Data!E9</f>
        <v/>
      </c>
    </row>
    <row r="68">
      <c r="P68">
        <f>Project_Data!A10</f>
        <v/>
      </c>
      <c r="Q68" s="33">
        <f>Project_Data!E10</f>
        <v/>
      </c>
    </row>
    <row r="69">
      <c r="P69">
        <f>Project_Data!A11</f>
        <v/>
      </c>
      <c r="Q69" s="33">
        <f>Project_Data!E11</f>
        <v/>
      </c>
    </row>
    <row r="70">
      <c r="P70">
        <f>Project_Data!A12</f>
        <v/>
      </c>
      <c r="Q70" s="33">
        <f>Project_Data!E12</f>
        <v/>
      </c>
    </row>
    <row r="71">
      <c r="P71">
        <f>Project_Data!A13</f>
        <v/>
      </c>
      <c r="Q71" s="33">
        <f>Project_Data!E13</f>
        <v/>
      </c>
    </row>
    <row r="80">
      <c r="P80" s="3" t="inlineStr">
        <is>
          <t>Project Status</t>
        </is>
      </c>
    </row>
    <row r="81">
      <c r="P81" s="31" t="inlineStr">
        <is>
          <t>Status</t>
        </is>
      </c>
      <c r="Q81" s="31" t="inlineStr">
        <is>
          <t>Count</t>
        </is>
      </c>
    </row>
    <row r="82">
      <c r="P82" t="inlineStr">
        <is>
          <t>On Track</t>
        </is>
      </c>
      <c r="Q82">
        <f>COUNTIFS(Project_Data!$F$4:$F$1003,"On Track")</f>
        <v/>
      </c>
    </row>
    <row r="83">
      <c r="P83" t="inlineStr">
        <is>
          <t>At Risk</t>
        </is>
      </c>
      <c r="Q83">
        <f>COUNTIFS(Project_Data!$F$4:$F$1003,"At Risk")</f>
        <v/>
      </c>
    </row>
    <row r="84">
      <c r="P84" t="inlineStr">
        <is>
          <t>Behind</t>
        </is>
      </c>
      <c r="Q84">
        <f>COUNTIFS(Project_Data!$F$4:$F$1003,"Behind")</f>
        <v/>
      </c>
    </row>
    <row r="85">
      <c r="P85" t="inlineStr">
        <is>
          <t>Complete</t>
        </is>
      </c>
      <c r="Q85">
        <f>COUNTIFS(Project_Data!$F$4:$F$1003,"Complete")</f>
        <v/>
      </c>
    </row>
    <row r="90">
      <c r="P90" s="3" t="inlineStr">
        <is>
          <t>Contractor Performance</t>
        </is>
      </c>
    </row>
    <row r="91">
      <c r="P91" s="31" t="inlineStr">
        <is>
          <t>Contractor</t>
        </is>
      </c>
      <c r="Q91" s="31" t="inlineStr">
        <is>
          <t>Avg Score</t>
        </is>
      </c>
    </row>
    <row r="92">
      <c r="P92" t="inlineStr">
        <is>
          <t>Cape Fear Underground</t>
        </is>
      </c>
      <c r="Q92" s="34">
        <f>IFERROR(AVERAGEIFS(Project_Data!$Q$4:$Q$1003,Project_Data!$P$4:$P$1003,"Cape Fear Underground"),0)</f>
        <v/>
      </c>
    </row>
    <row r="93">
      <c r="P93" t="inlineStr">
        <is>
          <t>FiberBuild Co</t>
        </is>
      </c>
      <c r="Q93" s="34">
        <f>IFERROR(AVERAGEIFS(Project_Data!$Q$4:$Q$1003,Project_Data!$P$4:$P$1003,"FiberBuild Co"),0)</f>
        <v/>
      </c>
    </row>
    <row r="94">
      <c r="P94" t="inlineStr">
        <is>
          <t>In-House Crew</t>
        </is>
      </c>
      <c r="Q94" s="34">
        <f>IFERROR(AVERAGEIFS(Project_Data!$Q$4:$Q$1003,Project_Data!$P$4:$P$1003,"In-House Crew"),0)</f>
        <v/>
      </c>
    </row>
    <row r="95">
      <c r="P95" t="inlineStr">
        <is>
          <t>Sandhill Construction</t>
        </is>
      </c>
      <c r="Q95" s="34">
        <f>IFERROR(AVERAGEIFS(Project_Data!$Q$4:$Q$1003,Project_Data!$P$4:$P$1003,"Sandhill Construction"),0)</f>
        <v/>
      </c>
    </row>
    <row r="100">
      <c r="P100" s="3" t="inlineStr">
        <is>
          <t>Trouble Tickets by Category (editable)</t>
        </is>
      </c>
    </row>
    <row r="101">
      <c r="P101" s="31" t="inlineStr">
        <is>
          <t>Category</t>
        </is>
      </c>
      <c r="Q101" s="31" t="inlineStr">
        <is>
          <t>Count</t>
        </is>
      </c>
    </row>
    <row r="102">
      <c r="P102" t="inlineStr">
        <is>
          <t>No Signal / Down</t>
        </is>
      </c>
      <c r="Q102" t="n">
        <v>92</v>
      </c>
    </row>
    <row r="103">
      <c r="P103" t="inlineStr">
        <is>
          <t>Slow Speed</t>
        </is>
      </c>
      <c r="Q103" t="n">
        <v>64</v>
      </c>
    </row>
    <row r="104">
      <c r="P104" t="inlineStr">
        <is>
          <t>Intermittent</t>
        </is>
      </c>
      <c r="Q104" t="n">
        <v>58</v>
      </c>
    </row>
    <row r="105">
      <c r="P105" t="inlineStr">
        <is>
          <t>ONT / Equipment</t>
        </is>
      </c>
      <c r="Q105" t="n">
        <v>41</v>
      </c>
    </row>
    <row r="106">
      <c r="P106" t="inlineStr">
        <is>
          <t>Outside Plant</t>
        </is>
      </c>
      <c r="Q106" t="n">
        <v>33</v>
      </c>
    </row>
    <row r="107">
      <c r="P107" t="inlineStr">
        <is>
          <t>Billing-related</t>
        </is>
      </c>
      <c r="Q107" t="n">
        <v>22</v>
      </c>
    </row>
  </sheetData>
  <mergeCells count="58">
    <mergeCell ref="L17:M17"/>
    <mergeCell ref="F11:G11"/>
    <mergeCell ref="B16:C16"/>
    <mergeCell ref="L7:M7"/>
    <mergeCell ref="B7:C7"/>
    <mergeCell ref="J5:K5"/>
    <mergeCell ref="D10:E10"/>
    <mergeCell ref="F10:G10"/>
    <mergeCell ref="H10:I10"/>
    <mergeCell ref="F16:G16"/>
    <mergeCell ref="L16:M16"/>
    <mergeCell ref="J10:K10"/>
    <mergeCell ref="F6:G6"/>
    <mergeCell ref="F7:G7"/>
    <mergeCell ref="B12:C12"/>
    <mergeCell ref="D6:E6"/>
    <mergeCell ref="F12:G12"/>
    <mergeCell ref="L12:M12"/>
    <mergeCell ref="H6:I6"/>
    <mergeCell ref="B11:C11"/>
    <mergeCell ref="J6:K6"/>
    <mergeCell ref="F15:G15"/>
    <mergeCell ref="D11:E11"/>
    <mergeCell ref="F5:G5"/>
    <mergeCell ref="J15:K15"/>
    <mergeCell ref="L15:M15"/>
    <mergeCell ref="L5:M5"/>
    <mergeCell ref="B17:C17"/>
    <mergeCell ref="D17:E17"/>
    <mergeCell ref="F17:G17"/>
    <mergeCell ref="H17:I17"/>
    <mergeCell ref="H11:I11"/>
    <mergeCell ref="D16:E16"/>
    <mergeCell ref="J11:K11"/>
    <mergeCell ref="A1:M1"/>
    <mergeCell ref="D7:E7"/>
    <mergeCell ref="H16:I16"/>
    <mergeCell ref="B20:M20"/>
    <mergeCell ref="H7:I7"/>
    <mergeCell ref="J16:K16"/>
    <mergeCell ref="L10:M10"/>
    <mergeCell ref="J7:K7"/>
    <mergeCell ref="B10:C10"/>
    <mergeCell ref="B4:M4"/>
    <mergeCell ref="D12:E12"/>
    <mergeCell ref="B6:C6"/>
    <mergeCell ref="H12:I12"/>
    <mergeCell ref="J12:K12"/>
    <mergeCell ref="B15:C15"/>
    <mergeCell ref="L6:M6"/>
    <mergeCell ref="D15:E15"/>
    <mergeCell ref="B5:C5"/>
    <mergeCell ref="D5:E5"/>
    <mergeCell ref="H15:I15"/>
    <mergeCell ref="L11:M11"/>
    <mergeCell ref="H5:I5"/>
    <mergeCell ref="A2:M2"/>
    <mergeCell ref="J17:K17"/>
  </mergeCells>
  <conditionalFormatting sqref="F7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conditionalFormatting sqref="D12">
    <cfRule type="cellIs" priority="4" operator="equal" dxfId="0">
      <formula>"GREEN"</formula>
    </cfRule>
    <cfRule type="cellIs" priority="5" operator="equal" dxfId="1">
      <formula>"YELLOW"</formula>
    </cfRule>
    <cfRule type="cellIs" priority="6" operator="equal" dxfId="2">
      <formula>"RED"</formula>
    </cfRule>
  </conditionalFormatting>
  <conditionalFormatting sqref="F12">
    <cfRule type="cellIs" priority="7" operator="equal" dxfId="0">
      <formula>"GREEN"</formula>
    </cfRule>
    <cfRule type="cellIs" priority="8" operator="equal" dxfId="1">
      <formula>"YELLOW"</formula>
    </cfRule>
    <cfRule type="cellIs" priority="9" operator="equal" dxfId="2">
      <formula>"RED"</formula>
    </cfRule>
  </conditionalFormatting>
  <conditionalFormatting sqref="H12">
    <cfRule type="cellIs" priority="10" operator="equal" dxfId="0">
      <formula>"GREEN"</formula>
    </cfRule>
    <cfRule type="cellIs" priority="11" operator="equal" dxfId="1">
      <formula>"YELLOW"</formula>
    </cfRule>
    <cfRule type="cellIs" priority="12" operator="equal" dxfId="2">
      <formula>"RED"</formula>
    </cfRule>
  </conditionalFormatting>
  <conditionalFormatting sqref="J12">
    <cfRule type="cellIs" priority="13" operator="equal" dxfId="0">
      <formula>"GREEN"</formula>
    </cfRule>
    <cfRule type="cellIs" priority="14" operator="equal" dxfId="1">
      <formula>"YELLOW"</formula>
    </cfRule>
    <cfRule type="cellIs" priority="15" operator="equal" dxfId="2">
      <formula>"RED"</formula>
    </cfRule>
  </conditionalFormatting>
  <conditionalFormatting sqref="L12">
    <cfRule type="cellIs" priority="16" operator="equal" dxfId="0">
      <formula>"GREEN"</formula>
    </cfRule>
    <cfRule type="cellIs" priority="17" operator="equal" dxfId="1">
      <formula>"YELLOW"</formula>
    </cfRule>
    <cfRule type="cellIs" priority="18" operator="equal" dxfId="2">
      <formula>"RED"</formula>
    </cfRule>
  </conditionalFormatting>
  <conditionalFormatting sqref="B17">
    <cfRule type="cellIs" priority="19" operator="equal" dxfId="0">
      <formula>"GREEN"</formula>
    </cfRule>
    <cfRule type="cellIs" priority="20" operator="equal" dxfId="1">
      <formula>"YELLOW"</formula>
    </cfRule>
    <cfRule type="cellIs" priority="21" operator="equal" dxfId="2">
      <formula>"RED"</formula>
    </cfRule>
  </conditionalFormatting>
  <conditionalFormatting sqref="F17">
    <cfRule type="cellIs" priority="22" operator="equal" dxfId="0">
      <formula>"GREEN"</formula>
    </cfRule>
    <cfRule type="cellIs" priority="23" operator="equal" dxfId="1">
      <formula>"YELLOW"</formula>
    </cfRule>
    <cfRule type="cellIs" priority="24" operator="equal" dxfId="2">
      <formula>"RED"</formula>
    </cfRule>
  </conditionalFormatting>
  <conditionalFormatting sqref="H17">
    <cfRule type="cellIs" priority="25" operator="equal" dxfId="0">
      <formula>"GREEN"</formula>
    </cfRule>
    <cfRule type="cellIs" priority="26" operator="equal" dxfId="1">
      <formula>"YELLOW"</formula>
    </cfRule>
    <cfRule type="cellIs" priority="27" operator="equal" dxfId="2">
      <formula>"RED"</formula>
    </cfRule>
  </conditionalFormatting>
  <conditionalFormatting sqref="L17">
    <cfRule type="cellIs" priority="28" operator="equal" dxfId="0">
      <formula>"GREEN"</formula>
    </cfRule>
    <cfRule type="cellIs" priority="29" operator="equal" dxfId="1">
      <formula>"YELLOW"</formula>
    </cfRule>
    <cfRule type="cellIs" priority="30" operator="equal" dxfId="2">
      <formula>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6"/>
    <outlinePr summaryBelow="1" summaryRight="1"/>
    <pageSetUpPr/>
  </sheetPr>
  <dimension ref="A1:R11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1" t="inlineStr">
        <is>
          <t>FINANCIAL MANAGEMENT DASHBOARD</t>
        </is>
      </c>
    </row>
    <row r="2">
      <c r="A2" s="2" t="inlineStr">
        <is>
          <t>Revenue • CapEx/OpEx • budget vs actual • cash forecast • grant reimbursement • margin by service line  •  reporting month set on Exec Dashboard</t>
        </is>
      </c>
    </row>
    <row r="4" ht="22" customHeight="1">
      <c r="B4" s="8" t="inlineStr">
        <is>
          <t>FINANCIAL KPIs (current reporting month)</t>
        </is>
      </c>
    </row>
    <row r="5">
      <c r="B5" s="9" t="inlineStr">
        <is>
          <t>REVENUE (MTD)</t>
        </is>
      </c>
      <c r="C5" s="10" t="n"/>
      <c r="D5" s="9" t="inlineStr">
        <is>
          <t>MRR</t>
        </is>
      </c>
      <c r="E5" s="10" t="n"/>
      <c r="F5" s="9" t="inlineStr">
        <is>
          <t>ARPU</t>
        </is>
      </c>
      <c r="G5" s="10" t="n"/>
      <c r="H5" s="9" t="inlineStr">
        <is>
          <t>CAPITAL SPEND (MTD)</t>
        </is>
      </c>
      <c r="I5" s="10" t="n"/>
      <c r="J5" s="9" t="inlineStr">
        <is>
          <t>OPERATING EXPENSE</t>
        </is>
      </c>
      <c r="K5" s="10" t="n"/>
      <c r="L5" s="9" t="inlineStr">
        <is>
          <t>LABOR COST</t>
        </is>
      </c>
      <c r="M5" s="10" t="n"/>
    </row>
    <row r="6">
      <c r="B6" s="14">
        <f>SUMIFS(Financial_Data!$C$4:$C$1003,Financial_Data!$A$4:$A$1003,Exec_Dashboard!$C$5)</f>
        <v/>
      </c>
      <c r="C6" s="10" t="n"/>
      <c r="D6" s="14">
        <f>SUMIFS(Financial_Data!$D$4:$D$1003,Financial_Data!$A$4:$A$1003,Exec_Dashboard!$C$5)</f>
        <v/>
      </c>
      <c r="E6" s="10" t="n"/>
      <c r="F6" s="15">
        <f>IF(SUMIFS(Customer_Data!$C$4:$C$1003,Customer_Data!$A$4:$A$1003,Exec_Dashboard!$C$5)=0,0,SUMIFS(Financial_Data!$D$4:$D$1003,Financial_Data!$A$4:$A$1003,Exec_Dashboard!$C$5)/SUMIFS(Customer_Data!$C$4:$C$1003,Customer_Data!$A$4:$A$1003,Exec_Dashboard!$C$5))</f>
        <v/>
      </c>
      <c r="G6" s="10" t="n"/>
      <c r="H6" s="14">
        <f>SUMIFS(Financial_Data!$E$4:$E$1003,Financial_Data!$A$4:$A$1003,Exec_Dashboard!$C$5)</f>
        <v/>
      </c>
      <c r="I6" s="10" t="n"/>
      <c r="J6" s="14">
        <f>SUMIFS(Financial_Data!$F$4:$F$1003,Financial_Data!$A$4:$A$1003,Exec_Dashboard!$C$5)</f>
        <v/>
      </c>
      <c r="K6" s="10" t="n"/>
      <c r="L6" s="14">
        <f>SUMIFS(Financial_Data!$G$4:$G$1003,Financial_Data!$A$4:$A$1003,Exec_Dashboard!$C$5)</f>
        <v/>
      </c>
      <c r="M6" s="10" t="n"/>
    </row>
    <row r="7">
      <c r="B7" s="13">
        <f>IF(B6&gt;=SUMIFS(Financial_Data!$J$4:$J$1003,Financial_Data!$A$4:$A$1003,Exec_Dashboard!$C$5),"GREEN",IF(B6&gt;=0.95*SUMIFS(Financial_Data!$J$4:$J$1003,Financial_Data!$A$4:$A$1003,Exec_Dashboard!$C$5),"YELLOW","RED"))</f>
        <v/>
      </c>
      <c r="C7" s="10" t="n"/>
      <c r="D7" s="13" t="inlineStr"/>
      <c r="E7" s="10" t="n"/>
      <c r="F7" s="13">
        <f>IF(F6&gt;=75,"GREEN",IF(F6&gt;=65,"YELLOW","RED"))</f>
        <v/>
      </c>
      <c r="G7" s="10" t="n"/>
      <c r="H7" s="13">
        <f>IF(H6&lt;=SUMIFS(Financial_Data!$L$4:$L$1003,Financial_Data!$A$4:$A$1003,Exec_Dashboard!$C$5),"GREEN",IF(H6&lt;=1.1*SUMIFS(Financial_Data!$L$4:$L$1003,Financial_Data!$A$4:$A$1003,Exec_Dashboard!$C$5),"YELLOW","RED"))</f>
        <v/>
      </c>
      <c r="I7" s="10" t="n"/>
      <c r="J7" s="13">
        <f>IF(J6&lt;=SUMIFS(Financial_Data!$K$4:$K$1003,Financial_Data!$A$4:$A$1003,Exec_Dashboard!$C$5),"GREEN",IF(J6&lt;=1.05*SUMIFS(Financial_Data!$K$4:$K$1003,Financial_Data!$A$4:$A$1003,Exec_Dashboard!$C$5),"YELLOW","RED"))</f>
        <v/>
      </c>
      <c r="K7" s="10" t="n"/>
      <c r="L7" s="13" t="inlineStr"/>
      <c r="M7" s="10" t="n"/>
    </row>
    <row r="10">
      <c r="B10" s="9" t="inlineStr">
        <is>
          <t>CONTRACTOR COST</t>
        </is>
      </c>
      <c r="C10" s="10" t="n"/>
      <c r="D10" s="9" t="inlineStr">
        <is>
          <t>GRANT REIMB (MTD)</t>
        </is>
      </c>
      <c r="E10" s="10" t="n"/>
      <c r="F10" s="9" t="inlineStr">
        <is>
          <t>BUDGET VAR (REV)</t>
        </is>
      </c>
      <c r="G10" s="10" t="n"/>
      <c r="H10" s="9" t="inlineStr">
        <is>
          <t>FORECAST VAR (REV)</t>
        </is>
      </c>
      <c r="I10" s="10" t="n"/>
      <c r="J10" s="9" t="inlineStr">
        <is>
          <t>CASH (END OF MONTH)</t>
        </is>
      </c>
      <c r="K10" s="10" t="n"/>
      <c r="L10" s="9" t="inlineStr">
        <is>
          <t>90-DAY CASH NEED</t>
        </is>
      </c>
      <c r="M10" s="10" t="n"/>
    </row>
    <row r="11">
      <c r="B11" s="14">
        <f>SUMIFS(Financial_Data!$H$4:$H$1003,Financial_Data!$A$4:$A$1003,Exec_Dashboard!$C$5)</f>
        <v/>
      </c>
      <c r="C11" s="10" t="n"/>
      <c r="D11" s="14">
        <f>SUMIFS(Financial_Data!$I$4:$I$1003,Financial_Data!$A$4:$A$1003,Exec_Dashboard!$C$5)</f>
        <v/>
      </c>
      <c r="E11" s="10" t="n"/>
      <c r="F11" s="14">
        <f>SUMIFS(Financial_Data!$C$4:$C$1003,Financial_Data!$A$4:$A$1003,Exec_Dashboard!$C$5)-SUMIFS(Financial_Data!$J$4:$J$1003,Financial_Data!$A$4:$A$1003,Exec_Dashboard!$C$5)</f>
        <v/>
      </c>
      <c r="G11" s="10" t="n"/>
      <c r="H11" s="14">
        <f>SUMIFS(Financial_Data!$C$4:$C$1003,Financial_Data!$A$4:$A$1003,Exec_Dashboard!$C$5)-SUMIFS(Financial_Data!$M$4:$M$1003,Financial_Data!$A$4:$A$1003,Exec_Dashboard!$C$5)</f>
        <v/>
      </c>
      <c r="I11" s="10" t="n"/>
      <c r="J11" s="14">
        <f>SUMIFS(Financial_Data!$N$4:$N$1003,Financial_Data!$A$4:$A$1003,Exec_Dashboard!$C$5)</f>
        <v/>
      </c>
      <c r="K11" s="10" t="n"/>
      <c r="L11" s="14">
        <f>3*(SUMIFS(Financial_Data!$F$4:$F$1003,Financial_Data!$A$4:$A$1003,Exec_Dashboard!$C$5)+SUMIFS(Financial_Data!$E$4:$E$1003,Financial_Data!$A$4:$A$1003,Exec_Dashboard!$C$5)+SUMIFS(Financial_Data!$H$4:$H$1003,Financial_Data!$A$4:$A$1003,Exec_Dashboard!$C$5))-3*SUMIFS(Financial_Data!$M$4:$M$1003,Financial_Data!$A$4:$A$1003,Exec_Dashboard!$C$5)-SUM(Grant_Data!$E$4:$E$1003)-SUM(Grant_Data!$F$4:$F$1003)</f>
        <v/>
      </c>
      <c r="M11" s="10" t="n"/>
    </row>
    <row r="12">
      <c r="B12" s="13" t="inlineStr"/>
      <c r="C12" s="10" t="n"/>
      <c r="D12" s="13" t="inlineStr"/>
      <c r="E12" s="10" t="n"/>
      <c r="F12" s="13">
        <f>IF(F11&gt;=0,"GREEN",IF(F11&gt;=-0.05*SUMIFS(Financial_Data!$J$4:$J$1003,Financial_Data!$A$4:$A$1003,Exec_Dashboard!$C$5),"YELLOW","RED"))</f>
        <v/>
      </c>
      <c r="G12" s="10" t="n"/>
      <c r="H12" s="13">
        <f>IF(H11&gt;=-0.03*SUMIFS(Financial_Data!$M$4:$M$1003,Financial_Data!$A$4:$A$1003,Exec_Dashboard!$C$5),"GREEN",IF(H11&gt;=-0.07*SUMIFS(Financial_Data!$M$4:$M$1003,Financial_Data!$A$4:$A$1003,Exec_Dashboard!$C$5),"YELLOW","RED"))</f>
        <v/>
      </c>
      <c r="I12" s="10" t="n"/>
      <c r="J12" s="13">
        <f>IF(J11&gt;=3000000,"GREEN",IF(J11&gt;=1500000,"YELLOW","RED"))</f>
        <v/>
      </c>
      <c r="K12" s="10" t="n"/>
      <c r="L12" s="13">
        <f>IF(L11&lt;=SUMIFS(Financial_Data!$N$4:$N$1003,Financial_Data!$A$4:$A$1003,Exec_Dashboard!$C$5),"GREEN",IF(L11&lt;=1.5*SUMIFS(Financial_Data!$N$4:$N$1003,Financial_Data!$A$4:$A$1003,Exec_Dashboard!$C$5),"YELLOW","RED"))</f>
        <v/>
      </c>
      <c r="M12" s="10" t="n"/>
    </row>
    <row r="15">
      <c r="B15" s="9" t="inlineStr">
        <is>
          <t>COST / INSTALL</t>
        </is>
      </c>
      <c r="C15" s="10" t="n"/>
      <c r="D15" s="9" t="inlineStr">
        <is>
          <t>COST / HOME PASSED</t>
        </is>
      </c>
      <c r="E15" s="10" t="n"/>
      <c r="F15" s="9" t="inlineStr">
        <is>
          <t>GROSS MARGIN %</t>
        </is>
      </c>
      <c r="G15" s="10" t="n"/>
      <c r="H15" s="9" t="inlineStr">
        <is>
          <t>REVENUE YTD</t>
        </is>
      </c>
      <c r="I15" s="10" t="n"/>
      <c r="J15" s="9" t="inlineStr">
        <is>
          <t>CAPEX YTD</t>
        </is>
      </c>
      <c r="K15" s="10" t="n"/>
      <c r="L15" s="9" t="inlineStr">
        <is>
          <t>GRANT REIMB YTD</t>
        </is>
      </c>
      <c r="M15" s="10" t="n"/>
    </row>
    <row r="16">
      <c r="B16" s="14">
        <f>IF(SUMIFS(Operations_Data!$G$4:$G$1003,Operations_Data!$A$4:$A$1003,Exec_Dashboard!$C$5)=0,0,SUMIFS(Financial_Data!$H$4:$H$1003,Financial_Data!$A$4:$A$1003,Exec_Dashboard!$C$5)/SUMIFS(Operations_Data!$G$4:$G$1003,Operations_Data!$A$4:$A$1003,Exec_Dashboard!$C$5))</f>
        <v/>
      </c>
      <c r="C16" s="10" t="n"/>
      <c r="D16" s="14">
        <f>IF(SUMIFS(Operations_Data!$C$4:$C$1003,Operations_Data!$A$4:$A$1003,Exec_Dashboard!$C$5)=0,0,SUMIFS(Financial_Data!$E$4:$E$1003,Financial_Data!$A$4:$A$1003,Exec_Dashboard!$C$5)/SUMIFS(Operations_Data!$C$4:$C$1003,Operations_Data!$A$4:$A$1003,Exec_Dashboard!$C$5))</f>
        <v/>
      </c>
      <c r="E16" s="10" t="n"/>
      <c r="F16" s="12">
        <f>IF(SUMIFS(Financial_Data!$C$4:$C$1003,Financial_Data!$A$4:$A$1003,Exec_Dashboard!$C$5)=0,0,(SUMIFS(Financial_Data!$C$4:$C$1003,Financial_Data!$A$4:$A$1003,Exec_Dashboard!$C$5)-(SUMIFS(Financial_Data!$F$4:$F$1003,Financial_Data!$A$4:$A$1003,Exec_Dashboard!$C$5)+SUMIFS(Financial_Data!$H$4:$H$1003,Financial_Data!$A$4:$A$1003,Exec_Dashboard!$C$5)))/SUMIFS(Financial_Data!$C$4:$C$1003,Financial_Data!$A$4:$A$1003,Exec_Dashboard!$C$5))</f>
        <v/>
      </c>
      <c r="G16" s="10" t="n"/>
      <c r="H16" s="14">
        <f>SUMIFS(Financial_Data!$C$4:$C$1003,Financial_Data!$B$4:$B$1003,"&lt;="&amp;Exec_Dashboard!$D$5)</f>
        <v/>
      </c>
      <c r="I16" s="10" t="n"/>
      <c r="J16" s="14">
        <f>SUMIFS(Financial_Data!$E$4:$E$1003,Financial_Data!$B$4:$B$1003,"&lt;="&amp;Exec_Dashboard!$D$5)</f>
        <v/>
      </c>
      <c r="K16" s="10" t="n"/>
      <c r="L16" s="14">
        <f>SUMIFS(Financial_Data!$I$4:$I$1003,Financial_Data!$B$4:$B$1003,"&lt;="&amp;Exec_Dashboard!$D$5)</f>
        <v/>
      </c>
      <c r="M16" s="10" t="n"/>
    </row>
    <row r="17">
      <c r="B17" s="13">
        <f>IF(B16&lt;=600,"GREEN",IF(B16&lt;=850,"YELLOW","RED"))</f>
        <v/>
      </c>
      <c r="C17" s="10" t="n"/>
      <c r="D17" s="13">
        <f>IF(D16&lt;=700,"GREEN",IF(D16&lt;=950,"YELLOW","RED"))</f>
        <v/>
      </c>
      <c r="E17" s="10" t="n"/>
      <c r="F17" s="13">
        <f>IF(F16&gt;=0.4,"GREEN",IF(F16&gt;=0.25,"YELLOW","RED"))</f>
        <v/>
      </c>
      <c r="G17" s="10" t="n"/>
      <c r="H17" s="13" t="inlineStr"/>
      <c r="I17" s="10" t="n"/>
      <c r="J17" s="13" t="inlineStr"/>
      <c r="K17" s="10" t="n"/>
      <c r="L17" s="13" t="inlineStr"/>
      <c r="M17" s="10" t="n"/>
    </row>
    <row r="20" ht="22" customHeight="1">
      <c r="B20" s="8" t="inlineStr">
        <is>
          <t>FINANCIAL ANALYTICS</t>
        </is>
      </c>
    </row>
    <row r="60">
      <c r="P60" s="3" t="inlineStr">
        <is>
          <t>Expense by Category (MTD)</t>
        </is>
      </c>
    </row>
    <row r="61">
      <c r="P61" s="31" t="inlineStr">
        <is>
          <t>Category</t>
        </is>
      </c>
      <c r="Q61" s="31" t="inlineStr">
        <is>
          <t>Amount</t>
        </is>
      </c>
    </row>
    <row r="62">
      <c r="P62" t="inlineStr">
        <is>
          <t>Labor</t>
        </is>
      </c>
      <c r="Q62" s="35">
        <f>SUMIFS(Financial_Data!$G$4:$G$1003,Financial_Data!$A$4:$A$1003,Exec_Dashboard!$C$5)</f>
        <v/>
      </c>
    </row>
    <row r="63">
      <c r="P63" t="inlineStr">
        <is>
          <t>Contractor</t>
        </is>
      </c>
      <c r="Q63" s="35">
        <f>SUMIFS(Financial_Data!$H$4:$H$1003,Financial_Data!$A$4:$A$1003,Exec_Dashboard!$C$5)</f>
        <v/>
      </c>
    </row>
    <row r="64">
      <c r="P64" t="inlineStr">
        <is>
          <t>Other OpEx</t>
        </is>
      </c>
      <c r="Q64" s="35">
        <f>SUMIFS(Financial_Data!$F$4:$F$1003,Financial_Data!$A$4:$A$1003,Exec_Dashboard!$C$5)-SUMIFS(Financial_Data!$G$4:$G$1003,Financial_Data!$A$4:$A$1003,Exec_Dashboard!$C$5)</f>
        <v/>
      </c>
    </row>
    <row r="65">
      <c r="P65" t="inlineStr">
        <is>
          <t>CapEx</t>
        </is>
      </c>
      <c r="Q65" s="35">
        <f>SUMIFS(Financial_Data!$E$4:$E$1003,Financial_Data!$A$4:$A$1003,Exec_Dashboard!$C$5)</f>
        <v/>
      </c>
    </row>
    <row r="70">
      <c r="P70" s="3" t="inlineStr">
        <is>
          <t>Revenue &amp; Margin by Product (MTD)</t>
        </is>
      </c>
    </row>
    <row r="71">
      <c r="P71" s="31" t="inlineStr">
        <is>
          <t>Product</t>
        </is>
      </c>
      <c r="Q71" s="31" t="inlineStr">
        <is>
          <t>Revenue</t>
        </is>
      </c>
      <c r="R71" s="31" t="inlineStr">
        <is>
          <t>Margin %</t>
        </is>
      </c>
    </row>
    <row r="72">
      <c r="P72" t="inlineStr">
        <is>
          <t>Residential Internet</t>
        </is>
      </c>
      <c r="Q72" s="35">
        <f>SUMIFS(Revenue_Detail!$E$4:$E$1003,Revenue_Detail!$A$4:$A$1003,Exec_Dashboard!$C$5,Revenue_Detail!$C$4:$C$1003,"Residential Internet")</f>
        <v/>
      </c>
      <c r="R72" s="36">
        <f>IF(SUMIFS(Revenue_Detail!$E$4:$E$1003,Revenue_Detail!$A$4:$A$1003,Exec_Dashboard!$C$5,Revenue_Detail!$C$4:$C$1003,"Residential Internet")=0,0,(SUMIFS(Revenue_Detail!$E$4:$E$1003,Revenue_Detail!$A$4:$A$1003,Exec_Dashboard!$C$5,Revenue_Detail!$C$4:$C$1003,"Residential Internet")-SUMIFS(Revenue_Detail!$F$4:$F$1003,Revenue_Detail!$A$4:$A$1003,Exec_Dashboard!$C$5,Revenue_Detail!$C$4:$C$1003,"Residential Internet"))/SUMIFS(Revenue_Detail!$E$4:$E$1003,Revenue_Detail!$A$4:$A$1003,Exec_Dashboard!$C$5,Revenue_Detail!$C$4:$C$1003,"Residential Internet"))</f>
        <v/>
      </c>
    </row>
    <row r="73">
      <c r="P73" t="inlineStr">
        <is>
          <t>Business Internet</t>
        </is>
      </c>
      <c r="Q73" s="35">
        <f>SUMIFS(Revenue_Detail!$E$4:$E$1003,Revenue_Detail!$A$4:$A$1003,Exec_Dashboard!$C$5,Revenue_Detail!$C$4:$C$1003,"Business Internet")</f>
        <v/>
      </c>
      <c r="R73" s="36">
        <f>IF(SUMIFS(Revenue_Detail!$E$4:$E$1003,Revenue_Detail!$A$4:$A$1003,Exec_Dashboard!$C$5,Revenue_Detail!$C$4:$C$1003,"Business Internet")=0,0,(SUMIFS(Revenue_Detail!$E$4:$E$1003,Revenue_Detail!$A$4:$A$1003,Exec_Dashboard!$C$5,Revenue_Detail!$C$4:$C$1003,"Business Internet")-SUMIFS(Revenue_Detail!$F$4:$F$1003,Revenue_Detail!$A$4:$A$1003,Exec_Dashboard!$C$5,Revenue_Detail!$C$4:$C$1003,"Business Internet"))/SUMIFS(Revenue_Detail!$E$4:$E$1003,Revenue_Detail!$A$4:$A$1003,Exec_Dashboard!$C$5,Revenue_Detail!$C$4:$C$1003,"Business Internet"))</f>
        <v/>
      </c>
    </row>
    <row r="74">
      <c r="P74" t="inlineStr">
        <is>
          <t>Enterprise / DIA</t>
        </is>
      </c>
      <c r="Q74" s="35">
        <f>SUMIFS(Revenue_Detail!$E$4:$E$1003,Revenue_Detail!$A$4:$A$1003,Exec_Dashboard!$C$5,Revenue_Detail!$C$4:$C$1003,"Enterprise / DIA")</f>
        <v/>
      </c>
      <c r="R74" s="36">
        <f>IF(SUMIFS(Revenue_Detail!$E$4:$E$1003,Revenue_Detail!$A$4:$A$1003,Exec_Dashboard!$C$5,Revenue_Detail!$C$4:$C$1003,"Enterprise / DIA")=0,0,(SUMIFS(Revenue_Detail!$E$4:$E$1003,Revenue_Detail!$A$4:$A$1003,Exec_Dashboard!$C$5,Revenue_Detail!$C$4:$C$1003,"Enterprise / DIA")-SUMIFS(Revenue_Detail!$F$4:$F$1003,Revenue_Detail!$A$4:$A$1003,Exec_Dashboard!$C$5,Revenue_Detail!$C$4:$C$1003,"Enterprise / DIA"))/SUMIFS(Revenue_Detail!$E$4:$E$1003,Revenue_Detail!$A$4:$A$1003,Exec_Dashboard!$C$5,Revenue_Detail!$C$4:$C$1003,"Enterprise / DIA"))</f>
        <v/>
      </c>
    </row>
    <row r="75">
      <c r="P75" t="inlineStr">
        <is>
          <t>Managed WiFi</t>
        </is>
      </c>
      <c r="Q75" s="35">
        <f>SUMIFS(Revenue_Detail!$E$4:$E$1003,Revenue_Detail!$A$4:$A$1003,Exec_Dashboard!$C$5,Revenue_Detail!$C$4:$C$1003,"Managed WiFi")</f>
        <v/>
      </c>
      <c r="R75" s="36">
        <f>IF(SUMIFS(Revenue_Detail!$E$4:$E$1003,Revenue_Detail!$A$4:$A$1003,Exec_Dashboard!$C$5,Revenue_Detail!$C$4:$C$1003,"Managed WiFi")=0,0,(SUMIFS(Revenue_Detail!$E$4:$E$1003,Revenue_Detail!$A$4:$A$1003,Exec_Dashboard!$C$5,Revenue_Detail!$C$4:$C$1003,"Managed WiFi")-SUMIFS(Revenue_Detail!$F$4:$F$1003,Revenue_Detail!$A$4:$A$1003,Exec_Dashboard!$C$5,Revenue_Detail!$C$4:$C$1003,"Managed WiFi"))/SUMIFS(Revenue_Detail!$E$4:$E$1003,Revenue_Detail!$A$4:$A$1003,Exec_Dashboard!$C$5,Revenue_Detail!$C$4:$C$1003,"Managed WiFi"))</f>
        <v/>
      </c>
    </row>
    <row r="76">
      <c r="P76" t="inlineStr">
        <is>
          <t>Voice</t>
        </is>
      </c>
      <c r="Q76" s="35">
        <f>SUMIFS(Revenue_Detail!$E$4:$E$1003,Revenue_Detail!$A$4:$A$1003,Exec_Dashboard!$C$5,Revenue_Detail!$C$4:$C$1003,"Voice")</f>
        <v/>
      </c>
      <c r="R76" s="36">
        <f>IF(SUMIFS(Revenue_Detail!$E$4:$E$1003,Revenue_Detail!$A$4:$A$1003,Exec_Dashboard!$C$5,Revenue_Detail!$C$4:$C$1003,"Voice")=0,0,(SUMIFS(Revenue_Detail!$E$4:$E$1003,Revenue_Detail!$A$4:$A$1003,Exec_Dashboard!$C$5,Revenue_Detail!$C$4:$C$1003,"Voice")-SUMIFS(Revenue_Detail!$F$4:$F$1003,Revenue_Detail!$A$4:$A$1003,Exec_Dashboard!$C$5,Revenue_Detail!$C$4:$C$1003,"Voice"))/SUMIFS(Revenue_Detail!$E$4:$E$1003,Revenue_Detail!$A$4:$A$1003,Exec_Dashboard!$C$5,Revenue_Detail!$C$4:$C$1003,"Voice"))</f>
        <v/>
      </c>
    </row>
    <row r="77">
      <c r="P77" t="inlineStr">
        <is>
          <t>Construction / Other</t>
        </is>
      </c>
      <c r="Q77" s="35">
        <f>SUMIFS(Revenue_Detail!$E$4:$E$1003,Revenue_Detail!$A$4:$A$1003,Exec_Dashboard!$C$5,Revenue_Detail!$C$4:$C$1003,"Construction / Other")</f>
        <v/>
      </c>
      <c r="R77" s="36">
        <f>IF(SUMIFS(Revenue_Detail!$E$4:$E$1003,Revenue_Detail!$A$4:$A$1003,Exec_Dashboard!$C$5,Revenue_Detail!$C$4:$C$1003,"Construction / Other")=0,0,(SUMIFS(Revenue_Detail!$E$4:$E$1003,Revenue_Detail!$A$4:$A$1003,Exec_Dashboard!$C$5,Revenue_Detail!$C$4:$C$1003,"Construction / Other")-SUMIFS(Revenue_Detail!$F$4:$F$1003,Revenue_Detail!$A$4:$A$1003,Exec_Dashboard!$C$5,Revenue_Detail!$C$4:$C$1003,"Construction / Other"))/SUMIFS(Revenue_Detail!$E$4:$E$1003,Revenue_Detail!$A$4:$A$1003,Exec_Dashboard!$C$5,Revenue_Detail!$C$4:$C$1003,"Construction / Other"))</f>
        <v/>
      </c>
    </row>
    <row r="82">
      <c r="P82" s="3" t="inlineStr">
        <is>
          <t>Grant Reimbursement Pipeline</t>
        </is>
      </c>
    </row>
    <row r="83">
      <c r="P83" s="31" t="inlineStr">
        <is>
          <t>Program</t>
        </is>
      </c>
      <c r="Q83" s="31" t="inlineStr">
        <is>
          <t>Received</t>
        </is>
      </c>
      <c r="R83" s="31" t="inlineStr">
        <is>
          <t>Outstanding</t>
        </is>
      </c>
    </row>
    <row r="84">
      <c r="P84" t="inlineStr">
        <is>
          <t>BEAD</t>
        </is>
      </c>
      <c r="Q84" s="35">
        <f>SUMIFS(Grant_Data!$F$4:$F$1003,Grant_Data!$B$4:$B$1003,"BEAD")</f>
        <v/>
      </c>
      <c r="R84" s="35">
        <f>SUMIFS(Grant_Data!$E$4:$E$1003,Grant_Data!$B$4:$B$1003,"BEAD")-SUMIFS(Grant_Data!$F$4:$F$1003,Grant_Data!$B$4:$B$1003,"BEAD")</f>
        <v/>
      </c>
    </row>
    <row r="85">
      <c r="P85" t="inlineStr">
        <is>
          <t>CAB</t>
        </is>
      </c>
      <c r="Q85" s="35">
        <f>SUMIFS(Grant_Data!$F$4:$F$1003,Grant_Data!$B$4:$B$1003,"CAB")</f>
        <v/>
      </c>
      <c r="R85" s="35">
        <f>SUMIFS(Grant_Data!$E$4:$E$1003,Grant_Data!$B$4:$B$1003,"CAB")-SUMIFS(Grant_Data!$F$4:$F$1003,Grant_Data!$B$4:$B$1003,"CAB")</f>
        <v/>
      </c>
    </row>
    <row r="86">
      <c r="P86" t="inlineStr">
        <is>
          <t>ARPA</t>
        </is>
      </c>
      <c r="Q86" s="35">
        <f>SUMIFS(Grant_Data!$F$4:$F$1003,Grant_Data!$B$4:$B$1003,"ARPA")</f>
        <v/>
      </c>
      <c r="R86" s="35">
        <f>SUMIFS(Grant_Data!$E$4:$E$1003,Grant_Data!$B$4:$B$1003,"ARPA")-SUMIFS(Grant_Data!$F$4:$F$1003,Grant_Data!$B$4:$B$1003,"ARPA")</f>
        <v/>
      </c>
    </row>
    <row r="87">
      <c r="P87" t="inlineStr">
        <is>
          <t>State Grant</t>
        </is>
      </c>
      <c r="Q87" s="35">
        <f>SUMIFS(Grant_Data!$F$4:$F$1003,Grant_Data!$B$4:$B$1003,"State Grant")</f>
        <v/>
      </c>
      <c r="R87" s="35">
        <f>SUMIFS(Grant_Data!$E$4:$E$1003,Grant_Data!$B$4:$B$1003,"State Grant")-SUMIFS(Grant_Data!$F$4:$F$1003,Grant_Data!$B$4:$B$1003,"State Grant")</f>
        <v/>
      </c>
    </row>
    <row r="88">
      <c r="P88" t="inlineStr">
        <is>
          <t>RDOF</t>
        </is>
      </c>
      <c r="Q88" s="35">
        <f>SUMIFS(Grant_Data!$F$4:$F$1003,Grant_Data!$B$4:$B$1003,"RDOF")</f>
        <v/>
      </c>
      <c r="R88" s="35">
        <f>SUMIFS(Grant_Data!$E$4:$E$1003,Grant_Data!$B$4:$B$1003,"RDOF")-SUMIFS(Grant_Data!$F$4:$F$1003,Grant_Data!$B$4:$B$1003,"RDOF")</f>
        <v/>
      </c>
    </row>
    <row r="92">
      <c r="P92" s="3" t="inlineStr">
        <is>
          <t>Capital Spend by Project</t>
        </is>
      </c>
    </row>
    <row r="93">
      <c r="P93" s="31" t="inlineStr">
        <is>
          <t>Project</t>
        </is>
      </c>
      <c r="Q93" s="31" t="inlineStr">
        <is>
          <t>Spent</t>
        </is>
      </c>
    </row>
    <row r="94">
      <c r="P94">
        <f>Project_Data!A4</f>
        <v/>
      </c>
      <c r="Q94" s="35">
        <f>Project_Data!L4</f>
        <v/>
      </c>
    </row>
    <row r="95">
      <c r="P95">
        <f>Project_Data!A5</f>
        <v/>
      </c>
      <c r="Q95" s="35">
        <f>Project_Data!L5</f>
        <v/>
      </c>
    </row>
    <row r="96">
      <c r="P96">
        <f>Project_Data!A6</f>
        <v/>
      </c>
      <c r="Q96" s="35">
        <f>Project_Data!L6</f>
        <v/>
      </c>
    </row>
    <row r="97">
      <c r="P97">
        <f>Project_Data!A7</f>
        <v/>
      </c>
      <c r="Q97" s="35">
        <f>Project_Data!L7</f>
        <v/>
      </c>
    </row>
    <row r="98">
      <c r="P98">
        <f>Project_Data!A8</f>
        <v/>
      </c>
      <c r="Q98" s="35">
        <f>Project_Data!L8</f>
        <v/>
      </c>
    </row>
    <row r="99">
      <c r="P99">
        <f>Project_Data!A9</f>
        <v/>
      </c>
      <c r="Q99" s="35">
        <f>Project_Data!L9</f>
        <v/>
      </c>
    </row>
    <row r="100">
      <c r="P100">
        <f>Project_Data!A10</f>
        <v/>
      </c>
      <c r="Q100" s="35">
        <f>Project_Data!L10</f>
        <v/>
      </c>
    </row>
    <row r="101">
      <c r="P101">
        <f>Project_Data!A11</f>
        <v/>
      </c>
      <c r="Q101" s="35">
        <f>Project_Data!L11</f>
        <v/>
      </c>
    </row>
    <row r="102">
      <c r="P102" s="3" t="inlineStr">
        <is>
          <t>Cash Trend</t>
        </is>
      </c>
      <c r="Q102" s="35">
        <f>Project_Data!L12</f>
        <v/>
      </c>
    </row>
    <row r="103">
      <c r="P103" s="31" t="inlineStr">
        <is>
          <t>Month</t>
        </is>
      </c>
      <c r="Q103" s="37" t="inlineStr">
        <is>
          <t>Cash Balance</t>
        </is>
      </c>
    </row>
    <row r="104">
      <c r="P104">
        <f>Financial_Data!A4</f>
        <v/>
      </c>
      <c r="Q104" s="35">
        <f>Financial_Data!N4</f>
        <v/>
      </c>
    </row>
    <row r="105">
      <c r="P105">
        <f>Financial_Data!A5</f>
        <v/>
      </c>
      <c r="Q105" s="35">
        <f>Financial_Data!N5</f>
        <v/>
      </c>
    </row>
    <row r="106">
      <c r="P106">
        <f>Financial_Data!A6</f>
        <v/>
      </c>
      <c r="Q106" s="35">
        <f>Financial_Data!N6</f>
        <v/>
      </c>
    </row>
    <row r="107">
      <c r="P107">
        <f>Financial_Data!A7</f>
        <v/>
      </c>
      <c r="Q107" s="35">
        <f>Financial_Data!N7</f>
        <v/>
      </c>
    </row>
    <row r="108">
      <c r="P108">
        <f>Financial_Data!A8</f>
        <v/>
      </c>
      <c r="Q108" s="35">
        <f>Financial_Data!N8</f>
        <v/>
      </c>
    </row>
    <row r="109">
      <c r="P109">
        <f>Financial_Data!A9</f>
        <v/>
      </c>
      <c r="Q109" s="35">
        <f>Financial_Data!N9</f>
        <v/>
      </c>
    </row>
    <row r="110">
      <c r="P110">
        <f>Financial_Data!A10</f>
        <v/>
      </c>
      <c r="Q110" s="35">
        <f>Financial_Data!N10</f>
        <v/>
      </c>
    </row>
    <row r="111">
      <c r="P111">
        <f>Financial_Data!A11</f>
        <v/>
      </c>
      <c r="Q111" s="35">
        <f>Financial_Data!N11</f>
        <v/>
      </c>
    </row>
    <row r="112">
      <c r="P112">
        <f>Financial_Data!A12</f>
        <v/>
      </c>
      <c r="Q112" s="35">
        <f>Financial_Data!N12</f>
        <v/>
      </c>
    </row>
    <row r="113">
      <c r="P113">
        <f>Financial_Data!A13</f>
        <v/>
      </c>
      <c r="Q113" s="35">
        <f>Financial_Data!N13</f>
        <v/>
      </c>
    </row>
    <row r="114">
      <c r="P114">
        <f>Financial_Data!A14</f>
        <v/>
      </c>
      <c r="Q114" s="35">
        <f>Financial_Data!N14</f>
        <v/>
      </c>
    </row>
    <row r="115">
      <c r="P115">
        <f>Financial_Data!A15</f>
        <v/>
      </c>
      <c r="Q115" s="35">
        <f>Financial_Data!N15</f>
        <v/>
      </c>
    </row>
  </sheetData>
  <mergeCells count="58">
    <mergeCell ref="L17:M17"/>
    <mergeCell ref="F11:G11"/>
    <mergeCell ref="B16:C16"/>
    <mergeCell ref="L7:M7"/>
    <mergeCell ref="B7:C7"/>
    <mergeCell ref="J5:K5"/>
    <mergeCell ref="D10:E10"/>
    <mergeCell ref="F10:G10"/>
    <mergeCell ref="H10:I10"/>
    <mergeCell ref="F16:G16"/>
    <mergeCell ref="L16:M16"/>
    <mergeCell ref="J10:K10"/>
    <mergeCell ref="F6:G6"/>
    <mergeCell ref="F7:G7"/>
    <mergeCell ref="B12:C12"/>
    <mergeCell ref="D6:E6"/>
    <mergeCell ref="F12:G12"/>
    <mergeCell ref="L12:M12"/>
    <mergeCell ref="H6:I6"/>
    <mergeCell ref="B11:C11"/>
    <mergeCell ref="J6:K6"/>
    <mergeCell ref="F15:G15"/>
    <mergeCell ref="D11:E11"/>
    <mergeCell ref="F5:G5"/>
    <mergeCell ref="J15:K15"/>
    <mergeCell ref="L15:M15"/>
    <mergeCell ref="L5:M5"/>
    <mergeCell ref="B17:C17"/>
    <mergeCell ref="D17:E17"/>
    <mergeCell ref="F17:G17"/>
    <mergeCell ref="H17:I17"/>
    <mergeCell ref="H11:I11"/>
    <mergeCell ref="D16:E16"/>
    <mergeCell ref="J11:K11"/>
    <mergeCell ref="A1:M1"/>
    <mergeCell ref="D7:E7"/>
    <mergeCell ref="H16:I16"/>
    <mergeCell ref="B20:M20"/>
    <mergeCell ref="H7:I7"/>
    <mergeCell ref="J16:K16"/>
    <mergeCell ref="L10:M10"/>
    <mergeCell ref="J7:K7"/>
    <mergeCell ref="B10:C10"/>
    <mergeCell ref="B4:M4"/>
    <mergeCell ref="D12:E12"/>
    <mergeCell ref="B6:C6"/>
    <mergeCell ref="H12:I12"/>
    <mergeCell ref="J12:K12"/>
    <mergeCell ref="B15:C15"/>
    <mergeCell ref="L6:M6"/>
    <mergeCell ref="D15:E15"/>
    <mergeCell ref="B5:C5"/>
    <mergeCell ref="D5:E5"/>
    <mergeCell ref="H15:I15"/>
    <mergeCell ref="L11:M11"/>
    <mergeCell ref="H5:I5"/>
    <mergeCell ref="A2:M2"/>
    <mergeCell ref="J17:K17"/>
  </mergeCells>
  <conditionalFormatting sqref="B7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conditionalFormatting sqref="F7">
    <cfRule type="cellIs" priority="4" operator="equal" dxfId="0">
      <formula>"GREEN"</formula>
    </cfRule>
    <cfRule type="cellIs" priority="5" operator="equal" dxfId="1">
      <formula>"YELLOW"</formula>
    </cfRule>
    <cfRule type="cellIs" priority="6" operator="equal" dxfId="2">
      <formula>"RED"</formula>
    </cfRule>
  </conditionalFormatting>
  <conditionalFormatting sqref="H7">
    <cfRule type="cellIs" priority="7" operator="equal" dxfId="0">
      <formula>"GREEN"</formula>
    </cfRule>
    <cfRule type="cellIs" priority="8" operator="equal" dxfId="1">
      <formula>"YELLOW"</formula>
    </cfRule>
    <cfRule type="cellIs" priority="9" operator="equal" dxfId="2">
      <formula>"RED"</formula>
    </cfRule>
  </conditionalFormatting>
  <conditionalFormatting sqref="J7">
    <cfRule type="cellIs" priority="10" operator="equal" dxfId="0">
      <formula>"GREEN"</formula>
    </cfRule>
    <cfRule type="cellIs" priority="11" operator="equal" dxfId="1">
      <formula>"YELLOW"</formula>
    </cfRule>
    <cfRule type="cellIs" priority="12" operator="equal" dxfId="2">
      <formula>"RED"</formula>
    </cfRule>
  </conditionalFormatting>
  <conditionalFormatting sqref="F12">
    <cfRule type="cellIs" priority="13" operator="equal" dxfId="0">
      <formula>"GREEN"</formula>
    </cfRule>
    <cfRule type="cellIs" priority="14" operator="equal" dxfId="1">
      <formula>"YELLOW"</formula>
    </cfRule>
    <cfRule type="cellIs" priority="15" operator="equal" dxfId="2">
      <formula>"RED"</formula>
    </cfRule>
  </conditionalFormatting>
  <conditionalFormatting sqref="H12">
    <cfRule type="cellIs" priority="16" operator="equal" dxfId="0">
      <formula>"GREEN"</formula>
    </cfRule>
    <cfRule type="cellIs" priority="17" operator="equal" dxfId="1">
      <formula>"YELLOW"</formula>
    </cfRule>
    <cfRule type="cellIs" priority="18" operator="equal" dxfId="2">
      <formula>"RED"</formula>
    </cfRule>
  </conditionalFormatting>
  <conditionalFormatting sqref="J12">
    <cfRule type="cellIs" priority="19" operator="equal" dxfId="0">
      <formula>"GREEN"</formula>
    </cfRule>
    <cfRule type="cellIs" priority="20" operator="equal" dxfId="1">
      <formula>"YELLOW"</formula>
    </cfRule>
    <cfRule type="cellIs" priority="21" operator="equal" dxfId="2">
      <formula>"RED"</formula>
    </cfRule>
  </conditionalFormatting>
  <conditionalFormatting sqref="L12">
    <cfRule type="cellIs" priority="22" operator="equal" dxfId="0">
      <formula>"GREEN"</formula>
    </cfRule>
    <cfRule type="cellIs" priority="23" operator="equal" dxfId="1">
      <formula>"YELLOW"</formula>
    </cfRule>
    <cfRule type="cellIs" priority="24" operator="equal" dxfId="2">
      <formula>"RED"</formula>
    </cfRule>
  </conditionalFormatting>
  <conditionalFormatting sqref="B17">
    <cfRule type="cellIs" priority="25" operator="equal" dxfId="0">
      <formula>"GREEN"</formula>
    </cfRule>
    <cfRule type="cellIs" priority="26" operator="equal" dxfId="1">
      <formula>"YELLOW"</formula>
    </cfRule>
    <cfRule type="cellIs" priority="27" operator="equal" dxfId="2">
      <formula>"RED"</formula>
    </cfRule>
  </conditionalFormatting>
  <conditionalFormatting sqref="D17">
    <cfRule type="cellIs" priority="28" operator="equal" dxfId="0">
      <formula>"GREEN"</formula>
    </cfRule>
    <cfRule type="cellIs" priority="29" operator="equal" dxfId="1">
      <formula>"YELLOW"</formula>
    </cfRule>
    <cfRule type="cellIs" priority="30" operator="equal" dxfId="2">
      <formula>"RED"</formula>
    </cfRule>
  </conditionalFormatting>
  <conditionalFormatting sqref="F17">
    <cfRule type="cellIs" priority="31" operator="equal" dxfId="0">
      <formula>"GREEN"</formula>
    </cfRule>
    <cfRule type="cellIs" priority="32" operator="equal" dxfId="1">
      <formula>"YELLOW"</formula>
    </cfRule>
    <cfRule type="cellIs" priority="33" operator="equal" dxfId="2">
      <formula>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74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QUARTERLY BOARD REPORT  /  MONTHLY COO REPORT</t>
        </is>
      </c>
    </row>
    <row r="2"/>
    <row r="3">
      <c r="A3" s="2">
        <f>"Reporting Period: "&amp;Exec_Dashboard!C5&amp;"   |   Regional Fiber Broadband   |   Prepared by the COO   |   CONFIDENTIAL — Board of Directors"</f>
        <v/>
      </c>
    </row>
    <row r="5" ht="20" customHeight="1">
      <c r="A5" s="8" t="inlineStr">
        <is>
          <t>1.  EXECUTIVE SUMMARY</t>
        </is>
      </c>
    </row>
    <row r="6">
      <c r="A6" s="19">
        <f>"For the period ending "&amp;Exec_Dashboard!C5&amp;", the company served "&amp;TEXT(SUMIFS(Customer_Data!$C$4:$C$1003,Customer_Data!$A$4:$A$1003,Exec_Dashboard!$C$5),"#,##0")&amp;" customers across the service area, a net change of "&amp;TEXT(SUMIFS(Customer_Data!$D$4:$D$1003,Customer_Data!$A$4:$A$1003,Exec_Dashboard!$C$5)-SUMIFS(Customer_Data!$E$4:$E$1003,Customer_Data!$A$4:$A$1003,Exec_Dashboard!$C$5),"#,##0")&amp;" connections ("&amp;TEXT(SUMIFS(Customer_Data!$D$4:$D$1003,Customer_Data!$A$4:$A$1003,Exec_Dashboard!$C$5),"#,##0")&amp;" new sales less "&amp;TEXT(SUMIFS(Customer_Data!$E$4:$E$1003,Customer_Data!$A$4:$A$1003,Exec_Dashboard!$C$5),"#,##0")&amp;" disconnects, churn "&amp;TEXT(IF(SUMIFS(Customer_Data!$C$4:$C$1003,Customer_Data!$B$4:$B$1003,Exec_Dashboard!$D$5-1)=0,0,SUMIFS(Customer_Data!$E$4:$E$1003,Customer_Data!$A$4:$A$1003,Exec_Dashboard!$C$5)/SUMIFS(Customer_Data!$C$4:$C$1003,Customer_Data!$B$4:$B$1003,Exec_Dashboard!$D$5-1)),"0.0%")&amp;"). Monthly revenue was "&amp;TEXT(SUMIFS(Financial_Data!$C$4:$C$1003,Financial_Data!$A$4:$A$1003,Exec_Dashboard!$C$5),"$#,##0")&amp;" against a budget of "&amp;TEXT(SUMIFS(Financial_Data!$J$4:$J$1003,Financial_Data!$A$4:$A$1003,Exec_Dashboard!$C$5),"$#,##0")&amp;" (variance "&amp;TEXT(SUMIFS(Financial_Data!$C$4:$C$1003,Financial_Data!$A$4:$A$1003,Exec_Dashboard!$C$5)-SUMIFS(Financial_Data!$J$4:$J$1003,Financial_Data!$A$4:$A$1003,Exec_Dashboard!$C$5),"$#,##0")&amp;"). Homes passed reached "&amp;TEXT(SUMIFS(Customer_Data!$F$4:$F$1003,Customer_Data!$A$4:$A$1003,Exec_Dashboard!$C$5),"#,##0")&amp;". Of "&amp;(COUNTIFS(Project_Data!$F$4:$F$1003,"On Track")+COUNTIFS(Project_Data!$F$4:$F$1003,"At Risk")+COUNTIFS(Project_Data!$F$4:$F$1003,"Behind"))&amp;" active capital projects, "&amp;COUNTIFS(Project_Data!$F$4:$F$1003,"Behind")&amp;" are behind schedule and "&amp;COUNTIFS(Project_Data!$F$4:$F$1003,"At Risk")&amp;" at risk. Installation backlog stands at "&amp;TEXT(SUMIFS(Operations_Data!$F$4:$F$1003,Operations_Data!$B$4:$B$1003,"&lt;="&amp;Exec_Dashboard!$D$5)-SUMIFS(Operations_Data!$G$4:$G$1003,Operations_Data!$B$4:$B$1003,"&lt;="&amp;Exec_Dashboard!$D$5),"#,##0")&amp;" orders with an average install time of "&amp;TEXT(AVERAGEIFS(Operations_Data!$H$4:$H$1003,Operations_Data!$A$4:$A$1003,Exec_Dashboard!$C$5),"0.0")&amp;" days. End-of-month cash was "&amp;TEXT(SUMIFS(Financial_Data!$N$4:$N$1003,Financial_Data!$A$4:$A$1003,Exec_Dashboard!$C$5),"$#,##0")&amp;". "&amp;COUNTIFS(Risk_Register!$F$4:$F$1003,"&gt;=15")&amp;" risk(s) are red and "&amp;COUNTIFS(Board_Actions!$I$4:$I$1003,"Yes",Board_Actions!$H$4:$H$1003,"&lt;&gt;Complete")&amp;" decision(s) require board attention."</f>
        <v/>
      </c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1" ht="20" customHeight="1">
      <c r="A11" s="8" t="inlineStr">
        <is>
          <t>2.  WHAT IS GOING WELL  /  WHAT IS BEHIND  /  WHAT NEEDS EXECUTIVE ATTENTION</t>
        </is>
      </c>
    </row>
    <row r="12">
      <c r="A12" s="38" t="inlineStr">
        <is>
          <t>✅ Going Well</t>
        </is>
      </c>
      <c r="D12" s="38" t="inlineStr">
        <is>
          <t>⚠️ Behind</t>
        </is>
      </c>
      <c r="F12" s="38" t="inlineStr">
        <is>
          <t>🚩 Needs Executive Attention</t>
        </is>
      </c>
    </row>
    <row r="13">
      <c r="A13" s="25" t="inlineStr">
        <is>
          <t>• Pembroke Core Ring &amp; Lumberton MDU on/ahead of plan</t>
        </is>
      </c>
      <c r="B13" s="10" t="n"/>
      <c r="C13" s="10" t="n"/>
      <c r="D13" s="25" t="inlineStr">
        <is>
          <t>• Scotland RDOF build behind — grant drawdown at risk</t>
        </is>
      </c>
      <c r="E13" s="10" t="n"/>
      <c r="F13" s="25" t="inlineStr">
        <is>
          <t>• Approve revolver draw to bridge BEAD reimbursement timing</t>
        </is>
      </c>
      <c r="G13" s="10" t="n"/>
      <c r="H13" s="10" t="n"/>
    </row>
    <row r="14">
      <c r="A14" s="25" t="inlineStr">
        <is>
          <t>• ARPU trending up; margin healthy on residential &amp; business</t>
        </is>
      </c>
      <c r="B14" s="10" t="n"/>
      <c r="C14" s="10" t="n"/>
      <c r="D14" s="25" t="inlineStr">
        <is>
          <t>• Columbus BEAD Zone 2 design rework slipping Milestone 1</t>
        </is>
      </c>
      <c r="E14" s="10" t="n"/>
      <c r="F14" s="25" t="inlineStr">
        <is>
          <t>• Authorize 2nd construction contractor (Scotland + Columbus)</t>
        </is>
      </c>
      <c r="G14" s="10" t="n"/>
      <c r="H14" s="10" t="n"/>
    </row>
    <row r="15">
      <c r="A15" s="25" t="inlineStr">
        <is>
          <t>• BEAD Zone 1 drawdowns paid in full; strong grant execution</t>
        </is>
      </c>
      <c r="B15" s="10" t="n"/>
      <c r="C15" s="10" t="n"/>
      <c r="D15" s="25" t="inlineStr">
        <is>
          <t>• Install backlog rising vs crew capacity in Robeson</t>
        </is>
      </c>
      <c r="E15" s="10" t="n"/>
      <c r="F15" s="25" t="inlineStr">
        <is>
          <t>• Approve install-crew headcount add to clear backlog</t>
        </is>
      </c>
      <c r="G15" s="10" t="n"/>
      <c r="H15" s="10" t="n"/>
    </row>
    <row r="16">
      <c r="A16" s="25" t="inlineStr">
        <is>
          <t>• Avg days-to-install improving month over month</t>
        </is>
      </c>
      <c r="B16" s="10" t="n"/>
      <c r="C16" s="10" t="n"/>
      <c r="D16" s="25" t="inlineStr">
        <is>
          <t>• Make-ready / pole-attachment delays from utility</t>
        </is>
      </c>
      <c r="E16" s="10" t="n"/>
      <c r="F16" s="25" t="inlineStr">
        <is>
          <t>• Ratify HOA / bulk pricing policy</t>
        </is>
      </c>
      <c r="G16" s="10" t="n"/>
      <c r="H16" s="10" t="n"/>
    </row>
    <row r="18" ht="20" customHeight="1">
      <c r="A18" s="8" t="inlineStr">
        <is>
          <t>3.  FINANCIAL PERFORMANCE</t>
        </is>
      </c>
    </row>
    <row r="19">
      <c r="A19" s="20" t="inlineStr">
        <is>
          <t>Metric</t>
        </is>
      </c>
      <c r="B19" s="39" t="n"/>
      <c r="C19" s="20" t="inlineStr">
        <is>
          <t>Actual</t>
        </is>
      </c>
      <c r="D19" s="20" t="inlineStr">
        <is>
          <t>Budget</t>
        </is>
      </c>
      <c r="E19" s="20" t="inlineStr">
        <is>
          <t>Variance</t>
        </is>
      </c>
    </row>
    <row r="20">
      <c r="A20" s="21" t="inlineStr">
        <is>
          <t>Revenue (MTD)</t>
        </is>
      </c>
      <c r="B20" s="10" t="n"/>
      <c r="C20" s="24">
        <f>SUMIFS(Financial_Data!$C$4:$C$1003,Financial_Data!$A$4:$A$1003,Exec_Dashboard!$C$5)</f>
        <v/>
      </c>
      <c r="D20" s="24">
        <f>SUMIFS(Financial_Data!$J$4:$J$1003,Financial_Data!$A$4:$A$1003,Exec_Dashboard!$C$5)</f>
        <v/>
      </c>
      <c r="E20" s="24">
        <f>SUMIFS(Financial_Data!$C$4:$C$1003,Financial_Data!$A$4:$A$1003,Exec_Dashboard!$C$5)-SUMIFS(Financial_Data!$J$4:$J$1003,Financial_Data!$A$4:$A$1003,Exec_Dashboard!$C$5)</f>
        <v/>
      </c>
    </row>
    <row r="21">
      <c r="A21" s="21" t="inlineStr">
        <is>
          <t>Revenue (YTD)</t>
        </is>
      </c>
      <c r="B21" s="10" t="n"/>
      <c r="C21" s="24">
        <f>SUMIFS(Financial_Data!$C$4:$C$1003,Financial_Data!$B$4:$B$1003,"&lt;="&amp;Exec_Dashboard!$D$5)</f>
        <v/>
      </c>
      <c r="D21" s="10" t="n"/>
      <c r="E21" s="10" t="n"/>
    </row>
    <row r="22">
      <c r="A22" s="21" t="inlineStr">
        <is>
          <t>MRR</t>
        </is>
      </c>
      <c r="B22" s="10" t="n"/>
      <c r="C22" s="24">
        <f>SUMIFS(Financial_Data!$D$4:$D$1003,Financial_Data!$A$4:$A$1003,Exec_Dashboard!$C$5)</f>
        <v/>
      </c>
      <c r="D22" s="10" t="n"/>
      <c r="E22" s="10" t="n"/>
    </row>
    <row r="23">
      <c r="A23" s="21" t="inlineStr">
        <is>
          <t>Capital Spend (MTD)</t>
        </is>
      </c>
      <c r="B23" s="10" t="n"/>
      <c r="C23" s="24">
        <f>SUMIFS(Financial_Data!$E$4:$E$1003,Financial_Data!$A$4:$A$1003,Exec_Dashboard!$C$5)</f>
        <v/>
      </c>
      <c r="D23" s="24">
        <f>SUMIFS(Financial_Data!$L$4:$L$1003,Financial_Data!$A$4:$A$1003,Exec_Dashboard!$C$5)</f>
        <v/>
      </c>
      <c r="E23" s="24">
        <f>SUMIFS(Financial_Data!$E$4:$E$1003,Financial_Data!$A$4:$A$1003,Exec_Dashboard!$C$5)-SUMIFS(Financial_Data!$L$4:$L$1003,Financial_Data!$A$4:$A$1003,Exec_Dashboard!$C$5)</f>
        <v/>
      </c>
    </row>
    <row r="24">
      <c r="A24" s="21" t="inlineStr">
        <is>
          <t>Operating Expense (MTD)</t>
        </is>
      </c>
      <c r="B24" s="10" t="n"/>
      <c r="C24" s="24">
        <f>SUMIFS(Financial_Data!$F$4:$F$1003,Financial_Data!$A$4:$A$1003,Exec_Dashboard!$C$5)</f>
        <v/>
      </c>
      <c r="D24" s="24">
        <f>SUMIFS(Financial_Data!$K$4:$K$1003,Financial_Data!$A$4:$A$1003,Exec_Dashboard!$C$5)</f>
        <v/>
      </c>
      <c r="E24" s="24">
        <f>SUMIFS(Financial_Data!$F$4:$F$1003,Financial_Data!$A$4:$A$1003,Exec_Dashboard!$C$5)-SUMIFS(Financial_Data!$K$4:$K$1003,Financial_Data!$A$4:$A$1003,Exec_Dashboard!$C$5)</f>
        <v/>
      </c>
    </row>
    <row r="25">
      <c r="A25" s="21" t="inlineStr">
        <is>
          <t>Grant Reimb (YTD)</t>
        </is>
      </c>
      <c r="B25" s="10" t="n"/>
      <c r="C25" s="24">
        <f>SUMIFS(Financial_Data!$I$4:$I$1003,Financial_Data!$B$4:$B$1003,"&lt;="&amp;Exec_Dashboard!$D$5)</f>
        <v/>
      </c>
      <c r="D25" s="10" t="n"/>
      <c r="E25" s="10" t="n"/>
    </row>
    <row r="26">
      <c r="A26" s="21" t="inlineStr">
        <is>
          <t>Cash (End of Month)</t>
        </is>
      </c>
      <c r="B26" s="10" t="n"/>
      <c r="C26" s="24">
        <f>SUMIFS(Financial_Data!$N$4:$N$1003,Financial_Data!$A$4:$A$1003,Exec_Dashboard!$C$5)</f>
        <v/>
      </c>
      <c r="D26" s="10" t="n"/>
      <c r="E26" s="10" t="n"/>
    </row>
    <row r="28" ht="20" customHeight="1">
      <c r="A28" s="8" t="inlineStr">
        <is>
          <t>4.  CUSTOMER GROWTH  &amp;  OPERATIONAL PERFORMANCE</t>
        </is>
      </c>
    </row>
    <row r="29">
      <c r="A29" s="20" t="inlineStr">
        <is>
          <t>Customer</t>
        </is>
      </c>
      <c r="B29" s="10" t="n"/>
      <c r="C29" s="20" t="inlineStr">
        <is>
          <t>Value</t>
        </is>
      </c>
      <c r="D29" s="10" t="n"/>
      <c r="E29" s="20" t="inlineStr">
        <is>
          <t>Operations</t>
        </is>
      </c>
      <c r="F29" s="10" t="n"/>
      <c r="G29" s="10" t="n"/>
      <c r="H29" s="20" t="inlineStr">
        <is>
          <t>Value</t>
        </is>
      </c>
    </row>
    <row r="30">
      <c r="A30" s="40" t="inlineStr">
        <is>
          <t>Total Customers</t>
        </is>
      </c>
      <c r="B30" s="10" t="n"/>
      <c r="C30" s="22">
        <f>SUMIFS(Customer_Data!$C$4:$C$1003,Customer_Data!$A$4:$A$1003,Exec_Dashboard!$C$5)</f>
        <v/>
      </c>
      <c r="D30" s="10" t="n"/>
      <c r="E30" s="40" t="inlineStr">
        <is>
          <t>Installs Completed (MTD)</t>
        </is>
      </c>
      <c r="F30" s="10" t="n"/>
      <c r="G30" s="10" t="n"/>
      <c r="H30" s="22">
        <f>SUMIFS(Operations_Data!$G$4:$G$1003,Operations_Data!$A$4:$A$1003,Exec_Dashboard!$C$5)</f>
        <v/>
      </c>
    </row>
    <row r="31">
      <c r="A31" s="40" t="inlineStr">
        <is>
          <t>New Sales (MTD)</t>
        </is>
      </c>
      <c r="B31" s="10" t="n"/>
      <c r="C31" s="22">
        <f>SUMIFS(Customer_Data!$D$4:$D$1003,Customer_Data!$A$4:$A$1003,Exec_Dashboard!$C$5)</f>
        <v/>
      </c>
      <c r="D31" s="10" t="n"/>
      <c r="E31" s="40" t="inlineStr">
        <is>
          <t>Install Backlog</t>
        </is>
      </c>
      <c r="F31" s="10" t="n"/>
      <c r="G31" s="10" t="n"/>
      <c r="H31" s="22">
        <f>SUMIFS(Operations_Data!$F$4:$F$1003,Operations_Data!$B$4:$B$1003,"&lt;="&amp;Exec_Dashboard!$D$5)-SUMIFS(Operations_Data!$G$4:$G$1003,Operations_Data!$B$4:$B$1003,"&lt;="&amp;Exec_Dashboard!$D$5)</f>
        <v/>
      </c>
    </row>
    <row r="32">
      <c r="A32" s="40" t="inlineStr">
        <is>
          <t>Disconnects (MTD)</t>
        </is>
      </c>
      <c r="B32" s="10" t="n"/>
      <c r="C32" s="22">
        <f>SUMIFS(Customer_Data!$E$4:$E$1003,Customer_Data!$A$4:$A$1003,Exec_Dashboard!$C$5)</f>
        <v/>
      </c>
      <c r="D32" s="10" t="n"/>
      <c r="E32" s="40" t="inlineStr">
        <is>
          <t>Avg Days to Install</t>
        </is>
      </c>
      <c r="F32" s="10" t="n"/>
      <c r="G32" s="10" t="n"/>
      <c r="H32" s="41">
        <f>AVERAGEIFS(Operations_Data!$H$4:$H$1003,Operations_Data!$A$4:$A$1003,Exec_Dashboard!$C$5)</f>
        <v/>
      </c>
    </row>
    <row r="33">
      <c r="A33" s="40" t="inlineStr">
        <is>
          <t>Net Adds (MTD)</t>
        </is>
      </c>
      <c r="B33" s="10" t="n"/>
      <c r="C33" s="22">
        <f>SUMIFS(Customer_Data!$D$4:$D$1003,Customer_Data!$A$4:$A$1003,Exec_Dashboard!$C$5)-SUMIFS(Customer_Data!$E$4:$E$1003,Customer_Data!$A$4:$A$1003,Exec_Dashboard!$C$5)</f>
        <v/>
      </c>
      <c r="D33" s="10" t="n"/>
      <c r="E33" s="40" t="inlineStr">
        <is>
          <t>Trouble Tickets (MTD)</t>
        </is>
      </c>
      <c r="F33" s="10" t="n"/>
      <c r="G33" s="10" t="n"/>
      <c r="H33" s="22">
        <f>SUMIFS(Operations_Data!$I$4:$I$1003,Operations_Data!$A$4:$A$1003,Exec_Dashboard!$C$5)</f>
        <v/>
      </c>
    </row>
    <row r="34">
      <c r="A34" s="40" t="inlineStr">
        <is>
          <t>Churn Rate</t>
        </is>
      </c>
      <c r="B34" s="10" t="n"/>
      <c r="C34" s="42">
        <f>IF(SUMIFS(Customer_Data!$C$4:$C$1003,Customer_Data!$B$4:$B$1003,Exec_Dashboard!$D$5-1)=0,0,SUMIFS(Customer_Data!$E$4:$E$1003,Customer_Data!$A$4:$A$1003,Exec_Dashboard!$C$5)/SUMIFS(Customer_Data!$C$4:$C$1003,Customer_Data!$B$4:$B$1003,Exec_Dashboard!$D$5-1))</f>
        <v/>
      </c>
      <c r="D34" s="10" t="n"/>
      <c r="E34" s="40" t="inlineStr">
        <is>
          <t>Outages (MTD)</t>
        </is>
      </c>
      <c r="F34" s="10" t="n"/>
      <c r="G34" s="10" t="n"/>
      <c r="H34" s="43">
        <f>SUMIFS(Operations_Data!$K$4:$K$1003,Operations_Data!$A$4:$A$1003,Exec_Dashboard!$C$5)</f>
        <v/>
      </c>
    </row>
    <row r="35">
      <c r="A35" s="40" t="inlineStr">
        <is>
          <t>Homes Passed</t>
        </is>
      </c>
      <c r="B35" s="10" t="n"/>
      <c r="C35" s="22">
        <f>SUMIFS(Customer_Data!$F$4:$F$1003,Customer_Data!$A$4:$A$1003,Exec_Dashboard!$C$5)</f>
        <v/>
      </c>
      <c r="D35" s="10" t="n"/>
      <c r="E35" s="40" t="inlineStr">
        <is>
          <t>Active Projects</t>
        </is>
      </c>
      <c r="F35" s="10" t="n"/>
      <c r="G35" s="10" t="n"/>
      <c r="H35" s="43">
        <f>(COUNTIFS(Project_Data!$F$4:$F$1003,"On Track")+COUNTIFS(Project_Data!$F$4:$F$1003,"At Risk")+COUNTIFS(Project_Data!$F$4:$F$1003,"Behind"))</f>
        <v/>
      </c>
    </row>
    <row r="36">
      <c r="A36" s="40" t="inlineStr">
        <is>
          <t>Take Rate</t>
        </is>
      </c>
      <c r="B36" s="10" t="n"/>
      <c r="C36" s="42">
        <f>IF(SUMIFS(Customer_Data!$F$4:$F$1003,Customer_Data!$A$4:$A$1003,Exec_Dashboard!$C$5)=0,0,SUMIFS(Customer_Data!$C$4:$C$1003,Customer_Data!$A$4:$A$1003,Exec_Dashboard!$C$5)/SUMIFS(Customer_Data!$F$4:$F$1003,Customer_Data!$A$4:$A$1003,Exec_Dashboard!$C$5))</f>
        <v/>
      </c>
      <c r="D36" s="10" t="n"/>
      <c r="E36" s="40" t="inlineStr">
        <is>
          <t>Projects Behind / At Risk</t>
        </is>
      </c>
      <c r="F36" s="10" t="n"/>
      <c r="G36" s="10" t="n"/>
      <c r="H36" s="43">
        <f>COUNTIFS(Project_Data!$F$4:$F$1003,"Behind")+COUNTIFS(Project_Data!$F$4:$F$1003,"At Risk")</f>
        <v/>
      </c>
    </row>
    <row r="38" ht="20" customHeight="1">
      <c r="A38" s="8" t="inlineStr">
        <is>
          <t>5.  MAJOR CAPITAL PROJECT UPDATES</t>
        </is>
      </c>
    </row>
    <row r="39">
      <c r="A39" s="20" t="inlineStr">
        <is>
          <t>Project</t>
        </is>
      </c>
      <c r="B39" s="10" t="n"/>
      <c r="C39" s="20" t="inlineStr">
        <is>
          <t>County</t>
        </is>
      </c>
      <c r="D39" s="20" t="inlineStr">
        <is>
          <t>Status</t>
        </is>
      </c>
      <c r="E39" s="20" t="inlineStr">
        <is>
          <t>% Complete</t>
        </is>
      </c>
      <c r="F39" s="20" t="inlineStr">
        <is>
          <t>Capital Spent</t>
        </is>
      </c>
      <c r="G39" s="20" t="inlineStr">
        <is>
          <t>Blocker / Note</t>
        </is>
      </c>
      <c r="H39" s="10" t="n"/>
    </row>
    <row r="40">
      <c r="A40" s="26">
        <f>Project_Data!A4</f>
        <v/>
      </c>
      <c r="B40" s="10" t="n"/>
      <c r="C40" s="26">
        <f>Project_Data!B4</f>
        <v/>
      </c>
      <c r="D40" s="44">
        <f>Project_Data!F4</f>
        <v/>
      </c>
      <c r="E40" s="45">
        <f>Project_Data!E4</f>
        <v/>
      </c>
      <c r="F40" s="24">
        <f>Project_Data!L4</f>
        <v/>
      </c>
      <c r="G40" s="25">
        <f>Project_Data!R4</f>
        <v/>
      </c>
      <c r="H40" s="10" t="n"/>
    </row>
    <row r="41">
      <c r="A41" s="26">
        <f>Project_Data!A5</f>
        <v/>
      </c>
      <c r="B41" s="10" t="n"/>
      <c r="C41" s="26">
        <f>Project_Data!B5</f>
        <v/>
      </c>
      <c r="D41" s="44">
        <f>Project_Data!F5</f>
        <v/>
      </c>
      <c r="E41" s="45">
        <f>Project_Data!E5</f>
        <v/>
      </c>
      <c r="F41" s="24">
        <f>Project_Data!L5</f>
        <v/>
      </c>
      <c r="G41" s="25">
        <f>Project_Data!R5</f>
        <v/>
      </c>
      <c r="H41" s="10" t="n"/>
    </row>
    <row r="42">
      <c r="A42" s="26">
        <f>Project_Data!A6</f>
        <v/>
      </c>
      <c r="B42" s="10" t="n"/>
      <c r="C42" s="26">
        <f>Project_Data!B6</f>
        <v/>
      </c>
      <c r="D42" s="44">
        <f>Project_Data!F6</f>
        <v/>
      </c>
      <c r="E42" s="45">
        <f>Project_Data!E6</f>
        <v/>
      </c>
      <c r="F42" s="24">
        <f>Project_Data!L6</f>
        <v/>
      </c>
      <c r="G42" s="25">
        <f>Project_Data!R6</f>
        <v/>
      </c>
      <c r="H42" s="10" t="n"/>
    </row>
    <row r="43">
      <c r="A43" s="26">
        <f>Project_Data!A7</f>
        <v/>
      </c>
      <c r="B43" s="10" t="n"/>
      <c r="C43" s="26">
        <f>Project_Data!B7</f>
        <v/>
      </c>
      <c r="D43" s="44">
        <f>Project_Data!F7</f>
        <v/>
      </c>
      <c r="E43" s="45">
        <f>Project_Data!E7</f>
        <v/>
      </c>
      <c r="F43" s="24">
        <f>Project_Data!L7</f>
        <v/>
      </c>
      <c r="G43" s="25">
        <f>Project_Data!R7</f>
        <v/>
      </c>
      <c r="H43" s="10" t="n"/>
    </row>
    <row r="44">
      <c r="A44" s="26">
        <f>Project_Data!A8</f>
        <v/>
      </c>
      <c r="B44" s="10" t="n"/>
      <c r="C44" s="26">
        <f>Project_Data!B8</f>
        <v/>
      </c>
      <c r="D44" s="44">
        <f>Project_Data!F8</f>
        <v/>
      </c>
      <c r="E44" s="45">
        <f>Project_Data!E8</f>
        <v/>
      </c>
      <c r="F44" s="24">
        <f>Project_Data!L8</f>
        <v/>
      </c>
      <c r="G44" s="25">
        <f>Project_Data!R8</f>
        <v/>
      </c>
      <c r="H44" s="10" t="n"/>
    </row>
    <row r="45">
      <c r="A45" s="26">
        <f>Project_Data!A9</f>
        <v/>
      </c>
      <c r="B45" s="10" t="n"/>
      <c r="C45" s="26">
        <f>Project_Data!B9</f>
        <v/>
      </c>
      <c r="D45" s="44">
        <f>Project_Data!F9</f>
        <v/>
      </c>
      <c r="E45" s="45">
        <f>Project_Data!E9</f>
        <v/>
      </c>
      <c r="F45" s="24">
        <f>Project_Data!L9</f>
        <v/>
      </c>
      <c r="G45" s="25">
        <f>Project_Data!R9</f>
        <v/>
      </c>
      <c r="H45" s="10" t="n"/>
    </row>
    <row r="46">
      <c r="A46" s="26">
        <f>Project_Data!A10</f>
        <v/>
      </c>
      <c r="B46" s="10" t="n"/>
      <c r="C46" s="26">
        <f>Project_Data!B10</f>
        <v/>
      </c>
      <c r="D46" s="44">
        <f>Project_Data!F10</f>
        <v/>
      </c>
      <c r="E46" s="45">
        <f>Project_Data!E10</f>
        <v/>
      </c>
      <c r="F46" s="24">
        <f>Project_Data!L10</f>
        <v/>
      </c>
      <c r="G46" s="25">
        <f>Project_Data!R10</f>
        <v/>
      </c>
      <c r="H46" s="10" t="n"/>
    </row>
    <row r="47">
      <c r="A47" s="26">
        <f>Project_Data!A11</f>
        <v/>
      </c>
      <c r="B47" s="10" t="n"/>
      <c r="C47" s="26">
        <f>Project_Data!B11</f>
        <v/>
      </c>
      <c r="D47" s="44">
        <f>Project_Data!F11</f>
        <v/>
      </c>
      <c r="E47" s="45">
        <f>Project_Data!E11</f>
        <v/>
      </c>
      <c r="F47" s="24">
        <f>Project_Data!L11</f>
        <v/>
      </c>
      <c r="G47" s="25">
        <f>Project_Data!R11</f>
        <v/>
      </c>
      <c r="H47" s="10" t="n"/>
    </row>
    <row r="48">
      <c r="A48" s="26">
        <f>Project_Data!A12</f>
        <v/>
      </c>
      <c r="B48" s="10" t="n"/>
      <c r="C48" s="26">
        <f>Project_Data!B12</f>
        <v/>
      </c>
      <c r="D48" s="44">
        <f>Project_Data!F12</f>
        <v/>
      </c>
      <c r="E48" s="45">
        <f>Project_Data!E12</f>
        <v/>
      </c>
      <c r="F48" s="24">
        <f>Project_Data!L12</f>
        <v/>
      </c>
      <c r="G48" s="25">
        <f>Project_Data!R12</f>
        <v/>
      </c>
      <c r="H48" s="10" t="n"/>
    </row>
    <row r="49">
      <c r="A49" s="26">
        <f>Project_Data!A13</f>
        <v/>
      </c>
      <c r="B49" s="10" t="n"/>
      <c r="C49" s="26">
        <f>Project_Data!B13</f>
        <v/>
      </c>
      <c r="D49" s="44">
        <f>Project_Data!F13</f>
        <v/>
      </c>
      <c r="E49" s="45">
        <f>Project_Data!E13</f>
        <v/>
      </c>
      <c r="F49" s="24">
        <f>Project_Data!L13</f>
        <v/>
      </c>
      <c r="G49" s="25">
        <f>Project_Data!R13</f>
        <v/>
      </c>
      <c r="H49" s="10" t="n"/>
    </row>
    <row r="51" ht="20" customHeight="1">
      <c r="A51" s="8" t="inlineStr">
        <is>
          <t>6.  GRANT / CAPITAL PROJECT SUMMARY</t>
        </is>
      </c>
    </row>
    <row r="52">
      <c r="A52" s="21" t="inlineStr">
        <is>
          <t>Total Approved (all programs)</t>
        </is>
      </c>
      <c r="B52" s="10" t="n"/>
      <c r="C52" s="10" t="n"/>
      <c r="D52" s="10" t="n"/>
      <c r="E52" s="10" t="n"/>
      <c r="F52" s="24">
        <f>SUM(Grant_Data!$E$4:$E$1003)</f>
        <v/>
      </c>
      <c r="G52" s="10" t="n"/>
      <c r="H52" s="10" t="n"/>
    </row>
    <row r="53">
      <c r="A53" s="21" t="inlineStr">
        <is>
          <t>Total Received to Date</t>
        </is>
      </c>
      <c r="B53" s="10" t="n"/>
      <c r="C53" s="10" t="n"/>
      <c r="D53" s="10" t="n"/>
      <c r="E53" s="10" t="n"/>
      <c r="F53" s="24">
        <f>SUM(Grant_Data!$F$4:$F$1003)</f>
        <v/>
      </c>
      <c r="G53" s="10" t="n"/>
      <c r="H53" s="10" t="n"/>
    </row>
    <row r="54">
      <c r="A54" s="21" t="inlineStr">
        <is>
          <t>Outstanding (Approved − Received)</t>
        </is>
      </c>
      <c r="B54" s="10" t="n"/>
      <c r="C54" s="10" t="n"/>
      <c r="D54" s="10" t="n"/>
      <c r="E54" s="10" t="n"/>
      <c r="F54" s="24">
        <f>SUM(Grant_Data!$E$4:$E$1003)-SUM(Grant_Data!$F$4:$F$1003)</f>
        <v/>
      </c>
      <c r="G54" s="10" t="n"/>
      <c r="H54" s="10" t="n"/>
    </row>
    <row r="55">
      <c r="A55" s="21" t="inlineStr">
        <is>
          <t>In Review / Submitted (Requested)</t>
        </is>
      </c>
      <c r="B55" s="10" t="n"/>
      <c r="C55" s="10" t="n"/>
      <c r="D55" s="10" t="n"/>
      <c r="E55" s="10" t="n"/>
      <c r="F55" s="24">
        <f>SUMIFS(Grant_Data!$D$4:$D$1003,Grant_Data!$G$4:$G$1003,"Under Review")+SUMIFS(Grant_Data!$D$4:$D$1003,Grant_Data!$G$4:$G$1003,"Submitted")</f>
        <v/>
      </c>
      <c r="G55" s="10" t="n"/>
      <c r="H55" s="10" t="n"/>
    </row>
    <row r="56">
      <c r="A56" s="21" t="inlineStr">
        <is>
          <t>Total Capital Budget (projects)</t>
        </is>
      </c>
      <c r="B56" s="10" t="n"/>
      <c r="C56" s="10" t="n"/>
      <c r="D56" s="10" t="n"/>
      <c r="E56" s="10" t="n"/>
      <c r="F56" s="24">
        <f>SUM(Project_Data!$K$4:$K$1003)</f>
        <v/>
      </c>
      <c r="G56" s="10" t="n"/>
      <c r="H56" s="10" t="n"/>
    </row>
    <row r="57">
      <c r="A57" s="21" t="inlineStr">
        <is>
          <t>Total Capital Spent (projects)</t>
        </is>
      </c>
      <c r="B57" s="10" t="n"/>
      <c r="C57" s="10" t="n"/>
      <c r="D57" s="10" t="n"/>
      <c r="E57" s="10" t="n"/>
      <c r="F57" s="24">
        <f>SUM(Project_Data!$L$4:$L$1003)</f>
        <v/>
      </c>
      <c r="G57" s="10" t="n"/>
      <c r="H57" s="10" t="n"/>
    </row>
    <row r="59" ht="20" customHeight="1">
      <c r="A59" s="8" t="inlineStr">
        <is>
          <t>7.  KEY RISKS  (top by score)</t>
        </is>
      </c>
    </row>
    <row r="60">
      <c r="A60" s="20" t="inlineStr">
        <is>
          <t>Risk</t>
        </is>
      </c>
      <c r="B60" s="10" t="n"/>
      <c r="C60" s="10" t="n"/>
      <c r="D60" s="20" t="inlineStr">
        <is>
          <t>Cat.</t>
        </is>
      </c>
      <c r="E60" s="20" t="inlineStr">
        <is>
          <t>Score</t>
        </is>
      </c>
      <c r="F60" s="20" t="inlineStr">
        <is>
          <t>Owner</t>
        </is>
      </c>
      <c r="G60" s="20" t="inlineStr">
        <is>
          <t>Mitigation</t>
        </is>
      </c>
      <c r="H60" s="10" t="n"/>
    </row>
    <row r="61">
      <c r="A61" s="25">
        <f>IFERROR(INDEX(Risk_Register!$B$4:$B$1003,MATCH(LARGE(Risk_Register!$F$4:$F$1003,1),Risk_Register!$F$4:$F$1003,0)),"")</f>
        <v/>
      </c>
      <c r="B61" s="10" t="n"/>
      <c r="C61" s="10" t="n"/>
      <c r="D61" s="26">
        <f>IFERROR(INDEX(Risk_Register!$C$4:$C$1003,MATCH(LARGE(Risk_Register!$F$4:$F$1003,1),Risk_Register!$F$4:$F$1003,0)),"")</f>
        <v/>
      </c>
      <c r="E61" s="23">
        <f>IFERROR(LARGE(Risk_Register!$F$4:$F$1003,1),"")</f>
        <v/>
      </c>
      <c r="F61" s="26">
        <f>IFERROR(INDEX(Risk_Register!$H$4:$H$1003,MATCH(LARGE(Risk_Register!$F$4:$F$1003,1),Risk_Register!$F$4:$F$1003,0)),"")</f>
        <v/>
      </c>
      <c r="G61" s="25">
        <f>IFERROR(INDEX(Risk_Register!$I$4:$I$1003,MATCH(LARGE(Risk_Register!$F$4:$F$1003,1),Risk_Register!$F$4:$F$1003,0)),"")</f>
        <v/>
      </c>
      <c r="H61" s="10" t="n"/>
    </row>
    <row r="62">
      <c r="A62" s="25">
        <f>IFERROR(INDEX(Risk_Register!$B$4:$B$1003,MATCH(LARGE(Risk_Register!$F$4:$F$1003,2),Risk_Register!$F$4:$F$1003,0)),"")</f>
        <v/>
      </c>
      <c r="B62" s="10" t="n"/>
      <c r="C62" s="10" t="n"/>
      <c r="D62" s="26">
        <f>IFERROR(INDEX(Risk_Register!$C$4:$C$1003,MATCH(LARGE(Risk_Register!$F$4:$F$1003,2),Risk_Register!$F$4:$F$1003,0)),"")</f>
        <v/>
      </c>
      <c r="E62" s="23">
        <f>IFERROR(LARGE(Risk_Register!$F$4:$F$1003,2),"")</f>
        <v/>
      </c>
      <c r="F62" s="26">
        <f>IFERROR(INDEX(Risk_Register!$H$4:$H$1003,MATCH(LARGE(Risk_Register!$F$4:$F$1003,2),Risk_Register!$F$4:$F$1003,0)),"")</f>
        <v/>
      </c>
      <c r="G62" s="25">
        <f>IFERROR(INDEX(Risk_Register!$I$4:$I$1003,MATCH(LARGE(Risk_Register!$F$4:$F$1003,2),Risk_Register!$F$4:$F$1003,0)),"")</f>
        <v/>
      </c>
      <c r="H62" s="10" t="n"/>
    </row>
    <row r="63">
      <c r="A63" s="25">
        <f>IFERROR(INDEX(Risk_Register!$B$4:$B$1003,MATCH(LARGE(Risk_Register!$F$4:$F$1003,3),Risk_Register!$F$4:$F$1003,0)),"")</f>
        <v/>
      </c>
      <c r="B63" s="10" t="n"/>
      <c r="C63" s="10" t="n"/>
      <c r="D63" s="26">
        <f>IFERROR(INDEX(Risk_Register!$C$4:$C$1003,MATCH(LARGE(Risk_Register!$F$4:$F$1003,3),Risk_Register!$F$4:$F$1003,0)),"")</f>
        <v/>
      </c>
      <c r="E63" s="23">
        <f>IFERROR(LARGE(Risk_Register!$F$4:$F$1003,3),"")</f>
        <v/>
      </c>
      <c r="F63" s="26">
        <f>IFERROR(INDEX(Risk_Register!$H$4:$H$1003,MATCH(LARGE(Risk_Register!$F$4:$F$1003,3),Risk_Register!$F$4:$F$1003,0)),"")</f>
        <v/>
      </c>
      <c r="G63" s="25">
        <f>IFERROR(INDEX(Risk_Register!$I$4:$I$1003,MATCH(LARGE(Risk_Register!$F$4:$F$1003,3),Risk_Register!$F$4:$F$1003,0)),"")</f>
        <v/>
      </c>
      <c r="H63" s="10" t="n"/>
    </row>
    <row r="64">
      <c r="A64" s="25">
        <f>IFERROR(INDEX(Risk_Register!$B$4:$B$1003,MATCH(LARGE(Risk_Register!$F$4:$F$1003,4),Risk_Register!$F$4:$F$1003,0)),"")</f>
        <v/>
      </c>
      <c r="B64" s="10" t="n"/>
      <c r="C64" s="10" t="n"/>
      <c r="D64" s="26">
        <f>IFERROR(INDEX(Risk_Register!$C$4:$C$1003,MATCH(LARGE(Risk_Register!$F$4:$F$1003,4),Risk_Register!$F$4:$F$1003,0)),"")</f>
        <v/>
      </c>
      <c r="E64" s="23">
        <f>IFERROR(LARGE(Risk_Register!$F$4:$F$1003,4),"")</f>
        <v/>
      </c>
      <c r="F64" s="26">
        <f>IFERROR(INDEX(Risk_Register!$H$4:$H$1003,MATCH(LARGE(Risk_Register!$F$4:$F$1003,4),Risk_Register!$F$4:$F$1003,0)),"")</f>
        <v/>
      </c>
      <c r="G64" s="25">
        <f>IFERROR(INDEX(Risk_Register!$I$4:$I$1003,MATCH(LARGE(Risk_Register!$F$4:$F$1003,4),Risk_Register!$F$4:$F$1003,0)),"")</f>
        <v/>
      </c>
      <c r="H64" s="10" t="n"/>
    </row>
    <row r="65">
      <c r="A65" s="25">
        <f>IFERROR(INDEX(Risk_Register!$B$4:$B$1003,MATCH(LARGE(Risk_Register!$F$4:$F$1003,5),Risk_Register!$F$4:$F$1003,0)),"")</f>
        <v/>
      </c>
      <c r="B65" s="10" t="n"/>
      <c r="C65" s="10" t="n"/>
      <c r="D65" s="26">
        <f>IFERROR(INDEX(Risk_Register!$C$4:$C$1003,MATCH(LARGE(Risk_Register!$F$4:$F$1003,5),Risk_Register!$F$4:$F$1003,0)),"")</f>
        <v/>
      </c>
      <c r="E65" s="23">
        <f>IFERROR(LARGE(Risk_Register!$F$4:$F$1003,5),"")</f>
        <v/>
      </c>
      <c r="F65" s="26">
        <f>IFERROR(INDEX(Risk_Register!$H$4:$H$1003,MATCH(LARGE(Risk_Register!$F$4:$F$1003,5),Risk_Register!$F$4:$F$1003,0)),"")</f>
        <v/>
      </c>
      <c r="G65" s="25">
        <f>IFERROR(INDEX(Risk_Register!$I$4:$I$1003,MATCH(LARGE(Risk_Register!$F$4:$F$1003,5),Risk_Register!$F$4:$F$1003,0)),"")</f>
        <v/>
      </c>
      <c r="H65" s="10" t="n"/>
    </row>
    <row r="67" ht="20" customHeight="1">
      <c r="A67" s="8" t="inlineStr">
        <is>
          <t>8.  DECISIONS NEEDED FROM THE BOARD</t>
        </is>
      </c>
    </row>
    <row r="68">
      <c r="A68" s="20" t="inlineStr">
        <is>
          <t>Decision / Action</t>
        </is>
      </c>
      <c r="B68" s="10" t="n"/>
      <c r="C68" s="10" t="n"/>
      <c r="D68" s="10" t="n"/>
      <c r="E68" s="20" t="inlineStr">
        <is>
          <t>Owner</t>
        </is>
      </c>
      <c r="F68" s="20" t="inlineStr">
        <is>
          <t>Priority</t>
        </is>
      </c>
      <c r="G68" s="20" t="inlineStr">
        <is>
          <t>Due</t>
        </is>
      </c>
      <c r="H68" s="10" t="n"/>
    </row>
    <row r="69">
      <c r="A69" s="25">
        <f>IFERROR(INDEX(Board_Actions!$B$4:$B$1003,AGGREGATE(15,6,(ROW(Board_Actions!$I$4:$I$1003)-3)/((Board_Actions!$I$4:$I$1003="Yes")*(Board_Actions!$H$4:$H$1003&lt;&gt;"Complete")),1)),"")</f>
        <v/>
      </c>
      <c r="B69" s="10" t="n"/>
      <c r="C69" s="10" t="n"/>
      <c r="D69" s="10" t="n"/>
      <c r="E69" s="26">
        <f>IFERROR(INDEX(Board_Actions!$D$4:$D$1003,AGGREGATE(15,6,(ROW(Board_Actions!$I$4:$I$1003)-3)/((Board_Actions!$I$4:$I$1003="Yes")*(Board_Actions!$H$4:$H$1003&lt;&gt;"Complete")),1)),"")</f>
        <v/>
      </c>
      <c r="F69" s="23">
        <f>IFERROR(INDEX(Board_Actions!$G$4:$G$1003,AGGREGATE(15,6,(ROW(Board_Actions!$I$4:$I$1003)-3)/((Board_Actions!$I$4:$I$1003="Yes")*(Board_Actions!$H$4:$H$1003&lt;&gt;"Complete")),1)),"")</f>
        <v/>
      </c>
      <c r="G69" s="23">
        <f>IFERROR(INDEX(Board_Actions!$F$4:$F$1003,AGGREGATE(15,6,(ROW(Board_Actions!$I$4:$I$1003)-3)/((Board_Actions!$I$4:$I$1003="Yes")*(Board_Actions!$H$4:$H$1003&lt;&gt;"Complete")),1)),"")</f>
        <v/>
      </c>
      <c r="H69" s="10" t="n"/>
    </row>
    <row r="70">
      <c r="A70" s="25">
        <f>IFERROR(INDEX(Board_Actions!$B$4:$B$1003,AGGREGATE(15,6,(ROW(Board_Actions!$I$4:$I$1003)-3)/((Board_Actions!$I$4:$I$1003="Yes")*(Board_Actions!$H$4:$H$1003&lt;&gt;"Complete")),2)),"")</f>
        <v/>
      </c>
      <c r="B70" s="10" t="n"/>
      <c r="C70" s="10" t="n"/>
      <c r="D70" s="10" t="n"/>
      <c r="E70" s="26">
        <f>IFERROR(INDEX(Board_Actions!$D$4:$D$1003,AGGREGATE(15,6,(ROW(Board_Actions!$I$4:$I$1003)-3)/((Board_Actions!$I$4:$I$1003="Yes")*(Board_Actions!$H$4:$H$1003&lt;&gt;"Complete")),2)),"")</f>
        <v/>
      </c>
      <c r="F70" s="23">
        <f>IFERROR(INDEX(Board_Actions!$G$4:$G$1003,AGGREGATE(15,6,(ROW(Board_Actions!$I$4:$I$1003)-3)/((Board_Actions!$I$4:$I$1003="Yes")*(Board_Actions!$H$4:$H$1003&lt;&gt;"Complete")),2)),"")</f>
        <v/>
      </c>
      <c r="G70" s="23">
        <f>IFERROR(INDEX(Board_Actions!$F$4:$F$1003,AGGREGATE(15,6,(ROW(Board_Actions!$I$4:$I$1003)-3)/((Board_Actions!$I$4:$I$1003="Yes")*(Board_Actions!$H$4:$H$1003&lt;&gt;"Complete")),2)),"")</f>
        <v/>
      </c>
      <c r="H70" s="10" t="n"/>
    </row>
    <row r="71">
      <c r="A71" s="25">
        <f>IFERROR(INDEX(Board_Actions!$B$4:$B$1003,AGGREGATE(15,6,(ROW(Board_Actions!$I$4:$I$1003)-3)/((Board_Actions!$I$4:$I$1003="Yes")*(Board_Actions!$H$4:$H$1003&lt;&gt;"Complete")),3)),"")</f>
        <v/>
      </c>
      <c r="B71" s="10" t="n"/>
      <c r="C71" s="10" t="n"/>
      <c r="D71" s="10" t="n"/>
      <c r="E71" s="26">
        <f>IFERROR(INDEX(Board_Actions!$D$4:$D$1003,AGGREGATE(15,6,(ROW(Board_Actions!$I$4:$I$1003)-3)/((Board_Actions!$I$4:$I$1003="Yes")*(Board_Actions!$H$4:$H$1003&lt;&gt;"Complete")),3)),"")</f>
        <v/>
      </c>
      <c r="F71" s="23">
        <f>IFERROR(INDEX(Board_Actions!$G$4:$G$1003,AGGREGATE(15,6,(ROW(Board_Actions!$I$4:$I$1003)-3)/((Board_Actions!$I$4:$I$1003="Yes")*(Board_Actions!$H$4:$H$1003&lt;&gt;"Complete")),3)),"")</f>
        <v/>
      </c>
      <c r="G71" s="23">
        <f>IFERROR(INDEX(Board_Actions!$F$4:$F$1003,AGGREGATE(15,6,(ROW(Board_Actions!$I$4:$I$1003)-3)/((Board_Actions!$I$4:$I$1003="Yes")*(Board_Actions!$H$4:$H$1003&lt;&gt;"Complete")),3)),"")</f>
        <v/>
      </c>
      <c r="H71" s="10" t="n"/>
    </row>
    <row r="72">
      <c r="A72" s="25">
        <f>IFERROR(INDEX(Board_Actions!$B$4:$B$1003,AGGREGATE(15,6,(ROW(Board_Actions!$I$4:$I$1003)-3)/((Board_Actions!$I$4:$I$1003="Yes")*(Board_Actions!$H$4:$H$1003&lt;&gt;"Complete")),4)),"")</f>
        <v/>
      </c>
      <c r="B72" s="10" t="n"/>
      <c r="C72" s="10" t="n"/>
      <c r="D72" s="10" t="n"/>
      <c r="E72" s="26">
        <f>IFERROR(INDEX(Board_Actions!$D$4:$D$1003,AGGREGATE(15,6,(ROW(Board_Actions!$I$4:$I$1003)-3)/((Board_Actions!$I$4:$I$1003="Yes")*(Board_Actions!$H$4:$H$1003&lt;&gt;"Complete")),4)),"")</f>
        <v/>
      </c>
      <c r="F72" s="23">
        <f>IFERROR(INDEX(Board_Actions!$G$4:$G$1003,AGGREGATE(15,6,(ROW(Board_Actions!$I$4:$I$1003)-3)/((Board_Actions!$I$4:$I$1003="Yes")*(Board_Actions!$H$4:$H$1003&lt;&gt;"Complete")),4)),"")</f>
        <v/>
      </c>
      <c r="G72" s="23">
        <f>IFERROR(INDEX(Board_Actions!$F$4:$F$1003,AGGREGATE(15,6,(ROW(Board_Actions!$I$4:$I$1003)-3)/((Board_Actions!$I$4:$I$1003="Yes")*(Board_Actions!$H$4:$H$1003&lt;&gt;"Complete")),4)),"")</f>
        <v/>
      </c>
      <c r="H72" s="10" t="n"/>
    </row>
    <row r="73">
      <c r="A73" s="25">
        <f>IFERROR(INDEX(Board_Actions!$B$4:$B$1003,AGGREGATE(15,6,(ROW(Board_Actions!$I$4:$I$1003)-3)/((Board_Actions!$I$4:$I$1003="Yes")*(Board_Actions!$H$4:$H$1003&lt;&gt;"Complete")),5)),"")</f>
        <v/>
      </c>
      <c r="B73" s="10" t="n"/>
      <c r="C73" s="10" t="n"/>
      <c r="D73" s="10" t="n"/>
      <c r="E73" s="26">
        <f>IFERROR(INDEX(Board_Actions!$D$4:$D$1003,AGGREGATE(15,6,(ROW(Board_Actions!$I$4:$I$1003)-3)/((Board_Actions!$I$4:$I$1003="Yes")*(Board_Actions!$H$4:$H$1003&lt;&gt;"Complete")),5)),"")</f>
        <v/>
      </c>
      <c r="F73" s="23">
        <f>IFERROR(INDEX(Board_Actions!$G$4:$G$1003,AGGREGATE(15,6,(ROW(Board_Actions!$I$4:$I$1003)-3)/((Board_Actions!$I$4:$I$1003="Yes")*(Board_Actions!$H$4:$H$1003&lt;&gt;"Complete")),5)),"")</f>
        <v/>
      </c>
      <c r="G73" s="23">
        <f>IFERROR(INDEX(Board_Actions!$F$4:$F$1003,AGGREGATE(15,6,(ROW(Board_Actions!$I$4:$I$1003)-3)/((Board_Actions!$I$4:$I$1003="Yes")*(Board_Actions!$H$4:$H$1003&lt;&gt;"Complete")),5)),"")</f>
        <v/>
      </c>
      <c r="H73" s="10" t="n"/>
    </row>
    <row r="74">
      <c r="A74" s="25">
        <f>IFERROR(INDEX(Board_Actions!$B$4:$B$1003,AGGREGATE(15,6,(ROW(Board_Actions!$I$4:$I$1003)-3)/((Board_Actions!$I$4:$I$1003="Yes")*(Board_Actions!$H$4:$H$1003&lt;&gt;"Complete")),6)),"")</f>
        <v/>
      </c>
      <c r="B74" s="10" t="n"/>
      <c r="C74" s="10" t="n"/>
      <c r="D74" s="10" t="n"/>
      <c r="E74" s="26">
        <f>IFERROR(INDEX(Board_Actions!$D$4:$D$1003,AGGREGATE(15,6,(ROW(Board_Actions!$I$4:$I$1003)-3)/((Board_Actions!$I$4:$I$1003="Yes")*(Board_Actions!$H$4:$H$1003&lt;&gt;"Complete")),6)),"")</f>
        <v/>
      </c>
      <c r="F74" s="23">
        <f>IFERROR(INDEX(Board_Actions!$G$4:$G$1003,AGGREGATE(15,6,(ROW(Board_Actions!$I$4:$I$1003)-3)/((Board_Actions!$I$4:$I$1003="Yes")*(Board_Actions!$H$4:$H$1003&lt;&gt;"Complete")),6)),"")</f>
        <v/>
      </c>
      <c r="G74" s="23">
        <f>IFERROR(INDEX(Board_Actions!$F$4:$F$1003,AGGREGATE(15,6,(ROW(Board_Actions!$I$4:$I$1003)-3)/((Board_Actions!$I$4:$I$1003="Yes")*(Board_Actions!$H$4:$H$1003&lt;&gt;"Complete")),6)),"")</f>
        <v/>
      </c>
      <c r="H74" s="10" t="n"/>
    </row>
  </sheetData>
  <mergeCells count="110">
    <mergeCell ref="E31:G31"/>
    <mergeCell ref="G71:H71"/>
    <mergeCell ref="A72:D72"/>
    <mergeCell ref="A41:B41"/>
    <mergeCell ref="D13:E13"/>
    <mergeCell ref="A73:D73"/>
    <mergeCell ref="A3:H3"/>
    <mergeCell ref="A70:D70"/>
    <mergeCell ref="A63:C63"/>
    <mergeCell ref="A57:E57"/>
    <mergeCell ref="F14:H14"/>
    <mergeCell ref="G68:H68"/>
    <mergeCell ref="A33:B33"/>
    <mergeCell ref="A42:B42"/>
    <mergeCell ref="A5:H5"/>
    <mergeCell ref="A22:B22"/>
    <mergeCell ref="A35:B35"/>
    <mergeCell ref="A52:E52"/>
    <mergeCell ref="A19:B19"/>
    <mergeCell ref="A38:H38"/>
    <mergeCell ref="E35:G35"/>
    <mergeCell ref="G44:H44"/>
    <mergeCell ref="F12:H12"/>
    <mergeCell ref="A39:B39"/>
    <mergeCell ref="A48:B48"/>
    <mergeCell ref="A67:H67"/>
    <mergeCell ref="A30:B30"/>
    <mergeCell ref="A51:H51"/>
    <mergeCell ref="A45:B45"/>
    <mergeCell ref="G61:H61"/>
    <mergeCell ref="E30:G30"/>
    <mergeCell ref="A12:C12"/>
    <mergeCell ref="G70:H70"/>
    <mergeCell ref="G48:H48"/>
    <mergeCell ref="A14:C14"/>
    <mergeCell ref="A46:B46"/>
    <mergeCell ref="G62:H62"/>
    <mergeCell ref="A18:H18"/>
    <mergeCell ref="E32:G32"/>
    <mergeCell ref="A26:B26"/>
    <mergeCell ref="G49:H49"/>
    <mergeCell ref="A13:C13"/>
    <mergeCell ref="A55:E55"/>
    <mergeCell ref="G65:H65"/>
    <mergeCell ref="A15:C15"/>
    <mergeCell ref="A60:C60"/>
    <mergeCell ref="E33:G33"/>
    <mergeCell ref="A74:D74"/>
    <mergeCell ref="D15:E15"/>
    <mergeCell ref="A28:H28"/>
    <mergeCell ref="A71:D71"/>
    <mergeCell ref="G60:H60"/>
    <mergeCell ref="F15:H15"/>
    <mergeCell ref="F55:H55"/>
    <mergeCell ref="A16:C16"/>
    <mergeCell ref="A34:B34"/>
    <mergeCell ref="A6:H9"/>
    <mergeCell ref="A59:H59"/>
    <mergeCell ref="A49:B49"/>
    <mergeCell ref="G42:H42"/>
    <mergeCell ref="E34:G34"/>
    <mergeCell ref="A36:B36"/>
    <mergeCell ref="A68:D68"/>
    <mergeCell ref="G39:H39"/>
    <mergeCell ref="E36:G36"/>
    <mergeCell ref="F13:H13"/>
    <mergeCell ref="A62:C62"/>
    <mergeCell ref="F52:H52"/>
    <mergeCell ref="G69:H69"/>
    <mergeCell ref="A21:B21"/>
    <mergeCell ref="A69:D69"/>
    <mergeCell ref="F57:H57"/>
    <mergeCell ref="A32:B32"/>
    <mergeCell ref="E29:G29"/>
    <mergeCell ref="A23:B23"/>
    <mergeCell ref="F53:H53"/>
    <mergeCell ref="G64:H64"/>
    <mergeCell ref="D12:E12"/>
    <mergeCell ref="A64:C64"/>
    <mergeCell ref="G73:H73"/>
    <mergeCell ref="F16:H16"/>
    <mergeCell ref="A43:B43"/>
    <mergeCell ref="A61:C61"/>
    <mergeCell ref="G63:H63"/>
    <mergeCell ref="G41:H41"/>
    <mergeCell ref="D14:E14"/>
    <mergeCell ref="A40:B40"/>
    <mergeCell ref="A24:B24"/>
    <mergeCell ref="G43:H43"/>
    <mergeCell ref="A11:H11"/>
    <mergeCell ref="A25:B25"/>
    <mergeCell ref="A54:E54"/>
    <mergeCell ref="F56:H56"/>
    <mergeCell ref="A56:E56"/>
    <mergeCell ref="G74:H74"/>
    <mergeCell ref="D16:E16"/>
    <mergeCell ref="A47:B47"/>
    <mergeCell ref="A65:C65"/>
    <mergeCell ref="G45:H45"/>
    <mergeCell ref="A1:H2"/>
    <mergeCell ref="A53:E53"/>
    <mergeCell ref="A20:B20"/>
    <mergeCell ref="F54:H54"/>
    <mergeCell ref="A29:B29"/>
    <mergeCell ref="G47:H47"/>
    <mergeCell ref="A44:B44"/>
    <mergeCell ref="G46:H46"/>
    <mergeCell ref="G40:H40"/>
    <mergeCell ref="A31:B31"/>
    <mergeCell ref="G72:H72"/>
  </mergeCells>
  <conditionalFormatting sqref="D40:D49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  <cfRule type="cellIs" priority="4" operator="equal" dxfId="0">
      <formula>"On Track"</formula>
    </cfRule>
    <cfRule type="cellIs" priority="5" operator="equal" dxfId="1">
      <formula>"At Risk"</formula>
    </cfRule>
    <cfRule type="cellIs" priority="6" operator="equal" dxfId="2">
      <formula>"Behind"</formula>
    </cfRule>
    <cfRule type="cellIs" priority="7" operator="equal" dxfId="3">
      <formula>"Complete"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6B86"/>
    <outlinePr summaryBelow="1" summaryRight="1"/>
    <pageSetUpPr/>
  </sheetPr>
  <dimension ref="A1:F1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13" customWidth="1" min="5" max="5"/>
    <col width="18" customWidth="1" min="6" max="6"/>
  </cols>
  <sheetData>
    <row r="1" ht="24" customHeight="1">
      <c r="A1" s="46" t="inlineStr">
        <is>
          <t>CUSTOMER DATA  —  Monthly Subscriber Roll-Up</t>
        </is>
      </c>
    </row>
    <row r="2" ht="16" customHeight="1">
      <c r="A2" s="47" t="inlineStr">
        <is>
          <t>Enter ONE row per month. Total Customers = end-of-month subscriber count. Homes Passed = cumulative. Update weekly/at month close.</t>
        </is>
      </c>
    </row>
    <row r="3">
      <c r="A3" s="20" t="inlineStr">
        <is>
          <t>Month</t>
        </is>
      </c>
      <c r="B3" s="20" t="inlineStr">
        <is>
          <t>Period</t>
        </is>
      </c>
      <c r="C3" s="20" t="inlineStr">
        <is>
          <t>Total Customers</t>
        </is>
      </c>
      <c r="D3" s="20" t="inlineStr">
        <is>
          <t>New Sales</t>
        </is>
      </c>
      <c r="E3" s="20" t="inlineStr">
        <is>
          <t>Disconnects</t>
        </is>
      </c>
      <c r="F3" s="20" t="inlineStr">
        <is>
          <t>Homes Passed (cum)</t>
        </is>
      </c>
    </row>
    <row r="4">
      <c r="A4" s="40" t="inlineStr">
        <is>
          <t>Jul-2025</t>
        </is>
      </c>
      <c r="B4" s="48" t="n">
        <v>1</v>
      </c>
      <c r="C4" s="49" t="n">
        <v>4619</v>
      </c>
      <c r="D4" s="49" t="n">
        <v>523</v>
      </c>
      <c r="E4" s="49" t="n">
        <v>84</v>
      </c>
      <c r="F4" s="49" t="n">
        <v>18725</v>
      </c>
    </row>
    <row r="5">
      <c r="A5" s="40" t="inlineStr">
        <is>
          <t>Aug-2025</t>
        </is>
      </c>
      <c r="B5" s="48" t="n">
        <v>2</v>
      </c>
      <c r="C5" s="49" t="n">
        <v>4948</v>
      </c>
      <c r="D5" s="49" t="n">
        <v>430</v>
      </c>
      <c r="E5" s="49" t="n">
        <v>101</v>
      </c>
      <c r="F5" s="49" t="n">
        <v>19853</v>
      </c>
    </row>
    <row r="6">
      <c r="A6" s="40" t="inlineStr">
        <is>
          <t>Sep-2025</t>
        </is>
      </c>
      <c r="B6" s="48" t="n">
        <v>3</v>
      </c>
      <c r="C6" s="49" t="n">
        <v>5260</v>
      </c>
      <c r="D6" s="49" t="n">
        <v>395</v>
      </c>
      <c r="E6" s="49" t="n">
        <v>83</v>
      </c>
      <c r="F6" s="49" t="n">
        <v>21445</v>
      </c>
    </row>
    <row r="7">
      <c r="A7" s="40" t="inlineStr">
        <is>
          <t>Oct-2025</t>
        </is>
      </c>
      <c r="B7" s="48" t="n">
        <v>4</v>
      </c>
      <c r="C7" s="49" t="n">
        <v>5678</v>
      </c>
      <c r="D7" s="49" t="n">
        <v>499</v>
      </c>
      <c r="E7" s="49" t="n">
        <v>81</v>
      </c>
      <c r="F7" s="49" t="n">
        <v>22949</v>
      </c>
    </row>
    <row r="8">
      <c r="A8" s="40" t="inlineStr">
        <is>
          <t>Nov-2025</t>
        </is>
      </c>
      <c r="B8" s="48" t="n">
        <v>5</v>
      </c>
      <c r="C8" s="49" t="n">
        <v>6072</v>
      </c>
      <c r="D8" s="49" t="n">
        <v>468</v>
      </c>
      <c r="E8" s="49" t="n">
        <v>74</v>
      </c>
      <c r="F8" s="49" t="n">
        <v>23879</v>
      </c>
    </row>
    <row r="9">
      <c r="A9" s="40" t="inlineStr">
        <is>
          <t>Dec-2025</t>
        </is>
      </c>
      <c r="B9" s="48" t="n">
        <v>6</v>
      </c>
      <c r="C9" s="49" t="n">
        <v>6358</v>
      </c>
      <c r="D9" s="49" t="n">
        <v>383</v>
      </c>
      <c r="E9" s="49" t="n">
        <v>97</v>
      </c>
      <c r="F9" s="49" t="n">
        <v>25017</v>
      </c>
    </row>
    <row r="10">
      <c r="A10" s="40" t="inlineStr">
        <is>
          <t>Jan-2026</t>
        </is>
      </c>
      <c r="B10" s="48" t="n">
        <v>7</v>
      </c>
      <c r="C10" s="49" t="n">
        <v>6774</v>
      </c>
      <c r="D10" s="49" t="n">
        <v>489</v>
      </c>
      <c r="E10" s="49" t="n">
        <v>73</v>
      </c>
      <c r="F10" s="49" t="n">
        <v>26491</v>
      </c>
    </row>
    <row r="11">
      <c r="A11" s="40" t="inlineStr">
        <is>
          <t>Feb-2026</t>
        </is>
      </c>
      <c r="B11" s="48" t="n">
        <v>8</v>
      </c>
      <c r="C11" s="49" t="n">
        <v>7061</v>
      </c>
      <c r="D11" s="49" t="n">
        <v>410</v>
      </c>
      <c r="E11" s="49" t="n">
        <v>123</v>
      </c>
      <c r="F11" s="49" t="n">
        <v>27616</v>
      </c>
    </row>
    <row r="12">
      <c r="A12" s="40" t="inlineStr">
        <is>
          <t>Mar-2026</t>
        </is>
      </c>
      <c r="B12" s="48" t="n">
        <v>9</v>
      </c>
      <c r="C12" s="49" t="n">
        <v>7430</v>
      </c>
      <c r="D12" s="49" t="n">
        <v>474</v>
      </c>
      <c r="E12" s="49" t="n">
        <v>105</v>
      </c>
      <c r="F12" s="49" t="n">
        <v>28522</v>
      </c>
    </row>
    <row r="13">
      <c r="A13" s="40" t="inlineStr">
        <is>
          <t>Apr-2026</t>
        </is>
      </c>
      <c r="B13" s="48" t="n">
        <v>10</v>
      </c>
      <c r="C13" s="49" t="n">
        <v>7706</v>
      </c>
      <c r="D13" s="49" t="n">
        <v>400</v>
      </c>
      <c r="E13" s="49" t="n">
        <v>124</v>
      </c>
      <c r="F13" s="49" t="n">
        <v>29770</v>
      </c>
    </row>
    <row r="14">
      <c r="A14" s="40" t="inlineStr">
        <is>
          <t>May-2026</t>
        </is>
      </c>
      <c r="B14" s="48" t="n">
        <v>11</v>
      </c>
      <c r="C14" s="49" t="n">
        <v>8048</v>
      </c>
      <c r="D14" s="49" t="n">
        <v>431</v>
      </c>
      <c r="E14" s="49" t="n">
        <v>89</v>
      </c>
      <c r="F14" s="49" t="n">
        <v>30890</v>
      </c>
    </row>
    <row r="15">
      <c r="A15" s="40" t="inlineStr">
        <is>
          <t>Jun-2026</t>
        </is>
      </c>
      <c r="B15" s="48" t="n">
        <v>12</v>
      </c>
      <c r="C15" s="49" t="n">
        <v>8411</v>
      </c>
      <c r="D15" s="49" t="n">
        <v>446</v>
      </c>
      <c r="E15" s="49" t="n">
        <v>83</v>
      </c>
      <c r="F15" s="49" t="n">
        <v>31884</v>
      </c>
    </row>
  </sheetData>
  <mergeCells count="2">
    <mergeCell ref="A2:F2"/>
    <mergeCell ref="A1:F1"/>
  </mergeCells>
  <dataValidations count="1">
    <dataValidation sqref="A4:A1003" showDropDown="0" showInputMessage="0" showErrorMessage="0" allowBlank="1" type="list">
      <formula1>=Lists!$A$2:$A$13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6B86"/>
    <outlinePr summaryBelow="1" summaryRight="1"/>
    <pageSetUpPr/>
  </sheetPr>
  <dimension ref="A1:L7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17" customWidth="1" min="6" max="6"/>
    <col width="15" customWidth="1" min="7" max="7"/>
    <col width="9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46" t="inlineStr">
        <is>
          <t>SALES DATA  —  Connects &amp; Activity (one row per county / segment / month)</t>
        </is>
      </c>
    </row>
    <row r="2" ht="16" customHeight="1">
      <c r="A2" s="47" t="inlineStr">
        <is>
          <t>Add rows as deals close. Sales = connects. New MRR = added recurring $. Use dropdowns for County / Segment / Channel / Campaign / Rep.</t>
        </is>
      </c>
    </row>
    <row r="3">
      <c r="A3" s="20" t="inlineStr">
        <is>
          <t>Month</t>
        </is>
      </c>
      <c r="B3" s="20" t="inlineStr">
        <is>
          <t>Period</t>
        </is>
      </c>
      <c r="C3" s="20" t="inlineStr">
        <is>
          <t>County</t>
        </is>
      </c>
      <c r="D3" s="20" t="inlineStr">
        <is>
          <t>Segment</t>
        </is>
      </c>
      <c r="E3" s="20" t="inlineStr">
        <is>
          <t>Channel</t>
        </is>
      </c>
      <c r="F3" s="20" t="inlineStr">
        <is>
          <t>Campaign</t>
        </is>
      </c>
      <c r="G3" s="20" t="inlineStr">
        <is>
          <t>Rep</t>
        </is>
      </c>
      <c r="H3" s="20" t="inlineStr">
        <is>
          <t>Leads</t>
        </is>
      </c>
      <c r="I3" s="20" t="inlineStr">
        <is>
          <t>Qualified</t>
        </is>
      </c>
      <c r="J3" s="20" t="inlineStr">
        <is>
          <t>Sales (units)</t>
        </is>
      </c>
      <c r="K3" s="20" t="inlineStr">
        <is>
          <t>New MRR ($)</t>
        </is>
      </c>
      <c r="L3" s="20" t="inlineStr">
        <is>
          <t>Door Knocks</t>
        </is>
      </c>
    </row>
    <row r="4">
      <c r="A4" s="40" t="inlineStr">
        <is>
          <t>Jul-2025</t>
        </is>
      </c>
      <c r="B4" s="48" t="n">
        <v>1</v>
      </c>
      <c r="C4" s="40" t="inlineStr">
        <is>
          <t>Robeson</t>
        </is>
      </c>
      <c r="D4" s="40" t="inlineStr">
        <is>
          <t>Residential</t>
        </is>
      </c>
      <c r="E4" s="40" t="inlineStr">
        <is>
          <t>Website</t>
        </is>
      </c>
      <c r="F4" s="40" t="inlineStr">
        <is>
          <t>Referral Rewards</t>
        </is>
      </c>
      <c r="G4" s="40" t="inlineStr">
        <is>
          <t>James Carter</t>
        </is>
      </c>
      <c r="H4" s="49" t="n">
        <v>195</v>
      </c>
      <c r="I4" s="49" t="n">
        <v>135</v>
      </c>
      <c r="J4" s="49" t="n">
        <v>107</v>
      </c>
      <c r="K4" s="50" t="n">
        <v>8453</v>
      </c>
      <c r="L4" s="49" t="n">
        <v>16</v>
      </c>
    </row>
    <row r="5">
      <c r="A5" s="40" t="inlineStr">
        <is>
          <t>Jul-2025</t>
        </is>
      </c>
      <c r="B5" s="48" t="n">
        <v>1</v>
      </c>
      <c r="C5" s="40" t="inlineStr">
        <is>
          <t>Hoke</t>
        </is>
      </c>
      <c r="D5" s="40" t="inlineStr">
        <is>
          <t>Residential</t>
        </is>
      </c>
      <c r="E5" s="40" t="inlineStr">
        <is>
          <t>HOA/Developer</t>
        </is>
      </c>
      <c r="F5" s="40" t="inlineStr">
        <is>
          <t>Referral Rewards</t>
        </is>
      </c>
      <c r="G5" s="40" t="inlineStr">
        <is>
          <t>Derek Oxendine</t>
        </is>
      </c>
      <c r="H5" s="49" t="n">
        <v>158</v>
      </c>
      <c r="I5" s="49" t="n">
        <v>119</v>
      </c>
      <c r="J5" s="49" t="n">
        <v>91</v>
      </c>
      <c r="K5" s="50" t="n">
        <v>7189</v>
      </c>
      <c r="L5" s="49" t="n">
        <v>0</v>
      </c>
    </row>
    <row r="6">
      <c r="A6" s="40" t="inlineStr">
        <is>
          <t>Jul-2025</t>
        </is>
      </c>
      <c r="B6" s="48" t="n">
        <v>1</v>
      </c>
      <c r="C6" s="40" t="inlineStr">
        <is>
          <t>Cumberland</t>
        </is>
      </c>
      <c r="D6" s="40" t="inlineStr">
        <is>
          <t>Residential</t>
        </is>
      </c>
      <c r="E6" s="40" t="inlineStr">
        <is>
          <t>Event</t>
        </is>
      </c>
      <c r="F6" s="40" t="inlineStr">
        <is>
          <t>Spring Fiber Push</t>
        </is>
      </c>
      <c r="G6" s="40" t="inlineStr">
        <is>
          <t>Maria Lopez</t>
        </is>
      </c>
      <c r="H6" s="49" t="n">
        <v>206</v>
      </c>
      <c r="I6" s="49" t="n">
        <v>112</v>
      </c>
      <c r="J6" s="49" t="n">
        <v>91</v>
      </c>
      <c r="K6" s="50" t="n">
        <v>7189</v>
      </c>
      <c r="L6" s="49" t="n">
        <v>16</v>
      </c>
    </row>
    <row r="7">
      <c r="A7" s="40" t="inlineStr">
        <is>
          <t>Jul-2025</t>
        </is>
      </c>
      <c r="B7" s="48" t="n">
        <v>1</v>
      </c>
      <c r="C7" s="40" t="inlineStr">
        <is>
          <t>Scotland</t>
        </is>
      </c>
      <c r="D7" s="40" t="inlineStr">
        <is>
          <t>Residential</t>
        </is>
      </c>
      <c r="E7" s="40" t="inlineStr">
        <is>
          <t>Website</t>
        </is>
      </c>
      <c r="F7" s="40" t="inlineStr">
        <is>
          <t>Spring Fiber Push</t>
        </is>
      </c>
      <c r="G7" s="40" t="inlineStr">
        <is>
          <t>James Carter</t>
        </is>
      </c>
      <c r="H7" s="49" t="n">
        <v>166</v>
      </c>
      <c r="I7" s="49" t="n">
        <v>100</v>
      </c>
      <c r="J7" s="49" t="n">
        <v>69</v>
      </c>
      <c r="K7" s="50" t="n">
        <v>5451</v>
      </c>
      <c r="L7" s="49" t="n">
        <v>10</v>
      </c>
    </row>
    <row r="8">
      <c r="A8" s="40" t="inlineStr">
        <is>
          <t>Jul-2025</t>
        </is>
      </c>
      <c r="B8" s="48" t="n">
        <v>1</v>
      </c>
      <c r="C8" s="40" t="inlineStr">
        <is>
          <t>Bladen</t>
        </is>
      </c>
      <c r="D8" s="40" t="inlineStr">
        <is>
          <t>Residential</t>
        </is>
      </c>
      <c r="E8" s="40" t="inlineStr">
        <is>
          <t>Event</t>
        </is>
      </c>
      <c r="F8" s="40" t="inlineStr">
        <is>
          <t>Referral Rewards</t>
        </is>
      </c>
      <c r="G8" s="40" t="inlineStr">
        <is>
          <t>Sarah Locklear</t>
        </is>
      </c>
      <c r="H8" s="49" t="n">
        <v>179</v>
      </c>
      <c r="I8" s="49" t="n">
        <v>79</v>
      </c>
      <c r="J8" s="49" t="n">
        <v>71</v>
      </c>
      <c r="K8" s="50" t="n">
        <v>5609</v>
      </c>
      <c r="L8" s="49" t="n">
        <v>19</v>
      </c>
    </row>
    <row r="9">
      <c r="A9" s="40" t="inlineStr">
        <is>
          <t>Jul-2025</t>
        </is>
      </c>
      <c r="B9" s="48" t="n">
        <v>1</v>
      </c>
      <c r="C9" s="40" t="inlineStr">
        <is>
          <t>Columbus</t>
        </is>
      </c>
      <c r="D9" s="40" t="inlineStr">
        <is>
          <t>Business</t>
        </is>
      </c>
      <c r="E9" s="40" t="inlineStr">
        <is>
          <t>Door-to-Door</t>
        </is>
      </c>
      <c r="F9" s="40" t="inlineStr">
        <is>
          <t>BEAD Awareness</t>
        </is>
      </c>
      <c r="G9" s="40" t="inlineStr">
        <is>
          <t>Tanya Hunt</t>
        </is>
      </c>
      <c r="H9" s="49" t="n">
        <v>153</v>
      </c>
      <c r="I9" s="49" t="n">
        <v>110</v>
      </c>
      <c r="J9" s="49" t="n">
        <v>95</v>
      </c>
      <c r="K9" s="50" t="n">
        <v>17100</v>
      </c>
      <c r="L9" s="49" t="n">
        <v>530</v>
      </c>
    </row>
    <row r="10">
      <c r="A10" s="40" t="inlineStr">
        <is>
          <t>Aug-2025</t>
        </is>
      </c>
      <c r="B10" s="48" t="n">
        <v>2</v>
      </c>
      <c r="C10" s="40" t="inlineStr">
        <is>
          <t>Robeson</t>
        </is>
      </c>
      <c r="D10" s="40" t="inlineStr">
        <is>
          <t>Residential</t>
        </is>
      </c>
      <c r="E10" s="40" t="inlineStr">
        <is>
          <t>Referral</t>
        </is>
      </c>
      <c r="F10" s="40" t="inlineStr">
        <is>
          <t>Referral Rewards</t>
        </is>
      </c>
      <c r="G10" s="40" t="inlineStr">
        <is>
          <t>Maria Lopez</t>
        </is>
      </c>
      <c r="H10" s="49" t="n">
        <v>171</v>
      </c>
      <c r="I10" s="49" t="n">
        <v>87</v>
      </c>
      <c r="J10" s="49" t="n">
        <v>74</v>
      </c>
      <c r="K10" s="50" t="n">
        <v>5846</v>
      </c>
      <c r="L10" s="49" t="n">
        <v>53</v>
      </c>
    </row>
    <row r="11">
      <c r="A11" s="40" t="inlineStr">
        <is>
          <t>Aug-2025</t>
        </is>
      </c>
      <c r="B11" s="48" t="n">
        <v>2</v>
      </c>
      <c r="C11" s="40" t="inlineStr">
        <is>
          <t>Hoke</t>
        </is>
      </c>
      <c r="D11" s="40" t="inlineStr">
        <is>
          <t>Residential</t>
        </is>
      </c>
      <c r="E11" s="40" t="inlineStr">
        <is>
          <t>Door-to-Door</t>
        </is>
      </c>
      <c r="F11" s="40" t="inlineStr">
        <is>
          <t>Referral Rewards</t>
        </is>
      </c>
      <c r="G11" s="40" t="inlineStr">
        <is>
          <t>James Carter</t>
        </is>
      </c>
      <c r="H11" s="49" t="n">
        <v>138</v>
      </c>
      <c r="I11" s="49" t="n">
        <v>88</v>
      </c>
      <c r="J11" s="49" t="n">
        <v>64</v>
      </c>
      <c r="K11" s="50" t="n">
        <v>5056</v>
      </c>
      <c r="L11" s="49" t="n">
        <v>529</v>
      </c>
    </row>
    <row r="12">
      <c r="A12" s="40" t="inlineStr">
        <is>
          <t>Aug-2025</t>
        </is>
      </c>
      <c r="B12" s="48" t="n">
        <v>2</v>
      </c>
      <c r="C12" s="40" t="inlineStr">
        <is>
          <t>Cumberland</t>
        </is>
      </c>
      <c r="D12" s="40" t="inlineStr">
        <is>
          <t>Residential</t>
        </is>
      </c>
      <c r="E12" s="40" t="inlineStr">
        <is>
          <t>HOA/Developer</t>
        </is>
      </c>
      <c r="F12" s="40" t="inlineStr">
        <is>
          <t>Business Connect</t>
        </is>
      </c>
      <c r="G12" s="40" t="inlineStr">
        <is>
          <t>Sarah Locklear</t>
        </is>
      </c>
      <c r="H12" s="49" t="n">
        <v>127</v>
      </c>
      <c r="I12" s="49" t="n">
        <v>83</v>
      </c>
      <c r="J12" s="49" t="n">
        <v>75</v>
      </c>
      <c r="K12" s="50" t="n">
        <v>5925</v>
      </c>
      <c r="L12" s="49" t="n">
        <v>4</v>
      </c>
    </row>
    <row r="13">
      <c r="A13" s="40" t="inlineStr">
        <is>
          <t>Aug-2025</t>
        </is>
      </c>
      <c r="B13" s="48" t="n">
        <v>2</v>
      </c>
      <c r="C13" s="40" t="inlineStr">
        <is>
          <t>Scotland</t>
        </is>
      </c>
      <c r="D13" s="40" t="inlineStr">
        <is>
          <t>Business</t>
        </is>
      </c>
      <c r="E13" s="40" t="inlineStr">
        <is>
          <t>HOA/Developer</t>
        </is>
      </c>
      <c r="F13" s="40" t="inlineStr">
        <is>
          <t>BEAD Awareness</t>
        </is>
      </c>
      <c r="G13" s="40" t="inlineStr">
        <is>
          <t>Sarah Locklear</t>
        </is>
      </c>
      <c r="H13" s="49" t="n">
        <v>166</v>
      </c>
      <c r="I13" s="49" t="n">
        <v>89</v>
      </c>
      <c r="J13" s="49" t="n">
        <v>79</v>
      </c>
      <c r="K13" s="50" t="n">
        <v>14220</v>
      </c>
      <c r="L13" s="49" t="n">
        <v>37</v>
      </c>
    </row>
    <row r="14">
      <c r="A14" s="40" t="inlineStr">
        <is>
          <t>Aug-2025</t>
        </is>
      </c>
      <c r="B14" s="48" t="n">
        <v>2</v>
      </c>
      <c r="C14" s="40" t="inlineStr">
        <is>
          <t>Bladen</t>
        </is>
      </c>
      <c r="D14" s="40" t="inlineStr">
        <is>
          <t>Residential</t>
        </is>
      </c>
      <c r="E14" s="40" t="inlineStr">
        <is>
          <t>Referral</t>
        </is>
      </c>
      <c r="F14" s="40" t="inlineStr">
        <is>
          <t>BEAD Awareness</t>
        </is>
      </c>
      <c r="G14" s="40" t="inlineStr">
        <is>
          <t>Maria Lopez</t>
        </is>
      </c>
      <c r="H14" s="49" t="n">
        <v>165</v>
      </c>
      <c r="I14" s="49" t="n">
        <v>89</v>
      </c>
      <c r="J14" s="49" t="n">
        <v>62</v>
      </c>
      <c r="K14" s="50" t="n">
        <v>4898</v>
      </c>
      <c r="L14" s="49" t="n">
        <v>57</v>
      </c>
    </row>
    <row r="15">
      <c r="A15" s="40" t="inlineStr">
        <is>
          <t>Aug-2025</t>
        </is>
      </c>
      <c r="B15" s="48" t="n">
        <v>2</v>
      </c>
      <c r="C15" s="40" t="inlineStr">
        <is>
          <t>Columbus</t>
        </is>
      </c>
      <c r="D15" s="40" t="inlineStr">
        <is>
          <t>Business</t>
        </is>
      </c>
      <c r="E15" s="40" t="inlineStr">
        <is>
          <t>Door-to-Door</t>
        </is>
      </c>
      <c r="F15" s="40" t="inlineStr">
        <is>
          <t>Referral Rewards</t>
        </is>
      </c>
      <c r="G15" s="40" t="inlineStr">
        <is>
          <t>James Carter</t>
        </is>
      </c>
      <c r="H15" s="49" t="n">
        <v>142</v>
      </c>
      <c r="I15" s="49" t="n">
        <v>99</v>
      </c>
      <c r="J15" s="49" t="n">
        <v>76</v>
      </c>
      <c r="K15" s="50" t="n">
        <v>13680</v>
      </c>
      <c r="L15" s="49" t="n">
        <v>331</v>
      </c>
    </row>
    <row r="16">
      <c r="A16" s="40" t="inlineStr">
        <is>
          <t>Sep-2025</t>
        </is>
      </c>
      <c r="B16" s="48" t="n">
        <v>3</v>
      </c>
      <c r="C16" s="40" t="inlineStr">
        <is>
          <t>Robeson</t>
        </is>
      </c>
      <c r="D16" s="40" t="inlineStr">
        <is>
          <t>Business</t>
        </is>
      </c>
      <c r="E16" s="40" t="inlineStr">
        <is>
          <t>Inbound Call</t>
        </is>
      </c>
      <c r="F16" s="40" t="inlineStr">
        <is>
          <t>Business Connect</t>
        </is>
      </c>
      <c r="G16" s="40" t="inlineStr">
        <is>
          <t>Maria Lopez</t>
        </is>
      </c>
      <c r="H16" s="49" t="n">
        <v>161</v>
      </c>
      <c r="I16" s="49" t="n">
        <v>89</v>
      </c>
      <c r="J16" s="49" t="n">
        <v>70</v>
      </c>
      <c r="K16" s="50" t="n">
        <v>12600</v>
      </c>
      <c r="L16" s="49" t="n">
        <v>50</v>
      </c>
    </row>
    <row r="17">
      <c r="A17" s="40" t="inlineStr">
        <is>
          <t>Sep-2025</t>
        </is>
      </c>
      <c r="B17" s="48" t="n">
        <v>3</v>
      </c>
      <c r="C17" s="40" t="inlineStr">
        <is>
          <t>Hoke</t>
        </is>
      </c>
      <c r="D17" s="40" t="inlineStr">
        <is>
          <t>Business</t>
        </is>
      </c>
      <c r="E17" s="40" t="inlineStr">
        <is>
          <t>HOA/Developer</t>
        </is>
      </c>
      <c r="F17" s="40" t="inlineStr">
        <is>
          <t>BEAD Awareness</t>
        </is>
      </c>
      <c r="G17" s="40" t="inlineStr">
        <is>
          <t>Tanya Hunt</t>
        </is>
      </c>
      <c r="H17" s="49" t="n">
        <v>134</v>
      </c>
      <c r="I17" s="49" t="n">
        <v>91</v>
      </c>
      <c r="J17" s="49" t="n">
        <v>73</v>
      </c>
      <c r="K17" s="50" t="n">
        <v>13140</v>
      </c>
      <c r="L17" s="49" t="n">
        <v>24</v>
      </c>
    </row>
    <row r="18">
      <c r="A18" s="40" t="inlineStr">
        <is>
          <t>Sep-2025</t>
        </is>
      </c>
      <c r="B18" s="48" t="n">
        <v>3</v>
      </c>
      <c r="C18" s="40" t="inlineStr">
        <is>
          <t>Cumberland</t>
        </is>
      </c>
      <c r="D18" s="40" t="inlineStr">
        <is>
          <t>Business</t>
        </is>
      </c>
      <c r="E18" s="40" t="inlineStr">
        <is>
          <t>Referral</t>
        </is>
      </c>
      <c r="F18" s="40" t="inlineStr">
        <is>
          <t>BEAD Awareness</t>
        </is>
      </c>
      <c r="G18" s="40" t="inlineStr">
        <is>
          <t>James Carter</t>
        </is>
      </c>
      <c r="H18" s="49" t="n">
        <v>170</v>
      </c>
      <c r="I18" s="49" t="n">
        <v>96</v>
      </c>
      <c r="J18" s="49" t="n">
        <v>59</v>
      </c>
      <c r="K18" s="50" t="n">
        <v>10620</v>
      </c>
      <c r="L18" s="49" t="n">
        <v>19</v>
      </c>
    </row>
    <row r="19">
      <c r="A19" s="40" t="inlineStr">
        <is>
          <t>Sep-2025</t>
        </is>
      </c>
      <c r="B19" s="48" t="n">
        <v>3</v>
      </c>
      <c r="C19" s="40" t="inlineStr">
        <is>
          <t>Scotland</t>
        </is>
      </c>
      <c r="D19" s="40" t="inlineStr">
        <is>
          <t>Business</t>
        </is>
      </c>
      <c r="E19" s="40" t="inlineStr">
        <is>
          <t>Inbound Call</t>
        </is>
      </c>
      <c r="F19" s="40" t="inlineStr">
        <is>
          <t>BEAD Awareness</t>
        </is>
      </c>
      <c r="G19" s="40" t="inlineStr">
        <is>
          <t>Maria Lopez</t>
        </is>
      </c>
      <c r="H19" s="49" t="n">
        <v>167</v>
      </c>
      <c r="I19" s="49" t="n">
        <v>86</v>
      </c>
      <c r="J19" s="49" t="n">
        <v>66</v>
      </c>
      <c r="K19" s="50" t="n">
        <v>11880</v>
      </c>
      <c r="L19" s="49" t="n">
        <v>21</v>
      </c>
    </row>
    <row r="20">
      <c r="A20" s="40" t="inlineStr">
        <is>
          <t>Sep-2025</t>
        </is>
      </c>
      <c r="B20" s="48" t="n">
        <v>3</v>
      </c>
      <c r="C20" s="40" t="inlineStr">
        <is>
          <t>Bladen</t>
        </is>
      </c>
      <c r="D20" s="40" t="inlineStr">
        <is>
          <t>Residential</t>
        </is>
      </c>
      <c r="E20" s="40" t="inlineStr">
        <is>
          <t>Door-to-Door</t>
        </is>
      </c>
      <c r="F20" s="40" t="inlineStr">
        <is>
          <t>Referral Rewards</t>
        </is>
      </c>
      <c r="G20" s="40" t="inlineStr">
        <is>
          <t>Tanya Hunt</t>
        </is>
      </c>
      <c r="H20" s="49" t="n">
        <v>173</v>
      </c>
      <c r="I20" s="49" t="n">
        <v>92</v>
      </c>
      <c r="J20" s="49" t="n">
        <v>52</v>
      </c>
      <c r="K20" s="50" t="n">
        <v>4108</v>
      </c>
      <c r="L20" s="49" t="n">
        <v>497</v>
      </c>
    </row>
    <row r="21">
      <c r="A21" s="40" t="inlineStr">
        <is>
          <t>Sep-2025</t>
        </is>
      </c>
      <c r="B21" s="48" t="n">
        <v>3</v>
      </c>
      <c r="C21" s="40" t="inlineStr">
        <is>
          <t>Columbus</t>
        </is>
      </c>
      <c r="D21" s="40" t="inlineStr">
        <is>
          <t>Enterprise</t>
        </is>
      </c>
      <c r="E21" s="40" t="inlineStr">
        <is>
          <t>Event</t>
        </is>
      </c>
      <c r="F21" s="40" t="inlineStr">
        <is>
          <t>Referral Rewards</t>
        </is>
      </c>
      <c r="G21" s="40" t="inlineStr">
        <is>
          <t>Maria Lopez</t>
        </is>
      </c>
      <c r="H21" s="49" t="n">
        <v>153</v>
      </c>
      <c r="I21" s="49" t="n">
        <v>90</v>
      </c>
      <c r="J21" s="49" t="n">
        <v>75</v>
      </c>
      <c r="K21" s="50" t="n">
        <v>63750</v>
      </c>
      <c r="L21" s="49" t="n">
        <v>11</v>
      </c>
    </row>
    <row r="22">
      <c r="A22" s="40" t="inlineStr">
        <is>
          <t>Oct-2025</t>
        </is>
      </c>
      <c r="B22" s="48" t="n">
        <v>4</v>
      </c>
      <c r="C22" s="40" t="inlineStr">
        <is>
          <t>Robeson</t>
        </is>
      </c>
      <c r="D22" s="40" t="inlineStr">
        <is>
          <t>Residential</t>
        </is>
      </c>
      <c r="E22" s="40" t="inlineStr">
        <is>
          <t>Event</t>
        </is>
      </c>
      <c r="F22" s="40" t="inlineStr">
        <is>
          <t>Spring Fiber Push</t>
        </is>
      </c>
      <c r="G22" s="40" t="inlineStr">
        <is>
          <t>Derek Oxendine</t>
        </is>
      </c>
      <c r="H22" s="49" t="n">
        <v>166</v>
      </c>
      <c r="I22" s="49" t="n">
        <v>104</v>
      </c>
      <c r="J22" s="49" t="n">
        <v>84</v>
      </c>
      <c r="K22" s="50" t="n">
        <v>6636</v>
      </c>
      <c r="L22" s="49" t="n">
        <v>2</v>
      </c>
    </row>
    <row r="23">
      <c r="A23" s="40" t="inlineStr">
        <is>
          <t>Oct-2025</t>
        </is>
      </c>
      <c r="B23" s="48" t="n">
        <v>4</v>
      </c>
      <c r="C23" s="40" t="inlineStr">
        <is>
          <t>Hoke</t>
        </is>
      </c>
      <c r="D23" s="40" t="inlineStr">
        <is>
          <t>Residential</t>
        </is>
      </c>
      <c r="E23" s="40" t="inlineStr">
        <is>
          <t>Door-to-Door</t>
        </is>
      </c>
      <c r="F23" s="40" t="inlineStr">
        <is>
          <t>HOA Direct</t>
        </is>
      </c>
      <c r="G23" s="40" t="inlineStr">
        <is>
          <t>Sarah Locklear</t>
        </is>
      </c>
      <c r="H23" s="49" t="n">
        <v>196</v>
      </c>
      <c r="I23" s="49" t="n">
        <v>120</v>
      </c>
      <c r="J23" s="49" t="n">
        <v>100</v>
      </c>
      <c r="K23" s="50" t="n">
        <v>7900</v>
      </c>
      <c r="L23" s="49" t="n">
        <v>370</v>
      </c>
    </row>
    <row r="24">
      <c r="A24" s="40" t="inlineStr">
        <is>
          <t>Oct-2025</t>
        </is>
      </c>
      <c r="B24" s="48" t="n">
        <v>4</v>
      </c>
      <c r="C24" s="40" t="inlineStr">
        <is>
          <t>Cumberland</t>
        </is>
      </c>
      <c r="D24" s="40" t="inlineStr">
        <is>
          <t>Residential</t>
        </is>
      </c>
      <c r="E24" s="40" t="inlineStr">
        <is>
          <t>HOA/Developer</t>
        </is>
      </c>
      <c r="F24" s="40" t="inlineStr">
        <is>
          <t>Referral Rewards</t>
        </is>
      </c>
      <c r="G24" s="40" t="inlineStr">
        <is>
          <t>Sarah Locklear</t>
        </is>
      </c>
      <c r="H24" s="49" t="n">
        <v>136</v>
      </c>
      <c r="I24" s="49" t="n">
        <v>91</v>
      </c>
      <c r="J24" s="49" t="n">
        <v>63</v>
      </c>
      <c r="K24" s="50" t="n">
        <v>4977</v>
      </c>
      <c r="L24" s="49" t="n">
        <v>46</v>
      </c>
    </row>
    <row r="25">
      <c r="A25" s="40" t="inlineStr">
        <is>
          <t>Oct-2025</t>
        </is>
      </c>
      <c r="B25" s="48" t="n">
        <v>4</v>
      </c>
      <c r="C25" s="40" t="inlineStr">
        <is>
          <t>Scotland</t>
        </is>
      </c>
      <c r="D25" s="40" t="inlineStr">
        <is>
          <t>Business</t>
        </is>
      </c>
      <c r="E25" s="40" t="inlineStr">
        <is>
          <t>Event</t>
        </is>
      </c>
      <c r="F25" s="40" t="inlineStr">
        <is>
          <t>Referral Rewards</t>
        </is>
      </c>
      <c r="G25" s="40" t="inlineStr">
        <is>
          <t>Derek Oxendine</t>
        </is>
      </c>
      <c r="H25" s="49" t="n">
        <v>194</v>
      </c>
      <c r="I25" s="49" t="n">
        <v>113</v>
      </c>
      <c r="J25" s="49" t="n">
        <v>85</v>
      </c>
      <c r="K25" s="50" t="n">
        <v>15300</v>
      </c>
      <c r="L25" s="49" t="n">
        <v>44</v>
      </c>
    </row>
    <row r="26">
      <c r="A26" s="40" t="inlineStr">
        <is>
          <t>Oct-2025</t>
        </is>
      </c>
      <c r="B26" s="48" t="n">
        <v>4</v>
      </c>
      <c r="C26" s="40" t="inlineStr">
        <is>
          <t>Bladen</t>
        </is>
      </c>
      <c r="D26" s="40" t="inlineStr">
        <is>
          <t>Residential</t>
        </is>
      </c>
      <c r="E26" s="40" t="inlineStr">
        <is>
          <t>Inbound Call</t>
        </is>
      </c>
      <c r="F26" s="40" t="inlineStr">
        <is>
          <t>BEAD Awareness</t>
        </is>
      </c>
      <c r="G26" s="40" t="inlineStr">
        <is>
          <t>Derek Oxendine</t>
        </is>
      </c>
      <c r="H26" s="49" t="n">
        <v>159</v>
      </c>
      <c r="I26" s="49" t="n">
        <v>107</v>
      </c>
      <c r="J26" s="49" t="n">
        <v>75</v>
      </c>
      <c r="K26" s="50" t="n">
        <v>5925</v>
      </c>
      <c r="L26" s="49" t="n">
        <v>39</v>
      </c>
    </row>
    <row r="27">
      <c r="A27" s="40" t="inlineStr">
        <is>
          <t>Oct-2025</t>
        </is>
      </c>
      <c r="B27" s="48" t="n">
        <v>4</v>
      </c>
      <c r="C27" s="40" t="inlineStr">
        <is>
          <t>Columbus</t>
        </is>
      </c>
      <c r="D27" s="40" t="inlineStr">
        <is>
          <t>Residential</t>
        </is>
      </c>
      <c r="E27" s="40" t="inlineStr">
        <is>
          <t>Referral</t>
        </is>
      </c>
      <c r="F27" s="40" t="inlineStr">
        <is>
          <t>HOA Direct</t>
        </is>
      </c>
      <c r="G27" s="40" t="inlineStr">
        <is>
          <t>Maria Lopez</t>
        </is>
      </c>
      <c r="H27" s="49" t="n">
        <v>185</v>
      </c>
      <c r="I27" s="49" t="n">
        <v>119</v>
      </c>
      <c r="J27" s="49" t="n">
        <v>92</v>
      </c>
      <c r="K27" s="50" t="n">
        <v>7268</v>
      </c>
      <c r="L27" s="49" t="n">
        <v>13</v>
      </c>
    </row>
    <row r="28">
      <c r="A28" s="40" t="inlineStr">
        <is>
          <t>Nov-2025</t>
        </is>
      </c>
      <c r="B28" s="48" t="n">
        <v>5</v>
      </c>
      <c r="C28" s="40" t="inlineStr">
        <is>
          <t>Robeson</t>
        </is>
      </c>
      <c r="D28" s="40" t="inlineStr">
        <is>
          <t>Residential</t>
        </is>
      </c>
      <c r="E28" s="40" t="inlineStr">
        <is>
          <t>HOA/Developer</t>
        </is>
      </c>
      <c r="F28" s="40" t="inlineStr">
        <is>
          <t>BEAD Awareness</t>
        </is>
      </c>
      <c r="G28" s="40" t="inlineStr">
        <is>
          <t>Maria Lopez</t>
        </is>
      </c>
      <c r="H28" s="49" t="n">
        <v>198</v>
      </c>
      <c r="I28" s="49" t="n">
        <v>103</v>
      </c>
      <c r="J28" s="49" t="n">
        <v>77</v>
      </c>
      <c r="K28" s="50" t="n">
        <v>6083</v>
      </c>
      <c r="L28" s="49" t="n">
        <v>42</v>
      </c>
    </row>
    <row r="29">
      <c r="A29" s="40" t="inlineStr">
        <is>
          <t>Nov-2025</t>
        </is>
      </c>
      <c r="B29" s="48" t="n">
        <v>5</v>
      </c>
      <c r="C29" s="40" t="inlineStr">
        <is>
          <t>Hoke</t>
        </is>
      </c>
      <c r="D29" s="40" t="inlineStr">
        <is>
          <t>Residential</t>
        </is>
      </c>
      <c r="E29" s="40" t="inlineStr">
        <is>
          <t>Website</t>
        </is>
      </c>
      <c r="F29" s="40" t="inlineStr">
        <is>
          <t>Spring Fiber Push</t>
        </is>
      </c>
      <c r="G29" s="40" t="inlineStr">
        <is>
          <t>James Carter</t>
        </is>
      </c>
      <c r="H29" s="49" t="n">
        <v>167</v>
      </c>
      <c r="I29" s="49" t="n">
        <v>109</v>
      </c>
      <c r="J29" s="49" t="n">
        <v>82</v>
      </c>
      <c r="K29" s="50" t="n">
        <v>6478</v>
      </c>
      <c r="L29" s="49" t="n">
        <v>51</v>
      </c>
    </row>
    <row r="30">
      <c r="A30" s="40" t="inlineStr">
        <is>
          <t>Nov-2025</t>
        </is>
      </c>
      <c r="B30" s="48" t="n">
        <v>5</v>
      </c>
      <c r="C30" s="40" t="inlineStr">
        <is>
          <t>Cumberland</t>
        </is>
      </c>
      <c r="D30" s="40" t="inlineStr">
        <is>
          <t>Residential</t>
        </is>
      </c>
      <c r="E30" s="40" t="inlineStr">
        <is>
          <t>Door-to-Door</t>
        </is>
      </c>
      <c r="F30" s="40" t="inlineStr">
        <is>
          <t>Spring Fiber Push</t>
        </is>
      </c>
      <c r="G30" s="40" t="inlineStr">
        <is>
          <t>James Carter</t>
        </is>
      </c>
      <c r="H30" s="49" t="n">
        <v>231</v>
      </c>
      <c r="I30" s="49" t="n">
        <v>123</v>
      </c>
      <c r="J30" s="49" t="n">
        <v>85</v>
      </c>
      <c r="K30" s="50" t="n">
        <v>6715</v>
      </c>
      <c r="L30" s="49" t="n">
        <v>585</v>
      </c>
    </row>
    <row r="31">
      <c r="A31" s="40" t="inlineStr">
        <is>
          <t>Nov-2025</t>
        </is>
      </c>
      <c r="B31" s="48" t="n">
        <v>5</v>
      </c>
      <c r="C31" s="40" t="inlineStr">
        <is>
          <t>Scotland</t>
        </is>
      </c>
      <c r="D31" s="40" t="inlineStr">
        <is>
          <t>Residential</t>
        </is>
      </c>
      <c r="E31" s="40" t="inlineStr">
        <is>
          <t>Referral</t>
        </is>
      </c>
      <c r="F31" s="40" t="inlineStr">
        <is>
          <t>Business Connect</t>
        </is>
      </c>
      <c r="G31" s="40" t="inlineStr">
        <is>
          <t>Sarah Locklear</t>
        </is>
      </c>
      <c r="H31" s="49" t="n">
        <v>177</v>
      </c>
      <c r="I31" s="49" t="n">
        <v>98</v>
      </c>
      <c r="J31" s="49" t="n">
        <v>78</v>
      </c>
      <c r="K31" s="50" t="n">
        <v>6162</v>
      </c>
      <c r="L31" s="49" t="n">
        <v>31</v>
      </c>
    </row>
    <row r="32">
      <c r="A32" s="40" t="inlineStr">
        <is>
          <t>Nov-2025</t>
        </is>
      </c>
      <c r="B32" s="48" t="n">
        <v>5</v>
      </c>
      <c r="C32" s="40" t="inlineStr">
        <is>
          <t>Bladen</t>
        </is>
      </c>
      <c r="D32" s="40" t="inlineStr">
        <is>
          <t>Residential</t>
        </is>
      </c>
      <c r="E32" s="40" t="inlineStr">
        <is>
          <t>Inbound Call</t>
        </is>
      </c>
      <c r="F32" s="40" t="inlineStr">
        <is>
          <t>Spring Fiber Push</t>
        </is>
      </c>
      <c r="G32" s="40" t="inlineStr">
        <is>
          <t>Maria Lopez</t>
        </is>
      </c>
      <c r="H32" s="49" t="n">
        <v>170</v>
      </c>
      <c r="I32" s="49" t="n">
        <v>112</v>
      </c>
      <c r="J32" s="49" t="n">
        <v>77</v>
      </c>
      <c r="K32" s="50" t="n">
        <v>6083</v>
      </c>
      <c r="L32" s="49" t="n">
        <v>11</v>
      </c>
    </row>
    <row r="33">
      <c r="A33" s="40" t="inlineStr">
        <is>
          <t>Nov-2025</t>
        </is>
      </c>
      <c r="B33" s="48" t="n">
        <v>5</v>
      </c>
      <c r="C33" s="40" t="inlineStr">
        <is>
          <t>Columbus</t>
        </is>
      </c>
      <c r="D33" s="40" t="inlineStr">
        <is>
          <t>Business</t>
        </is>
      </c>
      <c r="E33" s="40" t="inlineStr">
        <is>
          <t>HOA/Developer</t>
        </is>
      </c>
      <c r="F33" s="40" t="inlineStr">
        <is>
          <t>HOA Direct</t>
        </is>
      </c>
      <c r="G33" s="40" t="inlineStr">
        <is>
          <t>Derek Oxendine</t>
        </is>
      </c>
      <c r="H33" s="49" t="n">
        <v>181</v>
      </c>
      <c r="I33" s="49" t="n">
        <v>80</v>
      </c>
      <c r="J33" s="49" t="n">
        <v>69</v>
      </c>
      <c r="K33" s="50" t="n">
        <v>12420</v>
      </c>
      <c r="L33" s="49" t="n">
        <v>15</v>
      </c>
    </row>
    <row r="34">
      <c r="A34" s="40" t="inlineStr">
        <is>
          <t>Dec-2025</t>
        </is>
      </c>
      <c r="B34" s="48" t="n">
        <v>6</v>
      </c>
      <c r="C34" s="40" t="inlineStr">
        <is>
          <t>Robeson</t>
        </is>
      </c>
      <c r="D34" s="40" t="inlineStr">
        <is>
          <t>Residential</t>
        </is>
      </c>
      <c r="E34" s="40" t="inlineStr">
        <is>
          <t>Referral</t>
        </is>
      </c>
      <c r="F34" s="40" t="inlineStr">
        <is>
          <t>HOA Direct</t>
        </is>
      </c>
      <c r="G34" s="40" t="inlineStr">
        <is>
          <t>Sarah Locklear</t>
        </is>
      </c>
      <c r="H34" s="49" t="n">
        <v>213</v>
      </c>
      <c r="I34" s="49" t="n">
        <v>113</v>
      </c>
      <c r="J34" s="49" t="n">
        <v>78</v>
      </c>
      <c r="K34" s="50" t="n">
        <v>6162</v>
      </c>
      <c r="L34" s="49" t="n">
        <v>28</v>
      </c>
    </row>
    <row r="35">
      <c r="A35" s="40" t="inlineStr">
        <is>
          <t>Dec-2025</t>
        </is>
      </c>
      <c r="B35" s="48" t="n">
        <v>6</v>
      </c>
      <c r="C35" s="40" t="inlineStr">
        <is>
          <t>Hoke</t>
        </is>
      </c>
      <c r="D35" s="40" t="inlineStr">
        <is>
          <t>Business</t>
        </is>
      </c>
      <c r="E35" s="40" t="inlineStr">
        <is>
          <t>HOA/Developer</t>
        </is>
      </c>
      <c r="F35" s="40" t="inlineStr">
        <is>
          <t>Business Connect</t>
        </is>
      </c>
      <c r="G35" s="40" t="inlineStr">
        <is>
          <t>Derek Oxendine</t>
        </is>
      </c>
      <c r="H35" s="49" t="n">
        <v>138</v>
      </c>
      <c r="I35" s="49" t="n">
        <v>77</v>
      </c>
      <c r="J35" s="49" t="n">
        <v>53</v>
      </c>
      <c r="K35" s="50" t="n">
        <v>9540</v>
      </c>
      <c r="L35" s="49" t="n">
        <v>53</v>
      </c>
    </row>
    <row r="36">
      <c r="A36" s="40" t="inlineStr">
        <is>
          <t>Dec-2025</t>
        </is>
      </c>
      <c r="B36" s="48" t="n">
        <v>6</v>
      </c>
      <c r="C36" s="40" t="inlineStr">
        <is>
          <t>Cumberland</t>
        </is>
      </c>
      <c r="D36" s="40" t="inlineStr">
        <is>
          <t>Residential</t>
        </is>
      </c>
      <c r="E36" s="40" t="inlineStr">
        <is>
          <t>Event</t>
        </is>
      </c>
      <c r="F36" s="40" t="inlineStr">
        <is>
          <t>Business Connect</t>
        </is>
      </c>
      <c r="G36" s="40" t="inlineStr">
        <is>
          <t>James Carter</t>
        </is>
      </c>
      <c r="H36" s="49" t="n">
        <v>165</v>
      </c>
      <c r="I36" s="49" t="n">
        <v>79</v>
      </c>
      <c r="J36" s="49" t="n">
        <v>54</v>
      </c>
      <c r="K36" s="50" t="n">
        <v>4266</v>
      </c>
      <c r="L36" s="49" t="n">
        <v>4</v>
      </c>
    </row>
    <row r="37">
      <c r="A37" s="40" t="inlineStr">
        <is>
          <t>Dec-2025</t>
        </is>
      </c>
      <c r="B37" s="48" t="n">
        <v>6</v>
      </c>
      <c r="C37" s="40" t="inlineStr">
        <is>
          <t>Scotland</t>
        </is>
      </c>
      <c r="D37" s="40" t="inlineStr">
        <is>
          <t>Residential</t>
        </is>
      </c>
      <c r="E37" s="40" t="inlineStr">
        <is>
          <t>Inbound Call</t>
        </is>
      </c>
      <c r="F37" s="40" t="inlineStr">
        <is>
          <t>Referral Rewards</t>
        </is>
      </c>
      <c r="G37" s="40" t="inlineStr">
        <is>
          <t>Tanya Hunt</t>
        </is>
      </c>
      <c r="H37" s="49" t="n">
        <v>191</v>
      </c>
      <c r="I37" s="49" t="n">
        <v>92</v>
      </c>
      <c r="J37" s="49" t="n">
        <v>64</v>
      </c>
      <c r="K37" s="50" t="n">
        <v>5056</v>
      </c>
      <c r="L37" s="49" t="n">
        <v>5</v>
      </c>
    </row>
    <row r="38">
      <c r="A38" s="40" t="inlineStr">
        <is>
          <t>Dec-2025</t>
        </is>
      </c>
      <c r="B38" s="48" t="n">
        <v>6</v>
      </c>
      <c r="C38" s="40" t="inlineStr">
        <is>
          <t>Bladen</t>
        </is>
      </c>
      <c r="D38" s="40" t="inlineStr">
        <is>
          <t>Residential</t>
        </is>
      </c>
      <c r="E38" s="40" t="inlineStr">
        <is>
          <t>Inbound Call</t>
        </is>
      </c>
      <c r="F38" s="40" t="inlineStr">
        <is>
          <t>Business Connect</t>
        </is>
      </c>
      <c r="G38" s="40" t="inlineStr">
        <is>
          <t>James Carter</t>
        </is>
      </c>
      <c r="H38" s="49" t="n">
        <v>125</v>
      </c>
      <c r="I38" s="49" t="n">
        <v>87</v>
      </c>
      <c r="J38" s="49" t="n">
        <v>66</v>
      </c>
      <c r="K38" s="50" t="n">
        <v>5214</v>
      </c>
      <c r="L38" s="49" t="n">
        <v>26</v>
      </c>
    </row>
    <row r="39">
      <c r="A39" s="40" t="inlineStr">
        <is>
          <t>Dec-2025</t>
        </is>
      </c>
      <c r="B39" s="48" t="n">
        <v>6</v>
      </c>
      <c r="C39" s="40" t="inlineStr">
        <is>
          <t>Columbus</t>
        </is>
      </c>
      <c r="D39" s="40" t="inlineStr">
        <is>
          <t>Residential</t>
        </is>
      </c>
      <c r="E39" s="40" t="inlineStr">
        <is>
          <t>Event</t>
        </is>
      </c>
      <c r="F39" s="40" t="inlineStr">
        <is>
          <t>Business Connect</t>
        </is>
      </c>
      <c r="G39" s="40" t="inlineStr">
        <is>
          <t>Derek Oxendine</t>
        </is>
      </c>
      <c r="H39" s="49" t="n">
        <v>134</v>
      </c>
      <c r="I39" s="49" t="n">
        <v>78</v>
      </c>
      <c r="J39" s="49" t="n">
        <v>67</v>
      </c>
      <c r="K39" s="50" t="n">
        <v>5293</v>
      </c>
      <c r="L39" s="49" t="n">
        <v>53</v>
      </c>
    </row>
    <row r="40">
      <c r="A40" s="40" t="inlineStr">
        <is>
          <t>Jan-2026</t>
        </is>
      </c>
      <c r="B40" s="48" t="n">
        <v>7</v>
      </c>
      <c r="C40" s="40" t="inlineStr">
        <is>
          <t>Robeson</t>
        </is>
      </c>
      <c r="D40" s="40" t="inlineStr">
        <is>
          <t>Residential</t>
        </is>
      </c>
      <c r="E40" s="40" t="inlineStr">
        <is>
          <t>Door-to-Door</t>
        </is>
      </c>
      <c r="F40" s="40" t="inlineStr">
        <is>
          <t>Referral Rewards</t>
        </is>
      </c>
      <c r="G40" s="40" t="inlineStr">
        <is>
          <t>Tanya Hunt</t>
        </is>
      </c>
      <c r="H40" s="49" t="n">
        <v>186</v>
      </c>
      <c r="I40" s="49" t="n">
        <v>103</v>
      </c>
      <c r="J40" s="49" t="n">
        <v>71</v>
      </c>
      <c r="K40" s="50" t="n">
        <v>5609</v>
      </c>
      <c r="L40" s="49" t="n">
        <v>425</v>
      </c>
    </row>
    <row r="41">
      <c r="A41" s="40" t="inlineStr">
        <is>
          <t>Jan-2026</t>
        </is>
      </c>
      <c r="B41" s="48" t="n">
        <v>7</v>
      </c>
      <c r="C41" s="40" t="inlineStr">
        <is>
          <t>Hoke</t>
        </is>
      </c>
      <c r="D41" s="40" t="inlineStr">
        <is>
          <t>Residential</t>
        </is>
      </c>
      <c r="E41" s="40" t="inlineStr">
        <is>
          <t>Event</t>
        </is>
      </c>
      <c r="F41" s="40" t="inlineStr">
        <is>
          <t>HOA Direct</t>
        </is>
      </c>
      <c r="G41" s="40" t="inlineStr">
        <is>
          <t>James Carter</t>
        </is>
      </c>
      <c r="H41" s="49" t="n">
        <v>186</v>
      </c>
      <c r="I41" s="49" t="n">
        <v>128</v>
      </c>
      <c r="J41" s="49" t="n">
        <v>89</v>
      </c>
      <c r="K41" s="50" t="n">
        <v>7031</v>
      </c>
      <c r="L41" s="49" t="n">
        <v>17</v>
      </c>
    </row>
    <row r="42">
      <c r="A42" s="40" t="inlineStr">
        <is>
          <t>Jan-2026</t>
        </is>
      </c>
      <c r="B42" s="48" t="n">
        <v>7</v>
      </c>
      <c r="C42" s="40" t="inlineStr">
        <is>
          <t>Cumberland</t>
        </is>
      </c>
      <c r="D42" s="40" t="inlineStr">
        <is>
          <t>Residential</t>
        </is>
      </c>
      <c r="E42" s="40" t="inlineStr">
        <is>
          <t>Door-to-Door</t>
        </is>
      </c>
      <c r="F42" s="40" t="inlineStr">
        <is>
          <t>Business Connect</t>
        </is>
      </c>
      <c r="G42" s="40" t="inlineStr">
        <is>
          <t>Tanya Hunt</t>
        </is>
      </c>
      <c r="H42" s="49" t="n">
        <v>161</v>
      </c>
      <c r="I42" s="49" t="n">
        <v>110</v>
      </c>
      <c r="J42" s="49" t="n">
        <v>77</v>
      </c>
      <c r="K42" s="50" t="n">
        <v>6083</v>
      </c>
      <c r="L42" s="49" t="n">
        <v>580</v>
      </c>
    </row>
    <row r="43">
      <c r="A43" s="40" t="inlineStr">
        <is>
          <t>Jan-2026</t>
        </is>
      </c>
      <c r="B43" s="48" t="n">
        <v>7</v>
      </c>
      <c r="C43" s="40" t="inlineStr">
        <is>
          <t>Scotland</t>
        </is>
      </c>
      <c r="D43" s="40" t="inlineStr">
        <is>
          <t>Residential</t>
        </is>
      </c>
      <c r="E43" s="40" t="inlineStr">
        <is>
          <t>Inbound Call</t>
        </is>
      </c>
      <c r="F43" s="40" t="inlineStr">
        <is>
          <t>HOA Direct</t>
        </is>
      </c>
      <c r="G43" s="40" t="inlineStr">
        <is>
          <t>Sarah Locklear</t>
        </is>
      </c>
      <c r="H43" s="49" t="n">
        <v>170</v>
      </c>
      <c r="I43" s="49" t="n">
        <v>90</v>
      </c>
      <c r="J43" s="49" t="n">
        <v>81</v>
      </c>
      <c r="K43" s="50" t="n">
        <v>6399</v>
      </c>
      <c r="L43" s="49" t="n">
        <v>37</v>
      </c>
    </row>
    <row r="44">
      <c r="A44" s="40" t="inlineStr">
        <is>
          <t>Jan-2026</t>
        </is>
      </c>
      <c r="B44" s="48" t="n">
        <v>7</v>
      </c>
      <c r="C44" s="40" t="inlineStr">
        <is>
          <t>Bladen</t>
        </is>
      </c>
      <c r="D44" s="40" t="inlineStr">
        <is>
          <t>Residential</t>
        </is>
      </c>
      <c r="E44" s="40" t="inlineStr">
        <is>
          <t>Door-to-Door</t>
        </is>
      </c>
      <c r="F44" s="40" t="inlineStr">
        <is>
          <t>Spring Fiber Push</t>
        </is>
      </c>
      <c r="G44" s="40" t="inlineStr">
        <is>
          <t>Derek Oxendine</t>
        </is>
      </c>
      <c r="H44" s="49" t="n">
        <v>192</v>
      </c>
      <c r="I44" s="49" t="n">
        <v>103</v>
      </c>
      <c r="J44" s="49" t="n">
        <v>87</v>
      </c>
      <c r="K44" s="50" t="n">
        <v>6873</v>
      </c>
      <c r="L44" s="49" t="n">
        <v>243</v>
      </c>
    </row>
    <row r="45">
      <c r="A45" s="40" t="inlineStr">
        <is>
          <t>Jan-2026</t>
        </is>
      </c>
      <c r="B45" s="48" t="n">
        <v>7</v>
      </c>
      <c r="C45" s="40" t="inlineStr">
        <is>
          <t>Columbus</t>
        </is>
      </c>
      <c r="D45" s="40" t="inlineStr">
        <is>
          <t>Residential</t>
        </is>
      </c>
      <c r="E45" s="40" t="inlineStr">
        <is>
          <t>Referral</t>
        </is>
      </c>
      <c r="F45" s="40" t="inlineStr">
        <is>
          <t>Referral Rewards</t>
        </is>
      </c>
      <c r="G45" s="40" t="inlineStr">
        <is>
          <t>James Carter</t>
        </is>
      </c>
      <c r="H45" s="49" t="n">
        <v>192</v>
      </c>
      <c r="I45" s="49" t="n">
        <v>121</v>
      </c>
      <c r="J45" s="49" t="n">
        <v>84</v>
      </c>
      <c r="K45" s="50" t="n">
        <v>6636</v>
      </c>
      <c r="L45" s="49" t="n">
        <v>21</v>
      </c>
    </row>
    <row r="46">
      <c r="A46" s="40" t="inlineStr">
        <is>
          <t>Feb-2026</t>
        </is>
      </c>
      <c r="B46" s="48" t="n">
        <v>8</v>
      </c>
      <c r="C46" s="40" t="inlineStr">
        <is>
          <t>Robeson</t>
        </is>
      </c>
      <c r="D46" s="40" t="inlineStr">
        <is>
          <t>Residential</t>
        </is>
      </c>
      <c r="E46" s="40" t="inlineStr">
        <is>
          <t>Event</t>
        </is>
      </c>
      <c r="F46" s="40" t="inlineStr">
        <is>
          <t>Spring Fiber Push</t>
        </is>
      </c>
      <c r="G46" s="40" t="inlineStr">
        <is>
          <t>Tanya Hunt</t>
        </is>
      </c>
      <c r="H46" s="49" t="n">
        <v>136</v>
      </c>
      <c r="I46" s="49" t="n">
        <v>98</v>
      </c>
      <c r="J46" s="49" t="n">
        <v>76</v>
      </c>
      <c r="K46" s="50" t="n">
        <v>6004</v>
      </c>
      <c r="L46" s="49" t="n">
        <v>49</v>
      </c>
    </row>
    <row r="47">
      <c r="A47" s="40" t="inlineStr">
        <is>
          <t>Feb-2026</t>
        </is>
      </c>
      <c r="B47" s="48" t="n">
        <v>8</v>
      </c>
      <c r="C47" s="40" t="inlineStr">
        <is>
          <t>Hoke</t>
        </is>
      </c>
      <c r="D47" s="40" t="inlineStr">
        <is>
          <t>Business</t>
        </is>
      </c>
      <c r="E47" s="40" t="inlineStr">
        <is>
          <t>Door-to-Door</t>
        </is>
      </c>
      <c r="F47" s="40" t="inlineStr">
        <is>
          <t>Spring Fiber Push</t>
        </is>
      </c>
      <c r="G47" s="40" t="inlineStr">
        <is>
          <t>James Carter</t>
        </is>
      </c>
      <c r="H47" s="49" t="n">
        <v>116</v>
      </c>
      <c r="I47" s="49" t="n">
        <v>84</v>
      </c>
      <c r="J47" s="49" t="n">
        <v>64</v>
      </c>
      <c r="K47" s="50" t="n">
        <v>11520</v>
      </c>
      <c r="L47" s="49" t="n">
        <v>468</v>
      </c>
    </row>
    <row r="48">
      <c r="A48" s="40" t="inlineStr">
        <is>
          <t>Feb-2026</t>
        </is>
      </c>
      <c r="B48" s="48" t="n">
        <v>8</v>
      </c>
      <c r="C48" s="40" t="inlineStr">
        <is>
          <t>Cumberland</t>
        </is>
      </c>
      <c r="D48" s="40" t="inlineStr">
        <is>
          <t>Residential</t>
        </is>
      </c>
      <c r="E48" s="40" t="inlineStr">
        <is>
          <t>Inbound Call</t>
        </is>
      </c>
      <c r="F48" s="40" t="inlineStr">
        <is>
          <t>Business Connect</t>
        </is>
      </c>
      <c r="G48" s="40" t="inlineStr">
        <is>
          <t>Maria Lopez</t>
        </is>
      </c>
      <c r="H48" s="49" t="n">
        <v>186</v>
      </c>
      <c r="I48" s="49" t="n">
        <v>97</v>
      </c>
      <c r="J48" s="49" t="n">
        <v>76</v>
      </c>
      <c r="K48" s="50" t="n">
        <v>6004</v>
      </c>
      <c r="L48" s="49" t="n">
        <v>44</v>
      </c>
    </row>
    <row r="49">
      <c r="A49" s="40" t="inlineStr">
        <is>
          <t>Feb-2026</t>
        </is>
      </c>
      <c r="B49" s="48" t="n">
        <v>8</v>
      </c>
      <c r="C49" s="40" t="inlineStr">
        <is>
          <t>Scotland</t>
        </is>
      </c>
      <c r="D49" s="40" t="inlineStr">
        <is>
          <t>Residential</t>
        </is>
      </c>
      <c r="E49" s="40" t="inlineStr">
        <is>
          <t>Website</t>
        </is>
      </c>
      <c r="F49" s="40" t="inlineStr">
        <is>
          <t>BEAD Awareness</t>
        </is>
      </c>
      <c r="G49" s="40" t="inlineStr">
        <is>
          <t>Sarah Locklear</t>
        </is>
      </c>
      <c r="H49" s="49" t="n">
        <v>144</v>
      </c>
      <c r="I49" s="49" t="n">
        <v>94</v>
      </c>
      <c r="J49" s="49" t="n">
        <v>79</v>
      </c>
      <c r="K49" s="50" t="n">
        <v>6241</v>
      </c>
      <c r="L49" s="49" t="n">
        <v>19</v>
      </c>
    </row>
    <row r="50">
      <c r="A50" s="40" t="inlineStr">
        <is>
          <t>Feb-2026</t>
        </is>
      </c>
      <c r="B50" s="48" t="n">
        <v>8</v>
      </c>
      <c r="C50" s="40" t="inlineStr">
        <is>
          <t>Bladen</t>
        </is>
      </c>
      <c r="D50" s="40" t="inlineStr">
        <is>
          <t>Residential</t>
        </is>
      </c>
      <c r="E50" s="40" t="inlineStr">
        <is>
          <t>Door-to-Door</t>
        </is>
      </c>
      <c r="F50" s="40" t="inlineStr">
        <is>
          <t>Referral Rewards</t>
        </is>
      </c>
      <c r="G50" s="40" t="inlineStr">
        <is>
          <t>Sarah Locklear</t>
        </is>
      </c>
      <c r="H50" s="49" t="n">
        <v>172</v>
      </c>
      <c r="I50" s="49" t="n">
        <v>92</v>
      </c>
      <c r="J50" s="49" t="n">
        <v>60</v>
      </c>
      <c r="K50" s="50" t="n">
        <v>4740</v>
      </c>
      <c r="L50" s="49" t="n">
        <v>516</v>
      </c>
    </row>
    <row r="51">
      <c r="A51" s="40" t="inlineStr">
        <is>
          <t>Feb-2026</t>
        </is>
      </c>
      <c r="B51" s="48" t="n">
        <v>8</v>
      </c>
      <c r="C51" s="40" t="inlineStr">
        <is>
          <t>Columbus</t>
        </is>
      </c>
      <c r="D51" s="40" t="inlineStr">
        <is>
          <t>Residential</t>
        </is>
      </c>
      <c r="E51" s="40" t="inlineStr">
        <is>
          <t>Event</t>
        </is>
      </c>
      <c r="F51" s="40" t="inlineStr">
        <is>
          <t>BEAD Awareness</t>
        </is>
      </c>
      <c r="G51" s="40" t="inlineStr">
        <is>
          <t>Maria Lopez</t>
        </is>
      </c>
      <c r="H51" s="49" t="n">
        <v>187</v>
      </c>
      <c r="I51" s="49" t="n">
        <v>81</v>
      </c>
      <c r="J51" s="49" t="n">
        <v>54</v>
      </c>
      <c r="K51" s="50" t="n">
        <v>4266</v>
      </c>
      <c r="L51" s="49" t="n">
        <v>51</v>
      </c>
    </row>
    <row r="52">
      <c r="A52" s="40" t="inlineStr">
        <is>
          <t>Mar-2026</t>
        </is>
      </c>
      <c r="B52" s="48" t="n">
        <v>9</v>
      </c>
      <c r="C52" s="40" t="inlineStr">
        <is>
          <t>Robeson</t>
        </is>
      </c>
      <c r="D52" s="40" t="inlineStr">
        <is>
          <t>Residential</t>
        </is>
      </c>
      <c r="E52" s="40" t="inlineStr">
        <is>
          <t>Website</t>
        </is>
      </c>
      <c r="F52" s="40" t="inlineStr">
        <is>
          <t>Spring Fiber Push</t>
        </is>
      </c>
      <c r="G52" s="40" t="inlineStr">
        <is>
          <t>Derek Oxendine</t>
        </is>
      </c>
      <c r="H52" s="49" t="n">
        <v>147</v>
      </c>
      <c r="I52" s="49" t="n">
        <v>104</v>
      </c>
      <c r="J52" s="49" t="n">
        <v>65</v>
      </c>
      <c r="K52" s="50" t="n">
        <v>5135</v>
      </c>
      <c r="L52" s="49" t="n">
        <v>27</v>
      </c>
    </row>
    <row r="53">
      <c r="A53" s="40" t="inlineStr">
        <is>
          <t>Mar-2026</t>
        </is>
      </c>
      <c r="B53" s="48" t="n">
        <v>9</v>
      </c>
      <c r="C53" s="40" t="inlineStr">
        <is>
          <t>Hoke</t>
        </is>
      </c>
      <c r="D53" s="40" t="inlineStr">
        <is>
          <t>Enterprise</t>
        </is>
      </c>
      <c r="E53" s="40" t="inlineStr">
        <is>
          <t>HOA/Developer</t>
        </is>
      </c>
      <c r="F53" s="40" t="inlineStr">
        <is>
          <t>Business Connect</t>
        </is>
      </c>
      <c r="G53" s="40" t="inlineStr">
        <is>
          <t>James Carter</t>
        </is>
      </c>
      <c r="H53" s="49" t="n">
        <v>184</v>
      </c>
      <c r="I53" s="49" t="n">
        <v>132</v>
      </c>
      <c r="J53" s="49" t="n">
        <v>97</v>
      </c>
      <c r="K53" s="50" t="n">
        <v>82450</v>
      </c>
      <c r="L53" s="49" t="n">
        <v>46</v>
      </c>
    </row>
    <row r="54">
      <c r="A54" s="40" t="inlineStr">
        <is>
          <t>Mar-2026</t>
        </is>
      </c>
      <c r="B54" s="48" t="n">
        <v>9</v>
      </c>
      <c r="C54" s="40" t="inlineStr">
        <is>
          <t>Cumberland</t>
        </is>
      </c>
      <c r="D54" s="40" t="inlineStr">
        <is>
          <t>Residential</t>
        </is>
      </c>
      <c r="E54" s="40" t="inlineStr">
        <is>
          <t>HOA/Developer</t>
        </is>
      </c>
      <c r="F54" s="40" t="inlineStr">
        <is>
          <t>Referral Rewards</t>
        </is>
      </c>
      <c r="G54" s="40" t="inlineStr">
        <is>
          <t>Sarah Locklear</t>
        </is>
      </c>
      <c r="H54" s="49" t="n">
        <v>216</v>
      </c>
      <c r="I54" s="49" t="n">
        <v>127</v>
      </c>
      <c r="J54" s="49" t="n">
        <v>89</v>
      </c>
      <c r="K54" s="50" t="n">
        <v>7031</v>
      </c>
      <c r="L54" s="49" t="n">
        <v>27</v>
      </c>
    </row>
    <row r="55">
      <c r="A55" s="40" t="inlineStr">
        <is>
          <t>Mar-2026</t>
        </is>
      </c>
      <c r="B55" s="48" t="n">
        <v>9</v>
      </c>
      <c r="C55" s="40" t="inlineStr">
        <is>
          <t>Scotland</t>
        </is>
      </c>
      <c r="D55" s="40" t="inlineStr">
        <is>
          <t>Business</t>
        </is>
      </c>
      <c r="E55" s="40" t="inlineStr">
        <is>
          <t>Event</t>
        </is>
      </c>
      <c r="F55" s="40" t="inlineStr">
        <is>
          <t>Referral Rewards</t>
        </is>
      </c>
      <c r="G55" s="40" t="inlineStr">
        <is>
          <t>Tanya Hunt</t>
        </is>
      </c>
      <c r="H55" s="49" t="n">
        <v>137</v>
      </c>
      <c r="I55" s="49" t="n">
        <v>96</v>
      </c>
      <c r="J55" s="49" t="n">
        <v>73</v>
      </c>
      <c r="K55" s="50" t="n">
        <v>13140</v>
      </c>
      <c r="L55" s="49" t="n">
        <v>17</v>
      </c>
    </row>
    <row r="56">
      <c r="A56" s="40" t="inlineStr">
        <is>
          <t>Mar-2026</t>
        </is>
      </c>
      <c r="B56" s="48" t="n">
        <v>9</v>
      </c>
      <c r="C56" s="40" t="inlineStr">
        <is>
          <t>Bladen</t>
        </is>
      </c>
      <c r="D56" s="40" t="inlineStr">
        <is>
          <t>Business</t>
        </is>
      </c>
      <c r="E56" s="40" t="inlineStr">
        <is>
          <t>Inbound Call</t>
        </is>
      </c>
      <c r="F56" s="40" t="inlineStr">
        <is>
          <t>Business Connect</t>
        </is>
      </c>
      <c r="G56" s="40" t="inlineStr">
        <is>
          <t>Sarah Locklear</t>
        </is>
      </c>
      <c r="H56" s="49" t="n">
        <v>181</v>
      </c>
      <c r="I56" s="49" t="n">
        <v>108</v>
      </c>
      <c r="J56" s="49" t="n">
        <v>76</v>
      </c>
      <c r="K56" s="50" t="n">
        <v>13680</v>
      </c>
      <c r="L56" s="49" t="n">
        <v>1</v>
      </c>
    </row>
    <row r="57">
      <c r="A57" s="40" t="inlineStr">
        <is>
          <t>Mar-2026</t>
        </is>
      </c>
      <c r="B57" s="48" t="n">
        <v>9</v>
      </c>
      <c r="C57" s="40" t="inlineStr">
        <is>
          <t>Columbus</t>
        </is>
      </c>
      <c r="D57" s="40" t="inlineStr">
        <is>
          <t>Residential</t>
        </is>
      </c>
      <c r="E57" s="40" t="inlineStr">
        <is>
          <t>Website</t>
        </is>
      </c>
      <c r="F57" s="40" t="inlineStr">
        <is>
          <t>BEAD Awareness</t>
        </is>
      </c>
      <c r="G57" s="40" t="inlineStr">
        <is>
          <t>Derek Oxendine</t>
        </is>
      </c>
      <c r="H57" s="49" t="n">
        <v>170</v>
      </c>
      <c r="I57" s="49" t="n">
        <v>95</v>
      </c>
      <c r="J57" s="49" t="n">
        <v>74</v>
      </c>
      <c r="K57" s="50" t="n">
        <v>5846</v>
      </c>
      <c r="L57" s="49" t="n">
        <v>51</v>
      </c>
    </row>
    <row r="58">
      <c r="A58" s="40" t="inlineStr">
        <is>
          <t>Apr-2026</t>
        </is>
      </c>
      <c r="B58" s="48" t="n">
        <v>10</v>
      </c>
      <c r="C58" s="40" t="inlineStr">
        <is>
          <t>Robeson</t>
        </is>
      </c>
      <c r="D58" s="40" t="inlineStr">
        <is>
          <t>Residential</t>
        </is>
      </c>
      <c r="E58" s="40" t="inlineStr">
        <is>
          <t>Inbound Call</t>
        </is>
      </c>
      <c r="F58" s="40" t="inlineStr">
        <is>
          <t>Business Connect</t>
        </is>
      </c>
      <c r="G58" s="40" t="inlineStr">
        <is>
          <t>Derek Oxendine</t>
        </is>
      </c>
      <c r="H58" s="49" t="n">
        <v>172</v>
      </c>
      <c r="I58" s="49" t="n">
        <v>82</v>
      </c>
      <c r="J58" s="49" t="n">
        <v>59</v>
      </c>
      <c r="K58" s="50" t="n">
        <v>4661</v>
      </c>
      <c r="L58" s="49" t="n">
        <v>41</v>
      </c>
    </row>
    <row r="59">
      <c r="A59" s="40" t="inlineStr">
        <is>
          <t>Apr-2026</t>
        </is>
      </c>
      <c r="B59" s="48" t="n">
        <v>10</v>
      </c>
      <c r="C59" s="40" t="inlineStr">
        <is>
          <t>Hoke</t>
        </is>
      </c>
      <c r="D59" s="40" t="inlineStr">
        <is>
          <t>Residential</t>
        </is>
      </c>
      <c r="E59" s="40" t="inlineStr">
        <is>
          <t>Referral</t>
        </is>
      </c>
      <c r="F59" s="40" t="inlineStr">
        <is>
          <t>Spring Fiber Push</t>
        </is>
      </c>
      <c r="G59" s="40" t="inlineStr">
        <is>
          <t>Maria Lopez</t>
        </is>
      </c>
      <c r="H59" s="49" t="n">
        <v>143</v>
      </c>
      <c r="I59" s="49" t="n">
        <v>85</v>
      </c>
      <c r="J59" s="49" t="n">
        <v>59</v>
      </c>
      <c r="K59" s="50" t="n">
        <v>4661</v>
      </c>
      <c r="L59" s="49" t="n">
        <v>25</v>
      </c>
    </row>
    <row r="60">
      <c r="A60" s="40" t="inlineStr">
        <is>
          <t>Apr-2026</t>
        </is>
      </c>
      <c r="B60" s="48" t="n">
        <v>10</v>
      </c>
      <c r="C60" s="40" t="inlineStr">
        <is>
          <t>Cumberland</t>
        </is>
      </c>
      <c r="D60" s="40" t="inlineStr">
        <is>
          <t>Residential</t>
        </is>
      </c>
      <c r="E60" s="40" t="inlineStr">
        <is>
          <t>Website</t>
        </is>
      </c>
      <c r="F60" s="40" t="inlineStr">
        <is>
          <t>HOA Direct</t>
        </is>
      </c>
      <c r="G60" s="40" t="inlineStr">
        <is>
          <t>Tanya Hunt</t>
        </is>
      </c>
      <c r="H60" s="49" t="n">
        <v>207</v>
      </c>
      <c r="I60" s="49" t="n">
        <v>107</v>
      </c>
      <c r="J60" s="49" t="n">
        <v>69</v>
      </c>
      <c r="K60" s="50" t="n">
        <v>5451</v>
      </c>
      <c r="L60" s="49" t="n">
        <v>33</v>
      </c>
    </row>
    <row r="61">
      <c r="A61" s="40" t="inlineStr">
        <is>
          <t>Apr-2026</t>
        </is>
      </c>
      <c r="B61" s="48" t="n">
        <v>10</v>
      </c>
      <c r="C61" s="40" t="inlineStr">
        <is>
          <t>Scotland</t>
        </is>
      </c>
      <c r="D61" s="40" t="inlineStr">
        <is>
          <t>Residential</t>
        </is>
      </c>
      <c r="E61" s="40" t="inlineStr">
        <is>
          <t>HOA/Developer</t>
        </is>
      </c>
      <c r="F61" s="40" t="inlineStr">
        <is>
          <t>HOA Direct</t>
        </is>
      </c>
      <c r="G61" s="40" t="inlineStr">
        <is>
          <t>Tanya Hunt</t>
        </is>
      </c>
      <c r="H61" s="49" t="n">
        <v>196</v>
      </c>
      <c r="I61" s="49" t="n">
        <v>108</v>
      </c>
      <c r="J61" s="49" t="n">
        <v>78</v>
      </c>
      <c r="K61" s="50" t="n">
        <v>6162</v>
      </c>
      <c r="L61" s="49" t="n">
        <v>17</v>
      </c>
    </row>
    <row r="62">
      <c r="A62" s="40" t="inlineStr">
        <is>
          <t>Apr-2026</t>
        </is>
      </c>
      <c r="B62" s="48" t="n">
        <v>10</v>
      </c>
      <c r="C62" s="40" t="inlineStr">
        <is>
          <t>Bladen</t>
        </is>
      </c>
      <c r="D62" s="40" t="inlineStr">
        <is>
          <t>Residential</t>
        </is>
      </c>
      <c r="E62" s="40" t="inlineStr">
        <is>
          <t>Inbound Call</t>
        </is>
      </c>
      <c r="F62" s="40" t="inlineStr">
        <is>
          <t>Spring Fiber Push</t>
        </is>
      </c>
      <c r="G62" s="40" t="inlineStr">
        <is>
          <t>James Carter</t>
        </is>
      </c>
      <c r="H62" s="49" t="n">
        <v>141</v>
      </c>
      <c r="I62" s="49" t="n">
        <v>96</v>
      </c>
      <c r="J62" s="49" t="n">
        <v>68</v>
      </c>
      <c r="K62" s="50" t="n">
        <v>5372</v>
      </c>
      <c r="L62" s="49" t="n">
        <v>47</v>
      </c>
    </row>
    <row r="63">
      <c r="A63" s="40" t="inlineStr">
        <is>
          <t>Apr-2026</t>
        </is>
      </c>
      <c r="B63" s="48" t="n">
        <v>10</v>
      </c>
      <c r="C63" s="40" t="inlineStr">
        <is>
          <t>Columbus</t>
        </is>
      </c>
      <c r="D63" s="40" t="inlineStr">
        <is>
          <t>Residential</t>
        </is>
      </c>
      <c r="E63" s="40" t="inlineStr">
        <is>
          <t>HOA/Developer</t>
        </is>
      </c>
      <c r="F63" s="40" t="inlineStr">
        <is>
          <t>BEAD Awareness</t>
        </is>
      </c>
      <c r="G63" s="40" t="inlineStr">
        <is>
          <t>James Carter</t>
        </is>
      </c>
      <c r="H63" s="49" t="n">
        <v>179</v>
      </c>
      <c r="I63" s="49" t="n">
        <v>88</v>
      </c>
      <c r="J63" s="49" t="n">
        <v>67</v>
      </c>
      <c r="K63" s="50" t="n">
        <v>5293</v>
      </c>
      <c r="L63" s="49" t="n">
        <v>17</v>
      </c>
    </row>
    <row r="64">
      <c r="A64" s="40" t="inlineStr">
        <is>
          <t>May-2026</t>
        </is>
      </c>
      <c r="B64" s="48" t="n">
        <v>11</v>
      </c>
      <c r="C64" s="40" t="inlineStr">
        <is>
          <t>Robeson</t>
        </is>
      </c>
      <c r="D64" s="40" t="inlineStr">
        <is>
          <t>Residential</t>
        </is>
      </c>
      <c r="E64" s="40" t="inlineStr">
        <is>
          <t>Inbound Call</t>
        </is>
      </c>
      <c r="F64" s="40" t="inlineStr">
        <is>
          <t>Referral Rewards</t>
        </is>
      </c>
      <c r="G64" s="40" t="inlineStr">
        <is>
          <t>Maria Lopez</t>
        </is>
      </c>
      <c r="H64" s="49" t="n">
        <v>162</v>
      </c>
      <c r="I64" s="49" t="n">
        <v>97</v>
      </c>
      <c r="J64" s="49" t="n">
        <v>81</v>
      </c>
      <c r="K64" s="50" t="n">
        <v>6399</v>
      </c>
      <c r="L64" s="49" t="n">
        <v>2</v>
      </c>
    </row>
    <row r="65">
      <c r="A65" s="40" t="inlineStr">
        <is>
          <t>May-2026</t>
        </is>
      </c>
      <c r="B65" s="48" t="n">
        <v>11</v>
      </c>
      <c r="C65" s="40" t="inlineStr">
        <is>
          <t>Hoke</t>
        </is>
      </c>
      <c r="D65" s="40" t="inlineStr">
        <is>
          <t>Enterprise</t>
        </is>
      </c>
      <c r="E65" s="40" t="inlineStr">
        <is>
          <t>Event</t>
        </is>
      </c>
      <c r="F65" s="40" t="inlineStr">
        <is>
          <t>Referral Rewards</t>
        </is>
      </c>
      <c r="G65" s="40" t="inlineStr">
        <is>
          <t>James Carter</t>
        </is>
      </c>
      <c r="H65" s="49" t="n">
        <v>172</v>
      </c>
      <c r="I65" s="49" t="n">
        <v>129</v>
      </c>
      <c r="J65" s="49" t="n">
        <v>90</v>
      </c>
      <c r="K65" s="50" t="n">
        <v>76500</v>
      </c>
      <c r="L65" s="49" t="n">
        <v>55</v>
      </c>
    </row>
    <row r="66">
      <c r="A66" s="40" t="inlineStr">
        <is>
          <t>May-2026</t>
        </is>
      </c>
      <c r="B66" s="48" t="n">
        <v>11</v>
      </c>
      <c r="C66" s="40" t="inlineStr">
        <is>
          <t>Cumberland</t>
        </is>
      </c>
      <c r="D66" s="40" t="inlineStr">
        <is>
          <t>Residential</t>
        </is>
      </c>
      <c r="E66" s="40" t="inlineStr">
        <is>
          <t>Website</t>
        </is>
      </c>
      <c r="F66" s="40" t="inlineStr">
        <is>
          <t>Business Connect</t>
        </is>
      </c>
      <c r="G66" s="40" t="inlineStr">
        <is>
          <t>Derek Oxendine</t>
        </is>
      </c>
      <c r="H66" s="49" t="n">
        <v>183</v>
      </c>
      <c r="I66" s="49" t="n">
        <v>110</v>
      </c>
      <c r="J66" s="49" t="n">
        <v>74</v>
      </c>
      <c r="K66" s="50" t="n">
        <v>5846</v>
      </c>
      <c r="L66" s="49" t="n">
        <v>11</v>
      </c>
    </row>
    <row r="67">
      <c r="A67" s="40" t="inlineStr">
        <is>
          <t>May-2026</t>
        </is>
      </c>
      <c r="B67" s="48" t="n">
        <v>11</v>
      </c>
      <c r="C67" s="40" t="inlineStr">
        <is>
          <t>Scotland</t>
        </is>
      </c>
      <c r="D67" s="40" t="inlineStr">
        <is>
          <t>Enterprise</t>
        </is>
      </c>
      <c r="E67" s="40" t="inlineStr">
        <is>
          <t>Website</t>
        </is>
      </c>
      <c r="F67" s="40" t="inlineStr">
        <is>
          <t>Business Connect</t>
        </is>
      </c>
      <c r="G67" s="40" t="inlineStr">
        <is>
          <t>Maria Lopez</t>
        </is>
      </c>
      <c r="H67" s="49" t="n">
        <v>158</v>
      </c>
      <c r="I67" s="49" t="n">
        <v>77</v>
      </c>
      <c r="J67" s="49" t="n">
        <v>65</v>
      </c>
      <c r="K67" s="50" t="n">
        <v>55250</v>
      </c>
      <c r="L67" s="49" t="n">
        <v>31</v>
      </c>
    </row>
    <row r="68">
      <c r="A68" s="40" t="inlineStr">
        <is>
          <t>May-2026</t>
        </is>
      </c>
      <c r="B68" s="48" t="n">
        <v>11</v>
      </c>
      <c r="C68" s="40" t="inlineStr">
        <is>
          <t>Bladen</t>
        </is>
      </c>
      <c r="D68" s="40" t="inlineStr">
        <is>
          <t>Residential</t>
        </is>
      </c>
      <c r="E68" s="40" t="inlineStr">
        <is>
          <t>HOA/Developer</t>
        </is>
      </c>
      <c r="F68" s="40" t="inlineStr">
        <is>
          <t>Spring Fiber Push</t>
        </is>
      </c>
      <c r="G68" s="40" t="inlineStr">
        <is>
          <t>James Carter</t>
        </is>
      </c>
      <c r="H68" s="49" t="n">
        <v>178</v>
      </c>
      <c r="I68" s="49" t="n">
        <v>76</v>
      </c>
      <c r="J68" s="49" t="n">
        <v>59</v>
      </c>
      <c r="K68" s="50" t="n">
        <v>4661</v>
      </c>
      <c r="L68" s="49" t="n">
        <v>60</v>
      </c>
    </row>
    <row r="69">
      <c r="A69" s="40" t="inlineStr">
        <is>
          <t>May-2026</t>
        </is>
      </c>
      <c r="B69" s="48" t="n">
        <v>11</v>
      </c>
      <c r="C69" s="40" t="inlineStr">
        <is>
          <t>Columbus</t>
        </is>
      </c>
      <c r="D69" s="40" t="inlineStr">
        <is>
          <t>Residential</t>
        </is>
      </c>
      <c r="E69" s="40" t="inlineStr">
        <is>
          <t>Inbound Call</t>
        </is>
      </c>
      <c r="F69" s="40" t="inlineStr">
        <is>
          <t>Spring Fiber Push</t>
        </is>
      </c>
      <c r="G69" s="40" t="inlineStr">
        <is>
          <t>Sarah Locklear</t>
        </is>
      </c>
      <c r="H69" s="49" t="n">
        <v>203</v>
      </c>
      <c r="I69" s="49" t="n">
        <v>96</v>
      </c>
      <c r="J69" s="49" t="n">
        <v>62</v>
      </c>
      <c r="K69" s="50" t="n">
        <v>4898</v>
      </c>
      <c r="L69" s="49" t="n">
        <v>38</v>
      </c>
    </row>
    <row r="70">
      <c r="A70" s="40" t="inlineStr">
        <is>
          <t>Jun-2026</t>
        </is>
      </c>
      <c r="B70" s="48" t="n">
        <v>12</v>
      </c>
      <c r="C70" s="40" t="inlineStr">
        <is>
          <t>Robeson</t>
        </is>
      </c>
      <c r="D70" s="40" t="inlineStr">
        <is>
          <t>Enterprise</t>
        </is>
      </c>
      <c r="E70" s="40" t="inlineStr">
        <is>
          <t>Website</t>
        </is>
      </c>
      <c r="F70" s="40" t="inlineStr">
        <is>
          <t>HOA Direct</t>
        </is>
      </c>
      <c r="G70" s="40" t="inlineStr">
        <is>
          <t>Sarah Locklear</t>
        </is>
      </c>
      <c r="H70" s="49" t="n">
        <v>202</v>
      </c>
      <c r="I70" s="49" t="n">
        <v>94</v>
      </c>
      <c r="J70" s="49" t="n">
        <v>83</v>
      </c>
      <c r="K70" s="50" t="n">
        <v>70550</v>
      </c>
      <c r="L70" s="49" t="n">
        <v>47</v>
      </c>
    </row>
    <row r="71">
      <c r="A71" s="40" t="inlineStr">
        <is>
          <t>Jun-2026</t>
        </is>
      </c>
      <c r="B71" s="48" t="n">
        <v>12</v>
      </c>
      <c r="C71" s="40" t="inlineStr">
        <is>
          <t>Hoke</t>
        </is>
      </c>
      <c r="D71" s="40" t="inlineStr">
        <is>
          <t>Residential</t>
        </is>
      </c>
      <c r="E71" s="40" t="inlineStr">
        <is>
          <t>Inbound Call</t>
        </is>
      </c>
      <c r="F71" s="40" t="inlineStr">
        <is>
          <t>BEAD Awareness</t>
        </is>
      </c>
      <c r="G71" s="40" t="inlineStr">
        <is>
          <t>Tanya Hunt</t>
        </is>
      </c>
      <c r="H71" s="49" t="n">
        <v>126</v>
      </c>
      <c r="I71" s="49" t="n">
        <v>76</v>
      </c>
      <c r="J71" s="49" t="n">
        <v>63</v>
      </c>
      <c r="K71" s="50" t="n">
        <v>4977</v>
      </c>
      <c r="L71" s="49" t="n">
        <v>15</v>
      </c>
    </row>
    <row r="72">
      <c r="A72" s="40" t="inlineStr">
        <is>
          <t>Jun-2026</t>
        </is>
      </c>
      <c r="B72" s="48" t="n">
        <v>12</v>
      </c>
      <c r="C72" s="40" t="inlineStr">
        <is>
          <t>Cumberland</t>
        </is>
      </c>
      <c r="D72" s="40" t="inlineStr">
        <is>
          <t>Residential</t>
        </is>
      </c>
      <c r="E72" s="40" t="inlineStr">
        <is>
          <t>Door-to-Door</t>
        </is>
      </c>
      <c r="F72" s="40" t="inlineStr">
        <is>
          <t>BEAD Awareness</t>
        </is>
      </c>
      <c r="G72" s="40" t="inlineStr">
        <is>
          <t>Maria Lopez</t>
        </is>
      </c>
      <c r="H72" s="49" t="n">
        <v>194</v>
      </c>
      <c r="I72" s="49" t="n">
        <v>107</v>
      </c>
      <c r="J72" s="49" t="n">
        <v>73</v>
      </c>
      <c r="K72" s="50" t="n">
        <v>5767</v>
      </c>
      <c r="L72" s="49" t="n">
        <v>502</v>
      </c>
    </row>
    <row r="73">
      <c r="A73" s="40" t="inlineStr">
        <is>
          <t>Jun-2026</t>
        </is>
      </c>
      <c r="B73" s="48" t="n">
        <v>12</v>
      </c>
      <c r="C73" s="40" t="inlineStr">
        <is>
          <t>Scotland</t>
        </is>
      </c>
      <c r="D73" s="40" t="inlineStr">
        <is>
          <t>Residential</t>
        </is>
      </c>
      <c r="E73" s="40" t="inlineStr">
        <is>
          <t>Website</t>
        </is>
      </c>
      <c r="F73" s="40" t="inlineStr">
        <is>
          <t>Spring Fiber Push</t>
        </is>
      </c>
      <c r="G73" s="40" t="inlineStr">
        <is>
          <t>James Carter</t>
        </is>
      </c>
      <c r="H73" s="49" t="n">
        <v>163</v>
      </c>
      <c r="I73" s="49" t="n">
        <v>97</v>
      </c>
      <c r="J73" s="49" t="n">
        <v>71</v>
      </c>
      <c r="K73" s="50" t="n">
        <v>5609</v>
      </c>
      <c r="L73" s="49" t="n">
        <v>44</v>
      </c>
    </row>
    <row r="74">
      <c r="A74" s="40" t="inlineStr">
        <is>
          <t>Jun-2026</t>
        </is>
      </c>
      <c r="B74" s="48" t="n">
        <v>12</v>
      </c>
      <c r="C74" s="40" t="inlineStr">
        <is>
          <t>Bladen</t>
        </is>
      </c>
      <c r="D74" s="40" t="inlineStr">
        <is>
          <t>Business</t>
        </is>
      </c>
      <c r="E74" s="40" t="inlineStr">
        <is>
          <t>Door-to-Door</t>
        </is>
      </c>
      <c r="F74" s="40" t="inlineStr">
        <is>
          <t>BEAD Awareness</t>
        </is>
      </c>
      <c r="G74" s="40" t="inlineStr">
        <is>
          <t>Tanya Hunt</t>
        </is>
      </c>
      <c r="H74" s="49" t="n">
        <v>175</v>
      </c>
      <c r="I74" s="49" t="n">
        <v>91</v>
      </c>
      <c r="J74" s="49" t="n">
        <v>71</v>
      </c>
      <c r="K74" s="50" t="n">
        <v>12780</v>
      </c>
      <c r="L74" s="49" t="n">
        <v>208</v>
      </c>
    </row>
    <row r="75">
      <c r="A75" s="40" t="inlineStr">
        <is>
          <t>Jun-2026</t>
        </is>
      </c>
      <c r="B75" s="48" t="n">
        <v>12</v>
      </c>
      <c r="C75" s="40" t="inlineStr">
        <is>
          <t>Columbus</t>
        </is>
      </c>
      <c r="D75" s="40" t="inlineStr">
        <is>
          <t>Residential</t>
        </is>
      </c>
      <c r="E75" s="40" t="inlineStr">
        <is>
          <t>HOA/Developer</t>
        </is>
      </c>
      <c r="F75" s="40" t="inlineStr">
        <is>
          <t>BEAD Awareness</t>
        </is>
      </c>
      <c r="G75" s="40" t="inlineStr">
        <is>
          <t>Tanya Hunt</t>
        </is>
      </c>
      <c r="H75" s="49" t="n">
        <v>141</v>
      </c>
      <c r="I75" s="49" t="n">
        <v>102</v>
      </c>
      <c r="J75" s="49" t="n">
        <v>85</v>
      </c>
      <c r="K75" s="50" t="n">
        <v>6715</v>
      </c>
      <c r="L75" s="49" t="n">
        <v>3</v>
      </c>
    </row>
  </sheetData>
  <mergeCells count="2">
    <mergeCell ref="A2:L2"/>
    <mergeCell ref="A1:L1"/>
  </mergeCells>
  <dataValidations count="6">
    <dataValidation sqref="A4:A1003" showDropDown="0" showInputMessage="0" showErrorMessage="0" allowBlank="1" type="list">
      <formula1>=Lists!$A$2:$A$13</formula1>
    </dataValidation>
    <dataValidation sqref="C4:C1003" showDropDown="0" showInputMessage="0" showErrorMessage="0" allowBlank="1" type="list">
      <formula1>=Lists!$B$2:$B$7</formula1>
    </dataValidation>
    <dataValidation sqref="D4:D1003" showDropDown="0" showInputMessage="0" showErrorMessage="0" allowBlank="1" type="list">
      <formula1>=Lists!$C$2:$C$4</formula1>
    </dataValidation>
    <dataValidation sqref="E4:E1003" showDropDown="0" showInputMessage="0" showErrorMessage="0" allowBlank="1" type="list">
      <formula1>=Lists!$D$2:$D$7</formula1>
    </dataValidation>
    <dataValidation sqref="F4:F1003" showDropDown="0" showInputMessage="0" showErrorMessage="0" allowBlank="1" type="list">
      <formula1>=Lists!$E$2:$E$6</formula1>
    </dataValidation>
    <dataValidation sqref="G4:G1003" showDropDown="0" showInputMessage="0" showErrorMessage="0" allowBlank="1" type="list">
      <formula1>=Lists!$F$2:$F$6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B6B86"/>
    <outlinePr summaryBelow="1" summaryRight="1"/>
    <pageSetUpPr/>
  </sheetPr>
  <dimension ref="A1:J28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2" customWidth="1" min="4" max="4"/>
    <col width="16" customWidth="1" min="5" max="5"/>
    <col width="13" customWidth="1" min="6" max="6"/>
    <col width="14" customWidth="1" min="7" max="7"/>
    <col width="15" customWidth="1" min="8" max="8"/>
    <col width="12" customWidth="1" min="9" max="9"/>
    <col width="16" customWidth="1" min="10" max="10"/>
  </cols>
  <sheetData>
    <row r="1" ht="24" customHeight="1">
      <c r="A1" s="46" t="inlineStr">
        <is>
          <t>PIPELINE  —  Open &amp; Recently-Closed Opportunities</t>
        </is>
      </c>
    </row>
    <row r="2" ht="16" customHeight="1">
      <c r="A2" s="47" t="inlineStr">
        <is>
          <t>Value = annual recurring $ (ARR). Set Stage via dropdown. Closed-Lost rows require a Lost Reason. Enterprise/DIA, HOA/Developer, Bulk are Opp Types.</t>
        </is>
      </c>
    </row>
    <row r="3">
      <c r="A3" s="20" t="inlineStr">
        <is>
          <t>Opp ID</t>
        </is>
      </c>
      <c r="B3" s="20" t="inlineStr">
        <is>
          <t>Name</t>
        </is>
      </c>
      <c r="C3" s="20" t="inlineStr">
        <is>
          <t>County</t>
        </is>
      </c>
      <c r="D3" s="20" t="inlineStr">
        <is>
          <t>Segment</t>
        </is>
      </c>
      <c r="E3" s="20" t="inlineStr">
        <is>
          <t>Type</t>
        </is>
      </c>
      <c r="F3" s="20" t="inlineStr">
        <is>
          <t>Stage</t>
        </is>
      </c>
      <c r="G3" s="20" t="inlineStr">
        <is>
          <t>Value (ARR $)</t>
        </is>
      </c>
      <c r="H3" s="20" t="inlineStr">
        <is>
          <t>Rep</t>
        </is>
      </c>
      <c r="I3" s="20" t="inlineStr">
        <is>
          <t>Close Month</t>
        </is>
      </c>
      <c r="J3" s="20" t="inlineStr">
        <is>
          <t>Lost Reason</t>
        </is>
      </c>
    </row>
    <row r="4">
      <c r="A4" s="40" t="inlineStr">
        <is>
          <t>OPP-1001</t>
        </is>
      </c>
      <c r="B4" s="40" t="inlineStr">
        <is>
          <t>Lumberton Business Park</t>
        </is>
      </c>
      <c r="C4" s="40" t="inlineStr">
        <is>
          <t>Robeson</t>
        </is>
      </c>
      <c r="D4" s="40" t="inlineStr">
        <is>
          <t>Business</t>
        </is>
      </c>
      <c r="E4" s="40" t="inlineStr">
        <is>
          <t>Standard</t>
        </is>
      </c>
      <c r="F4" s="40" t="inlineStr">
        <is>
          <t>Closed-Won</t>
        </is>
      </c>
      <c r="G4" s="50" t="n">
        <v>19873</v>
      </c>
      <c r="H4" s="40" t="inlineStr">
        <is>
          <t>Sarah Locklear</t>
        </is>
      </c>
      <c r="I4" s="40" t="inlineStr">
        <is>
          <t>May-2026</t>
        </is>
      </c>
      <c r="J4" s="40" t="inlineStr"/>
    </row>
    <row r="5">
      <c r="A5" s="40" t="inlineStr">
        <is>
          <t>OPP-1002</t>
        </is>
      </c>
      <c r="B5" s="40" t="inlineStr">
        <is>
          <t>Pembroke Town Center Bulk</t>
        </is>
      </c>
      <c r="C5" s="40" t="inlineStr">
        <is>
          <t>Robeson</t>
        </is>
      </c>
      <c r="D5" s="40" t="inlineStr">
        <is>
          <t>Business</t>
        </is>
      </c>
      <c r="E5" s="40" t="inlineStr">
        <is>
          <t>Bulk Agreement</t>
        </is>
      </c>
      <c r="F5" s="40" t="inlineStr">
        <is>
          <t>Prospect</t>
        </is>
      </c>
      <c r="G5" s="50" t="n">
        <v>37780</v>
      </c>
      <c r="H5" s="40" t="inlineStr">
        <is>
          <t>Tanya Hunt</t>
        </is>
      </c>
      <c r="I5" s="40" t="inlineStr">
        <is>
          <t>Jun-2026</t>
        </is>
      </c>
      <c r="J5" s="40" t="inlineStr"/>
    </row>
    <row r="6">
      <c r="A6" s="40" t="inlineStr">
        <is>
          <t>OPP-1003</t>
        </is>
      </c>
      <c r="B6" s="40" t="inlineStr">
        <is>
          <t>UNCP Campus DIA</t>
        </is>
      </c>
      <c r="C6" s="40" t="inlineStr">
        <is>
          <t>Robeson</t>
        </is>
      </c>
      <c r="D6" s="40" t="inlineStr">
        <is>
          <t>Enterprise</t>
        </is>
      </c>
      <c r="E6" s="40" t="inlineStr">
        <is>
          <t>Enterprise/DIA</t>
        </is>
      </c>
      <c r="F6" s="40" t="inlineStr">
        <is>
          <t>Closed-Lost</t>
        </is>
      </c>
      <c r="G6" s="50" t="n">
        <v>165515</v>
      </c>
      <c r="H6" s="40" t="inlineStr">
        <is>
          <t>Sarah Locklear</t>
        </is>
      </c>
      <c r="I6" s="40" t="inlineStr">
        <is>
          <t>Jun-2026</t>
        </is>
      </c>
      <c r="J6" s="40" t="inlineStr">
        <is>
          <t>Timing</t>
        </is>
      </c>
    </row>
    <row r="7">
      <c r="A7" s="40" t="inlineStr">
        <is>
          <t>OPP-1004</t>
        </is>
      </c>
      <c r="B7" s="40" t="inlineStr">
        <is>
          <t>Raeford Logistics DIA</t>
        </is>
      </c>
      <c r="C7" s="40" t="inlineStr">
        <is>
          <t>Hoke</t>
        </is>
      </c>
      <c r="D7" s="40" t="inlineStr">
        <is>
          <t>Enterprise</t>
        </is>
      </c>
      <c r="E7" s="40" t="inlineStr">
        <is>
          <t>Enterprise/DIA</t>
        </is>
      </c>
      <c r="F7" s="40" t="inlineStr">
        <is>
          <t>Proposal</t>
        </is>
      </c>
      <c r="G7" s="50" t="n">
        <v>81087</v>
      </c>
      <c r="H7" s="40" t="inlineStr">
        <is>
          <t>Derek Oxendine</t>
        </is>
      </c>
      <c r="I7" s="40" t="inlineStr">
        <is>
          <t>Jun-2026</t>
        </is>
      </c>
      <c r="J7" s="40" t="inlineStr"/>
    </row>
    <row r="8">
      <c r="A8" s="40" t="inlineStr">
        <is>
          <t>OPP-1005</t>
        </is>
      </c>
      <c r="B8" s="40" t="inlineStr">
        <is>
          <t>Maxton Industrial</t>
        </is>
      </c>
      <c r="C8" s="40" t="inlineStr">
        <is>
          <t>Robeson</t>
        </is>
      </c>
      <c r="D8" s="40" t="inlineStr">
        <is>
          <t>Business</t>
        </is>
      </c>
      <c r="E8" s="40" t="inlineStr">
        <is>
          <t>Standard</t>
        </is>
      </c>
      <c r="F8" s="40" t="inlineStr">
        <is>
          <t>Proposal</t>
        </is>
      </c>
      <c r="G8" s="50" t="n">
        <v>30123</v>
      </c>
      <c r="H8" s="40" t="inlineStr">
        <is>
          <t>Maria Lopez</t>
        </is>
      </c>
      <c r="I8" s="40" t="inlineStr">
        <is>
          <t>Jan-2026</t>
        </is>
      </c>
      <c r="J8" s="40" t="inlineStr"/>
    </row>
    <row r="9">
      <c r="A9" s="40" t="inlineStr">
        <is>
          <t>OPP-1006</t>
        </is>
      </c>
      <c r="B9" s="40" t="inlineStr">
        <is>
          <t>Highland Trace HOA</t>
        </is>
      </c>
      <c r="C9" s="40" t="inlineStr">
        <is>
          <t>Cumberland</t>
        </is>
      </c>
      <c r="D9" s="40" t="inlineStr">
        <is>
          <t>Residential</t>
        </is>
      </c>
      <c r="E9" s="40" t="inlineStr">
        <is>
          <t>HOA/Developer</t>
        </is>
      </c>
      <c r="F9" s="40" t="inlineStr">
        <is>
          <t>Closed-Lost</t>
        </is>
      </c>
      <c r="G9" s="50" t="n">
        <v>30002</v>
      </c>
      <c r="H9" s="40" t="inlineStr">
        <is>
          <t>Sarah Locklear</t>
        </is>
      </c>
      <c r="I9" s="40" t="inlineStr">
        <is>
          <t>Mar-2026</t>
        </is>
      </c>
      <c r="J9" s="40" t="inlineStr">
        <is>
          <t>Lost Contact</t>
        </is>
      </c>
    </row>
    <row r="10">
      <c r="A10" s="40" t="inlineStr">
        <is>
          <t>OPP-1007</t>
        </is>
      </c>
      <c r="B10" s="40" t="inlineStr">
        <is>
          <t>Saddlebrook Developer</t>
        </is>
      </c>
      <c r="C10" s="40" t="inlineStr">
        <is>
          <t>Hoke</t>
        </is>
      </c>
      <c r="D10" s="40" t="inlineStr">
        <is>
          <t>Residential</t>
        </is>
      </c>
      <c r="E10" s="40" t="inlineStr">
        <is>
          <t>HOA/Developer</t>
        </is>
      </c>
      <c r="F10" s="40" t="inlineStr">
        <is>
          <t>Qualified</t>
        </is>
      </c>
      <c r="G10" s="50" t="n">
        <v>68832</v>
      </c>
      <c r="H10" s="40" t="inlineStr">
        <is>
          <t>Maria Lopez</t>
        </is>
      </c>
      <c r="I10" s="40" t="inlineStr">
        <is>
          <t>Feb-2026</t>
        </is>
      </c>
      <c r="J10" s="40" t="inlineStr"/>
    </row>
    <row r="11">
      <c r="A11" s="40" t="inlineStr">
        <is>
          <t>OPP-1008</t>
        </is>
      </c>
      <c r="B11" s="40" t="inlineStr">
        <is>
          <t>St. Pauls Clinic Group</t>
        </is>
      </c>
      <c r="C11" s="40" t="inlineStr">
        <is>
          <t>Robeson</t>
        </is>
      </c>
      <c r="D11" s="40" t="inlineStr">
        <is>
          <t>Business</t>
        </is>
      </c>
      <c r="E11" s="40" t="inlineStr">
        <is>
          <t>Standard</t>
        </is>
      </c>
      <c r="F11" s="40" t="inlineStr">
        <is>
          <t>Proposal</t>
        </is>
      </c>
      <c r="G11" s="50" t="n">
        <v>39834</v>
      </c>
      <c r="H11" s="40" t="inlineStr">
        <is>
          <t>Derek Oxendine</t>
        </is>
      </c>
      <c r="I11" s="40" t="inlineStr">
        <is>
          <t>Mar-2026</t>
        </is>
      </c>
      <c r="J11" s="40" t="inlineStr"/>
    </row>
    <row r="12">
      <c r="A12" s="40" t="inlineStr">
        <is>
          <t>OPP-1009</t>
        </is>
      </c>
      <c r="B12" s="40" t="inlineStr">
        <is>
          <t>Laurinburg Logistics</t>
        </is>
      </c>
      <c r="C12" s="40" t="inlineStr">
        <is>
          <t>Scotland</t>
        </is>
      </c>
      <c r="D12" s="40" t="inlineStr">
        <is>
          <t>Enterprise</t>
        </is>
      </c>
      <c r="E12" s="40" t="inlineStr">
        <is>
          <t>Enterprise/DIA</t>
        </is>
      </c>
      <c r="F12" s="40" t="inlineStr">
        <is>
          <t>Closed-Lost</t>
        </is>
      </c>
      <c r="G12" s="50" t="n">
        <v>107576</v>
      </c>
      <c r="H12" s="40" t="inlineStr">
        <is>
          <t>Derek Oxendine</t>
        </is>
      </c>
      <c r="I12" s="40" t="inlineStr">
        <is>
          <t>Jun-2026</t>
        </is>
      </c>
      <c r="J12" s="40" t="inlineStr">
        <is>
          <t>Price</t>
        </is>
      </c>
    </row>
    <row r="13">
      <c r="A13" s="40" t="inlineStr">
        <is>
          <t>OPP-1010</t>
        </is>
      </c>
      <c r="B13" s="40" t="inlineStr">
        <is>
          <t>Elizabethtown Retail</t>
        </is>
      </c>
      <c r="C13" s="40" t="inlineStr">
        <is>
          <t>Bladen</t>
        </is>
      </c>
      <c r="D13" s="40" t="inlineStr">
        <is>
          <t>Business</t>
        </is>
      </c>
      <c r="E13" s="40" t="inlineStr">
        <is>
          <t>Standard</t>
        </is>
      </c>
      <c r="F13" s="40" t="inlineStr">
        <is>
          <t>Qualified</t>
        </is>
      </c>
      <c r="G13" s="50" t="n">
        <v>39802</v>
      </c>
      <c r="H13" s="40" t="inlineStr">
        <is>
          <t>Tanya Hunt</t>
        </is>
      </c>
      <c r="I13" s="40" t="inlineStr">
        <is>
          <t>Mar-2026</t>
        </is>
      </c>
      <c r="J13" s="40" t="inlineStr"/>
    </row>
    <row r="14">
      <c r="A14" s="40" t="inlineStr">
        <is>
          <t>OPP-1011</t>
        </is>
      </c>
      <c r="B14" s="40" t="inlineStr">
        <is>
          <t>Whiteville School District</t>
        </is>
      </c>
      <c r="C14" s="40" t="inlineStr">
        <is>
          <t>Columbus</t>
        </is>
      </c>
      <c r="D14" s="40" t="inlineStr">
        <is>
          <t>Enterprise</t>
        </is>
      </c>
      <c r="E14" s="40" t="inlineStr">
        <is>
          <t>Enterprise/DIA</t>
        </is>
      </c>
      <c r="F14" s="40" t="inlineStr">
        <is>
          <t>Prospect</t>
        </is>
      </c>
      <c r="G14" s="50" t="n">
        <v>235671</v>
      </c>
      <c r="H14" s="40" t="inlineStr">
        <is>
          <t>James Carter</t>
        </is>
      </c>
      <c r="I14" s="40" t="inlineStr">
        <is>
          <t>Mar-2026</t>
        </is>
      </c>
      <c r="J14" s="40" t="inlineStr"/>
    </row>
    <row r="15">
      <c r="A15" s="40" t="inlineStr">
        <is>
          <t>OPP-1012</t>
        </is>
      </c>
      <c r="B15" s="40" t="inlineStr">
        <is>
          <t>Red Springs Apartments Bulk</t>
        </is>
      </c>
      <c r="C15" s="40" t="inlineStr">
        <is>
          <t>Robeson</t>
        </is>
      </c>
      <c r="D15" s="40" t="inlineStr">
        <is>
          <t>Residential</t>
        </is>
      </c>
      <c r="E15" s="40" t="inlineStr">
        <is>
          <t>Bulk Agreement</t>
        </is>
      </c>
      <c r="F15" s="40" t="inlineStr">
        <is>
          <t>Negotiation</t>
        </is>
      </c>
      <c r="G15" s="50" t="n">
        <v>41977</v>
      </c>
      <c r="H15" s="40" t="inlineStr">
        <is>
          <t>Tanya Hunt</t>
        </is>
      </c>
      <c r="I15" s="40" t="inlineStr">
        <is>
          <t>Jun-2026</t>
        </is>
      </c>
      <c r="J15" s="40" t="inlineStr"/>
    </row>
    <row r="16">
      <c r="A16" s="40" t="inlineStr">
        <is>
          <t>OPP-1013</t>
        </is>
      </c>
      <c r="B16" s="40" t="inlineStr">
        <is>
          <t>Fayetteville Tech Park</t>
        </is>
      </c>
      <c r="C16" s="40" t="inlineStr">
        <is>
          <t>Cumberland</t>
        </is>
      </c>
      <c r="D16" s="40" t="inlineStr">
        <is>
          <t>Enterprise</t>
        </is>
      </c>
      <c r="E16" s="40" t="inlineStr">
        <is>
          <t>Enterprise/DIA</t>
        </is>
      </c>
      <c r="F16" s="40" t="inlineStr">
        <is>
          <t>Closed-Won</t>
        </is>
      </c>
      <c r="G16" s="50" t="n">
        <v>164976</v>
      </c>
      <c r="H16" s="40" t="inlineStr">
        <is>
          <t>Sarah Locklear</t>
        </is>
      </c>
      <c r="I16" s="40" t="inlineStr">
        <is>
          <t>Mar-2026</t>
        </is>
      </c>
      <c r="J16" s="40" t="inlineStr"/>
    </row>
    <row r="17">
      <c r="A17" s="40" t="inlineStr">
        <is>
          <t>OPP-1014</t>
        </is>
      </c>
      <c r="B17" s="40" t="inlineStr">
        <is>
          <t>Shannon Farms Developer</t>
        </is>
      </c>
      <c r="C17" s="40" t="inlineStr">
        <is>
          <t>Robeson</t>
        </is>
      </c>
      <c r="D17" s="40" t="inlineStr">
        <is>
          <t>Residential</t>
        </is>
      </c>
      <c r="E17" s="40" t="inlineStr">
        <is>
          <t>HOA/Developer</t>
        </is>
      </c>
      <c r="F17" s="40" t="inlineStr">
        <is>
          <t>Prospect</t>
        </is>
      </c>
      <c r="G17" s="50" t="n">
        <v>44807</v>
      </c>
      <c r="H17" s="40" t="inlineStr">
        <is>
          <t>Tanya Hunt</t>
        </is>
      </c>
      <c r="I17" s="40" t="inlineStr">
        <is>
          <t>Mar-2026</t>
        </is>
      </c>
      <c r="J17" s="40" t="inlineStr"/>
    </row>
    <row r="18">
      <c r="A18" s="40" t="inlineStr">
        <is>
          <t>OPP-1015</t>
        </is>
      </c>
      <c r="B18" s="40" t="inlineStr">
        <is>
          <t>Hope Mills Plaza</t>
        </is>
      </c>
      <c r="C18" s="40" t="inlineStr">
        <is>
          <t>Cumberland</t>
        </is>
      </c>
      <c r="D18" s="40" t="inlineStr">
        <is>
          <t>Business</t>
        </is>
      </c>
      <c r="E18" s="40" t="inlineStr">
        <is>
          <t>Standard</t>
        </is>
      </c>
      <c r="F18" s="40" t="inlineStr">
        <is>
          <t>Closed-Lost</t>
        </is>
      </c>
      <c r="G18" s="50" t="n">
        <v>16597</v>
      </c>
      <c r="H18" s="40" t="inlineStr">
        <is>
          <t>Derek Oxendine</t>
        </is>
      </c>
      <c r="I18" s="40" t="inlineStr">
        <is>
          <t>Mar-2026</t>
        </is>
      </c>
      <c r="J18" s="40" t="inlineStr">
        <is>
          <t>Lost Contact</t>
        </is>
      </c>
    </row>
    <row r="19">
      <c r="A19" s="40" t="inlineStr">
        <is>
          <t>OPP-1016</t>
        </is>
      </c>
      <c r="B19" s="40" t="inlineStr">
        <is>
          <t>Rowland Manufacturing</t>
        </is>
      </c>
      <c r="C19" s="40" t="inlineStr">
        <is>
          <t>Robeson</t>
        </is>
      </c>
      <c r="D19" s="40" t="inlineStr">
        <is>
          <t>Business</t>
        </is>
      </c>
      <c r="E19" s="40" t="inlineStr">
        <is>
          <t>Standard</t>
        </is>
      </c>
      <c r="F19" s="40" t="inlineStr">
        <is>
          <t>Proposal</t>
        </is>
      </c>
      <c r="G19" s="50" t="n">
        <v>44559</v>
      </c>
      <c r="H19" s="40" t="inlineStr">
        <is>
          <t>Maria Lopez</t>
        </is>
      </c>
      <c r="I19" s="40" t="inlineStr">
        <is>
          <t>Feb-2026</t>
        </is>
      </c>
      <c r="J19" s="40" t="inlineStr"/>
    </row>
    <row r="20">
      <c r="A20" s="40" t="inlineStr">
        <is>
          <t>OPP-1017</t>
        </is>
      </c>
      <c r="B20" s="40" t="inlineStr">
        <is>
          <t>Tar Heel Cold Storage</t>
        </is>
      </c>
      <c r="C20" s="40" t="inlineStr">
        <is>
          <t>Bladen</t>
        </is>
      </c>
      <c r="D20" s="40" t="inlineStr">
        <is>
          <t>Enterprise</t>
        </is>
      </c>
      <c r="E20" s="40" t="inlineStr">
        <is>
          <t>Enterprise/DIA</t>
        </is>
      </c>
      <c r="F20" s="40" t="inlineStr">
        <is>
          <t>Qualified</t>
        </is>
      </c>
      <c r="G20" s="50" t="n">
        <v>195905</v>
      </c>
      <c r="H20" s="40" t="inlineStr">
        <is>
          <t>Derek Oxendine</t>
        </is>
      </c>
      <c r="I20" s="40" t="inlineStr">
        <is>
          <t>Jun-2026</t>
        </is>
      </c>
      <c r="J20" s="40" t="inlineStr"/>
    </row>
    <row r="21">
      <c r="A21" s="40" t="inlineStr">
        <is>
          <t>OPP-1018</t>
        </is>
      </c>
      <c r="B21" s="40" t="inlineStr">
        <is>
          <t>Parkton HOA Phase 2</t>
        </is>
      </c>
      <c r="C21" s="40" t="inlineStr">
        <is>
          <t>Robeson</t>
        </is>
      </c>
      <c r="D21" s="40" t="inlineStr">
        <is>
          <t>Residential</t>
        </is>
      </c>
      <c r="E21" s="40" t="inlineStr">
        <is>
          <t>HOA/Developer</t>
        </is>
      </c>
      <c r="F21" s="40" t="inlineStr">
        <is>
          <t>Negotiation</t>
        </is>
      </c>
      <c r="G21" s="50" t="n">
        <v>43969</v>
      </c>
      <c r="H21" s="40" t="inlineStr">
        <is>
          <t>James Carter</t>
        </is>
      </c>
      <c r="I21" s="40" t="inlineStr">
        <is>
          <t>Mar-2026</t>
        </is>
      </c>
      <c r="J21" s="40" t="inlineStr"/>
    </row>
    <row r="22">
      <c r="A22" s="40" t="inlineStr">
        <is>
          <t>OPP-1019</t>
        </is>
      </c>
      <c r="B22" s="40" t="inlineStr">
        <is>
          <t>Lumber River Medical</t>
        </is>
      </c>
      <c r="C22" s="40" t="inlineStr">
        <is>
          <t>Robeson</t>
        </is>
      </c>
      <c r="D22" s="40" t="inlineStr">
        <is>
          <t>Business</t>
        </is>
      </c>
      <c r="E22" s="40" t="inlineStr">
        <is>
          <t>Standard</t>
        </is>
      </c>
      <c r="F22" s="40" t="inlineStr">
        <is>
          <t>Prospect</t>
        </is>
      </c>
      <c r="G22" s="50" t="n">
        <v>44993</v>
      </c>
      <c r="H22" s="40" t="inlineStr">
        <is>
          <t>Tanya Hunt</t>
        </is>
      </c>
      <c r="I22" s="40" t="inlineStr">
        <is>
          <t>Apr-2026</t>
        </is>
      </c>
      <c r="J22" s="40" t="inlineStr"/>
    </row>
    <row r="23">
      <c r="A23" s="40" t="inlineStr">
        <is>
          <t>OPP-1020</t>
        </is>
      </c>
      <c r="B23" s="40" t="inlineStr">
        <is>
          <t>Scotland Health DIA</t>
        </is>
      </c>
      <c r="C23" s="40" t="inlineStr">
        <is>
          <t>Scotland</t>
        </is>
      </c>
      <c r="D23" s="40" t="inlineStr">
        <is>
          <t>Enterprise</t>
        </is>
      </c>
      <c r="E23" s="40" t="inlineStr">
        <is>
          <t>Enterprise/DIA</t>
        </is>
      </c>
      <c r="F23" s="40" t="inlineStr">
        <is>
          <t>Prospect</t>
        </is>
      </c>
      <c r="G23" s="50" t="n">
        <v>187064</v>
      </c>
      <c r="H23" s="40" t="inlineStr">
        <is>
          <t>Sarah Locklear</t>
        </is>
      </c>
      <c r="I23" s="40" t="inlineStr">
        <is>
          <t>Feb-2026</t>
        </is>
      </c>
      <c r="J23" s="40" t="inlineStr"/>
    </row>
    <row r="24">
      <c r="A24" s="40" t="inlineStr">
        <is>
          <t>OPP-1021</t>
        </is>
      </c>
      <c r="B24" s="40" t="inlineStr">
        <is>
          <t>Bladenboro Bulk MDU</t>
        </is>
      </c>
      <c r="C24" s="40" t="inlineStr">
        <is>
          <t>Bladen</t>
        </is>
      </c>
      <c r="D24" s="40" t="inlineStr">
        <is>
          <t>Residential</t>
        </is>
      </c>
      <c r="E24" s="40" t="inlineStr">
        <is>
          <t>Bulk Agreement</t>
        </is>
      </c>
      <c r="F24" s="40" t="inlineStr">
        <is>
          <t>Prospect</t>
        </is>
      </c>
      <c r="G24" s="50" t="n">
        <v>61516</v>
      </c>
      <c r="H24" s="40" t="inlineStr">
        <is>
          <t>Sarah Locklear</t>
        </is>
      </c>
      <c r="I24" s="40" t="inlineStr">
        <is>
          <t>Jan-2026</t>
        </is>
      </c>
      <c r="J24" s="40" t="inlineStr"/>
    </row>
    <row r="25">
      <c r="A25" s="40" t="inlineStr">
        <is>
          <t>OPP-1022</t>
        </is>
      </c>
      <c r="B25" s="40" t="inlineStr">
        <is>
          <t>Chadbourn Town Hall</t>
        </is>
      </c>
      <c r="C25" s="40" t="inlineStr">
        <is>
          <t>Columbus</t>
        </is>
      </c>
      <c r="D25" s="40" t="inlineStr">
        <is>
          <t>Business</t>
        </is>
      </c>
      <c r="E25" s="40" t="inlineStr">
        <is>
          <t>Standard</t>
        </is>
      </c>
      <c r="F25" s="40" t="inlineStr">
        <is>
          <t>Prospect</t>
        </is>
      </c>
      <c r="G25" s="50" t="n">
        <v>35738</v>
      </c>
      <c r="H25" s="40" t="inlineStr">
        <is>
          <t>Maria Lopez</t>
        </is>
      </c>
      <c r="I25" s="40" t="inlineStr">
        <is>
          <t>Apr-2026</t>
        </is>
      </c>
      <c r="J25" s="40" t="inlineStr"/>
    </row>
    <row r="26">
      <c r="A26" s="40" t="inlineStr">
        <is>
          <t>OPP-1023</t>
        </is>
      </c>
      <c r="B26" s="40" t="inlineStr">
        <is>
          <t>Aberdeen Distribution</t>
        </is>
      </c>
      <c r="C26" s="40" t="inlineStr">
        <is>
          <t>Hoke</t>
        </is>
      </c>
      <c r="D26" s="40" t="inlineStr">
        <is>
          <t>Enterprise</t>
        </is>
      </c>
      <c r="E26" s="40" t="inlineStr">
        <is>
          <t>Enterprise/DIA</t>
        </is>
      </c>
      <c r="F26" s="40" t="inlineStr">
        <is>
          <t>Negotiation</t>
        </is>
      </c>
      <c r="G26" s="50" t="n">
        <v>90793</v>
      </c>
      <c r="H26" s="40" t="inlineStr">
        <is>
          <t>James Carter</t>
        </is>
      </c>
      <c r="I26" s="40" t="inlineStr">
        <is>
          <t>Apr-2026</t>
        </is>
      </c>
      <c r="J26" s="40" t="inlineStr"/>
    </row>
    <row r="27">
      <c r="A27" s="40" t="inlineStr">
        <is>
          <t>OPP-1024</t>
        </is>
      </c>
      <c r="B27" s="40" t="inlineStr">
        <is>
          <t>McColl Crossing HOA</t>
        </is>
      </c>
      <c r="C27" s="40" t="inlineStr">
        <is>
          <t>Scotland</t>
        </is>
      </c>
      <c r="D27" s="40" t="inlineStr">
        <is>
          <t>Residential</t>
        </is>
      </c>
      <c r="E27" s="40" t="inlineStr">
        <is>
          <t>HOA/Developer</t>
        </is>
      </c>
      <c r="F27" s="40" t="inlineStr">
        <is>
          <t>Negotiation</t>
        </is>
      </c>
      <c r="G27" s="50" t="n">
        <v>76122</v>
      </c>
      <c r="H27" s="40" t="inlineStr">
        <is>
          <t>Sarah Locklear</t>
        </is>
      </c>
      <c r="I27" s="40" t="inlineStr">
        <is>
          <t>Jun-2026</t>
        </is>
      </c>
      <c r="J27" s="40" t="inlineStr"/>
    </row>
    <row r="28">
      <c r="A28" s="40" t="inlineStr">
        <is>
          <t>OPP-1025</t>
        </is>
      </c>
      <c r="B28" s="40" t="inlineStr">
        <is>
          <t>Fairmont Business Row</t>
        </is>
      </c>
      <c r="C28" s="40" t="inlineStr">
        <is>
          <t>Robeson</t>
        </is>
      </c>
      <c r="D28" s="40" t="inlineStr">
        <is>
          <t>Business</t>
        </is>
      </c>
      <c r="E28" s="40" t="inlineStr">
        <is>
          <t>Standard</t>
        </is>
      </c>
      <c r="F28" s="40" t="inlineStr">
        <is>
          <t>Proposal</t>
        </is>
      </c>
      <c r="G28" s="50" t="n">
        <v>26919</v>
      </c>
      <c r="H28" s="40" t="inlineStr">
        <is>
          <t>Derek Oxendine</t>
        </is>
      </c>
      <c r="I28" s="40" t="inlineStr">
        <is>
          <t>Apr-2026</t>
        </is>
      </c>
      <c r="J28" s="40" t="inlineStr"/>
    </row>
  </sheetData>
  <mergeCells count="2">
    <mergeCell ref="A1:J1"/>
    <mergeCell ref="A2:J2"/>
  </mergeCells>
  <dataValidations count="7">
    <dataValidation sqref="C4:C1003" showDropDown="0" showInputMessage="0" showErrorMessage="0" allowBlank="1" type="list">
      <formula1>=Lists!$B$2:$B$7</formula1>
    </dataValidation>
    <dataValidation sqref="D4:D1003" showDropDown="0" showInputMessage="0" showErrorMessage="0" allowBlank="1" type="list">
      <formula1>=Lists!$C$2:$C$4</formula1>
    </dataValidation>
    <dataValidation sqref="E4:E1003" showDropDown="0" showInputMessage="0" showErrorMessage="0" allowBlank="1" type="list">
      <formula1>=Lists!$I$2:$I$5</formula1>
    </dataValidation>
    <dataValidation sqref="F4:F1003" showDropDown="0" showInputMessage="0" showErrorMessage="0" allowBlank="1" type="list">
      <formula1>=Lists!$H$2:$H$7</formula1>
    </dataValidation>
    <dataValidation sqref="H4:H1003" showDropDown="0" showInputMessage="0" showErrorMessage="0" allowBlank="1" type="list">
      <formula1>=Lists!$F$2:$F$6</formula1>
    </dataValidation>
    <dataValidation sqref="I4:I1003" showDropDown="0" showInputMessage="0" showErrorMessage="0" allowBlank="1" type="list">
      <formula1>=Lists!$A$2:$A$13</formula1>
    </dataValidation>
    <dataValidation sqref="J4:J1003" showDropDown="0" showInputMessage="0" showErrorMessage="0" allowBlank="1" type="list">
      <formula1>=Lists!$J$2:$J$7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B6B86"/>
    <outlinePr summaryBelow="1" summaryRight="1"/>
    <pageSetUpPr/>
  </sheetPr>
  <dimension ref="A1:M1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13" customWidth="1" min="4" max="4"/>
    <col width="14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5" customWidth="1" min="13" max="13"/>
  </cols>
  <sheetData>
    <row r="1" ht="24" customHeight="1">
      <c r="A1" s="46" t="inlineStr">
        <is>
          <t>OPERATIONS DATA  —  Monthly Build / Install / Service</t>
        </is>
      </c>
    </row>
    <row r="2" ht="16" customHeight="1">
      <c r="A2" s="47" t="inlineStr">
        <is>
          <t>One row per month. Homes Passed Added = new this month. Avg Days to Install = order-to-activation. Repeat Tickets = re-opened within 30 days.</t>
        </is>
      </c>
    </row>
    <row r="3">
      <c r="A3" s="20" t="inlineStr">
        <is>
          <t>Month</t>
        </is>
      </c>
      <c r="B3" s="20" t="inlineStr">
        <is>
          <t>Period</t>
        </is>
      </c>
      <c r="C3" s="20" t="inlineStr">
        <is>
          <t>Homes Passed Added</t>
        </is>
      </c>
      <c r="D3" s="20" t="inlineStr">
        <is>
          <t>Footage Built</t>
        </is>
      </c>
      <c r="E3" s="20" t="inlineStr">
        <is>
          <t>Drops Completed</t>
        </is>
      </c>
      <c r="F3" s="20" t="inlineStr">
        <is>
          <t>Installs Scheduled</t>
        </is>
      </c>
      <c r="G3" s="20" t="inlineStr">
        <is>
          <t>Installs Completed</t>
        </is>
      </c>
      <c r="H3" s="20" t="inlineStr">
        <is>
          <t>Avg Days to Install</t>
        </is>
      </c>
      <c r="I3" s="20" t="inlineStr">
        <is>
          <t>Trouble Tickets</t>
        </is>
      </c>
      <c r="J3" s="20" t="inlineStr">
        <is>
          <t>Repeat Tickets</t>
        </is>
      </c>
      <c r="K3" s="20" t="inlineStr">
        <is>
          <t>Outages</t>
        </is>
      </c>
      <c r="L3" s="20" t="inlineStr">
        <is>
          <t>Activations</t>
        </is>
      </c>
      <c r="M3" s="20" t="inlineStr">
        <is>
          <t>Splices Completed</t>
        </is>
      </c>
    </row>
    <row r="4">
      <c r="A4" s="40" t="inlineStr">
        <is>
          <t>Jul-2025</t>
        </is>
      </c>
      <c r="B4" s="48" t="n">
        <v>1</v>
      </c>
      <c r="C4" s="49" t="n">
        <v>1419</v>
      </c>
      <c r="D4" s="49" t="n">
        <v>51035</v>
      </c>
      <c r="E4" s="49" t="n">
        <v>574</v>
      </c>
      <c r="F4" s="49" t="n">
        <v>621</v>
      </c>
      <c r="G4" s="49" t="n">
        <v>534</v>
      </c>
      <c r="H4" s="51" t="n">
        <v>10.3</v>
      </c>
      <c r="I4" s="49" t="n">
        <v>315</v>
      </c>
      <c r="J4" s="49" t="n">
        <v>48</v>
      </c>
      <c r="K4" s="48" t="n">
        <v>5</v>
      </c>
      <c r="L4" s="49" t="n">
        <v>524</v>
      </c>
      <c r="M4" s="49" t="n">
        <v>245</v>
      </c>
    </row>
    <row r="5">
      <c r="A5" s="40" t="inlineStr">
        <is>
          <t>Aug-2025</t>
        </is>
      </c>
      <c r="B5" s="48" t="n">
        <v>2</v>
      </c>
      <c r="C5" s="49" t="n">
        <v>919</v>
      </c>
      <c r="D5" s="49" t="n">
        <v>45331</v>
      </c>
      <c r="E5" s="49" t="n">
        <v>450</v>
      </c>
      <c r="F5" s="49" t="n">
        <v>477</v>
      </c>
      <c r="G5" s="49" t="n">
        <v>391</v>
      </c>
      <c r="H5" s="51" t="n">
        <v>7.9</v>
      </c>
      <c r="I5" s="49" t="n">
        <v>241</v>
      </c>
      <c r="J5" s="49" t="n">
        <v>36</v>
      </c>
      <c r="K5" s="48" t="n">
        <v>1</v>
      </c>
      <c r="L5" s="49" t="n">
        <v>389</v>
      </c>
      <c r="M5" s="49" t="n">
        <v>244</v>
      </c>
    </row>
    <row r="6">
      <c r="A6" s="40" t="inlineStr">
        <is>
          <t>Sep-2025</t>
        </is>
      </c>
      <c r="B6" s="48" t="n">
        <v>3</v>
      </c>
      <c r="C6" s="49" t="n">
        <v>970</v>
      </c>
      <c r="D6" s="49" t="n">
        <v>46241</v>
      </c>
      <c r="E6" s="49" t="n">
        <v>487</v>
      </c>
      <c r="F6" s="49" t="n">
        <v>531</v>
      </c>
      <c r="G6" s="49" t="n">
        <v>407</v>
      </c>
      <c r="H6" s="51" t="n">
        <v>12.6</v>
      </c>
      <c r="I6" s="49" t="n">
        <v>222</v>
      </c>
      <c r="J6" s="49" t="n">
        <v>22</v>
      </c>
      <c r="K6" s="48" t="n">
        <v>5</v>
      </c>
      <c r="L6" s="49" t="n">
        <v>394</v>
      </c>
      <c r="M6" s="49" t="n">
        <v>174</v>
      </c>
    </row>
    <row r="7">
      <c r="A7" s="40" t="inlineStr">
        <is>
          <t>Oct-2025</t>
        </is>
      </c>
      <c r="B7" s="48" t="n">
        <v>4</v>
      </c>
      <c r="C7" s="49" t="n">
        <v>1452</v>
      </c>
      <c r="D7" s="49" t="n">
        <v>51182</v>
      </c>
      <c r="E7" s="49" t="n">
        <v>545</v>
      </c>
      <c r="F7" s="49" t="n">
        <v>553</v>
      </c>
      <c r="G7" s="49" t="n">
        <v>474</v>
      </c>
      <c r="H7" s="51" t="n">
        <v>12.7</v>
      </c>
      <c r="I7" s="49" t="n">
        <v>275</v>
      </c>
      <c r="J7" s="49" t="n">
        <v>31</v>
      </c>
      <c r="K7" s="48" t="n">
        <v>5</v>
      </c>
      <c r="L7" s="49" t="n">
        <v>460</v>
      </c>
      <c r="M7" s="49" t="n">
        <v>150</v>
      </c>
    </row>
    <row r="8">
      <c r="A8" s="40" t="inlineStr">
        <is>
          <t>Nov-2025</t>
        </is>
      </c>
      <c r="B8" s="48" t="n">
        <v>5</v>
      </c>
      <c r="C8" s="49" t="n">
        <v>1153</v>
      </c>
      <c r="D8" s="49" t="n">
        <v>52725</v>
      </c>
      <c r="E8" s="49" t="n">
        <v>506</v>
      </c>
      <c r="F8" s="49" t="n">
        <v>567</v>
      </c>
      <c r="G8" s="49" t="n">
        <v>484</v>
      </c>
      <c r="H8" s="51" t="n">
        <v>9.6</v>
      </c>
      <c r="I8" s="49" t="n">
        <v>238</v>
      </c>
      <c r="J8" s="49" t="n">
        <v>30</v>
      </c>
      <c r="K8" s="48" t="n">
        <v>1</v>
      </c>
      <c r="L8" s="49" t="n">
        <v>482</v>
      </c>
      <c r="M8" s="49" t="n">
        <v>135</v>
      </c>
    </row>
    <row r="9">
      <c r="A9" s="40" t="inlineStr">
        <is>
          <t>Dec-2025</t>
        </is>
      </c>
      <c r="B9" s="48" t="n">
        <v>6</v>
      </c>
      <c r="C9" s="49" t="n">
        <v>1134</v>
      </c>
      <c r="D9" s="49" t="n">
        <v>42417</v>
      </c>
      <c r="E9" s="49" t="n">
        <v>408</v>
      </c>
      <c r="F9" s="49" t="n">
        <v>390</v>
      </c>
      <c r="G9" s="49" t="n">
        <v>346</v>
      </c>
      <c r="H9" s="51" t="n">
        <v>5.7</v>
      </c>
      <c r="I9" s="49" t="n">
        <v>240</v>
      </c>
      <c r="J9" s="49" t="n">
        <v>24</v>
      </c>
      <c r="K9" s="48" t="n">
        <v>4</v>
      </c>
      <c r="L9" s="49" t="n">
        <v>340</v>
      </c>
      <c r="M9" s="49" t="n">
        <v>258</v>
      </c>
    </row>
    <row r="10">
      <c r="A10" s="40" t="inlineStr">
        <is>
          <t>Jan-2026</t>
        </is>
      </c>
      <c r="B10" s="48" t="n">
        <v>7</v>
      </c>
      <c r="C10" s="49" t="n">
        <v>1035</v>
      </c>
      <c r="D10" s="49" t="n">
        <v>68976</v>
      </c>
      <c r="E10" s="49" t="n">
        <v>574</v>
      </c>
      <c r="F10" s="49" t="n">
        <v>634</v>
      </c>
      <c r="G10" s="49" t="n">
        <v>494</v>
      </c>
      <c r="H10" s="51" t="n">
        <v>10.7</v>
      </c>
      <c r="I10" s="49" t="n">
        <v>228</v>
      </c>
      <c r="J10" s="49" t="n">
        <v>19</v>
      </c>
      <c r="K10" s="48" t="n">
        <v>6</v>
      </c>
      <c r="L10" s="49" t="n">
        <v>481</v>
      </c>
      <c r="M10" s="49" t="n">
        <v>210</v>
      </c>
    </row>
    <row r="11">
      <c r="A11" s="40" t="inlineStr">
        <is>
          <t>Feb-2026</t>
        </is>
      </c>
      <c r="B11" s="48" t="n">
        <v>8</v>
      </c>
      <c r="C11" s="49" t="n">
        <v>1333</v>
      </c>
      <c r="D11" s="49" t="n">
        <v>64941</v>
      </c>
      <c r="E11" s="49" t="n">
        <v>427</v>
      </c>
      <c r="F11" s="49" t="n">
        <v>534</v>
      </c>
      <c r="G11" s="49" t="n">
        <v>401</v>
      </c>
      <c r="H11" s="51" t="n">
        <v>9.5</v>
      </c>
      <c r="I11" s="49" t="n">
        <v>205</v>
      </c>
      <c r="J11" s="49" t="n">
        <v>17</v>
      </c>
      <c r="K11" s="48" t="n">
        <v>6</v>
      </c>
      <c r="L11" s="49" t="n">
        <v>391</v>
      </c>
      <c r="M11" s="49" t="n">
        <v>147</v>
      </c>
    </row>
    <row r="12">
      <c r="A12" s="40" t="inlineStr">
        <is>
          <t>Mar-2026</t>
        </is>
      </c>
      <c r="B12" s="48" t="n">
        <v>9</v>
      </c>
      <c r="C12" s="49" t="n">
        <v>1154</v>
      </c>
      <c r="D12" s="49" t="n">
        <v>50556</v>
      </c>
      <c r="E12" s="49" t="n">
        <v>559</v>
      </c>
      <c r="F12" s="49" t="n">
        <v>590</v>
      </c>
      <c r="G12" s="49" t="n">
        <v>482</v>
      </c>
      <c r="H12" s="51" t="n">
        <v>5.5</v>
      </c>
      <c r="I12" s="49" t="n">
        <v>226</v>
      </c>
      <c r="J12" s="49" t="n">
        <v>23</v>
      </c>
      <c r="K12" s="48" t="n">
        <v>2</v>
      </c>
      <c r="L12" s="49" t="n">
        <v>480</v>
      </c>
      <c r="M12" s="49" t="n">
        <v>233</v>
      </c>
    </row>
    <row r="13">
      <c r="A13" s="40" t="inlineStr">
        <is>
          <t>Apr-2026</t>
        </is>
      </c>
      <c r="B13" s="48" t="n">
        <v>10</v>
      </c>
      <c r="C13" s="49" t="n">
        <v>1463</v>
      </c>
      <c r="D13" s="49" t="n">
        <v>44416</v>
      </c>
      <c r="E13" s="49" t="n">
        <v>506</v>
      </c>
      <c r="F13" s="49" t="n">
        <v>540</v>
      </c>
      <c r="G13" s="49" t="n">
        <v>417</v>
      </c>
      <c r="H13" s="51" t="n">
        <v>10.1</v>
      </c>
      <c r="I13" s="49" t="n">
        <v>203</v>
      </c>
      <c r="J13" s="49" t="n">
        <v>31</v>
      </c>
      <c r="K13" s="48" t="n">
        <v>2</v>
      </c>
      <c r="L13" s="49" t="n">
        <v>412</v>
      </c>
      <c r="M13" s="49" t="n">
        <v>224</v>
      </c>
    </row>
    <row r="14">
      <c r="A14" s="40" t="inlineStr">
        <is>
          <t>May-2026</t>
        </is>
      </c>
      <c r="B14" s="48" t="n">
        <v>11</v>
      </c>
      <c r="C14" s="49" t="n">
        <v>1397</v>
      </c>
      <c r="D14" s="49" t="n">
        <v>69546</v>
      </c>
      <c r="E14" s="49" t="n">
        <v>465</v>
      </c>
      <c r="F14" s="49" t="n">
        <v>529</v>
      </c>
      <c r="G14" s="49" t="n">
        <v>438</v>
      </c>
      <c r="H14" s="51" t="n">
        <v>5.2</v>
      </c>
      <c r="I14" s="49" t="n">
        <v>180</v>
      </c>
      <c r="J14" s="49" t="n">
        <v>28</v>
      </c>
      <c r="K14" s="48" t="n">
        <v>3</v>
      </c>
      <c r="L14" s="49" t="n">
        <v>424</v>
      </c>
      <c r="M14" s="49" t="n">
        <v>193</v>
      </c>
    </row>
    <row r="15">
      <c r="A15" s="40" t="inlineStr">
        <is>
          <t>Jun-2026</t>
        </is>
      </c>
      <c r="B15" s="48" t="n">
        <v>12</v>
      </c>
      <c r="C15" s="49" t="n">
        <v>1333</v>
      </c>
      <c r="D15" s="49" t="n">
        <v>69894</v>
      </c>
      <c r="E15" s="49" t="n">
        <v>514</v>
      </c>
      <c r="F15" s="49" t="n">
        <v>521</v>
      </c>
      <c r="G15" s="49" t="n">
        <v>457</v>
      </c>
      <c r="H15" s="51" t="n">
        <v>5.3</v>
      </c>
      <c r="I15" s="49" t="n">
        <v>194</v>
      </c>
      <c r="J15" s="49" t="n">
        <v>24</v>
      </c>
      <c r="K15" s="48" t="n">
        <v>5</v>
      </c>
      <c r="L15" s="49" t="n">
        <v>456</v>
      </c>
      <c r="M15" s="49" t="n">
        <v>200</v>
      </c>
    </row>
  </sheetData>
  <mergeCells count="2">
    <mergeCell ref="A2:M2"/>
    <mergeCell ref="A1:M1"/>
  </mergeCells>
  <dataValidations count="1">
    <dataValidation sqref="A4:A1003" showDropDown="0" showInputMessage="0" showErrorMessage="0" allowBlank="1" type="list">
      <formula1>=Lists!$A$2:$A$13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B6B86"/>
    <outlinePr summaryBelow="1" summaryRight="1"/>
    <pageSetUpPr/>
  </sheetPr>
  <dimension ref="A1:R13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3" customWidth="1" min="4" max="4"/>
    <col width="11" customWidth="1" min="5" max="5"/>
    <col width="11" customWidth="1" min="6" max="6"/>
    <col width="16" customWidth="1" min="7" max="7"/>
    <col width="16" customWidth="1" min="8" max="8"/>
    <col width="14" customWidth="1" min="9" max="9"/>
    <col width="13" customWidth="1" min="10" max="10"/>
    <col width="14" customWidth="1" min="11" max="11"/>
    <col width="13" customWidth="1" min="12" max="12"/>
    <col width="13" customWidth="1" min="13" max="13"/>
    <col width="12" customWidth="1" min="14" max="14"/>
    <col width="12" customWidth="1" min="15" max="15"/>
    <col width="20" customWidth="1" min="16" max="16"/>
    <col width="14" customWidth="1" min="17" max="17"/>
    <col width="34" customWidth="1" min="18" max="18"/>
  </cols>
  <sheetData>
    <row r="1" ht="24" customHeight="1">
      <c r="A1" s="46" t="inlineStr">
        <is>
          <t>PROJECT DATA  —  Capital Build Projects</t>
        </is>
      </c>
    </row>
    <row r="2" ht="16" customHeight="1">
      <c r="A2" s="47" t="inlineStr">
        <is>
          <t>One row per capital project. % Complete 0-1. Status drives RYG. Permitting / Make-Ready / Splicing use Build Phase dropdown. Contractor Score 0-10.</t>
        </is>
      </c>
    </row>
    <row r="3">
      <c r="A3" s="20" t="inlineStr">
        <is>
          <t>Project</t>
        </is>
      </c>
      <c r="B3" s="20" t="inlineStr">
        <is>
          <t>County</t>
        </is>
      </c>
      <c r="C3" s="20" t="inlineStr">
        <is>
          <t>Type</t>
        </is>
      </c>
      <c r="D3" s="20" t="inlineStr">
        <is>
          <t>Grant Program</t>
        </is>
      </c>
      <c r="E3" s="20" t="inlineStr">
        <is>
          <t>% Complete</t>
        </is>
      </c>
      <c r="F3" s="20" t="inlineStr">
        <is>
          <t>Status</t>
        </is>
      </c>
      <c r="G3" s="20" t="inlineStr">
        <is>
          <t>Homes Passed Target</t>
        </is>
      </c>
      <c r="H3" s="20" t="inlineStr">
        <is>
          <t>Homes Passed Actual</t>
        </is>
      </c>
      <c r="I3" s="20" t="inlineStr">
        <is>
          <t>Footage Target</t>
        </is>
      </c>
      <c r="J3" s="20" t="inlineStr">
        <is>
          <t>Footage Built</t>
        </is>
      </c>
      <c r="K3" s="20" t="inlineStr">
        <is>
          <t>Capital Budget</t>
        </is>
      </c>
      <c r="L3" s="20" t="inlineStr">
        <is>
          <t>Capital Spent</t>
        </is>
      </c>
      <c r="M3" s="20" t="inlineStr">
        <is>
          <t>Permitting</t>
        </is>
      </c>
      <c r="N3" s="20" t="inlineStr">
        <is>
          <t>Make-Ready</t>
        </is>
      </c>
      <c r="O3" s="20" t="inlineStr">
        <is>
          <t>Splicing</t>
        </is>
      </c>
      <c r="P3" s="20" t="inlineStr">
        <is>
          <t>Contractor</t>
        </is>
      </c>
      <c r="Q3" s="20" t="inlineStr">
        <is>
          <t>Contractor Score</t>
        </is>
      </c>
      <c r="R3" s="20" t="inlineStr">
        <is>
          <t>Blocker / Note</t>
        </is>
      </c>
    </row>
    <row r="4">
      <c r="A4" s="40" t="inlineStr">
        <is>
          <t>Robeson BEAD Zone 1</t>
        </is>
      </c>
      <c r="B4" s="40" t="inlineStr">
        <is>
          <t>Robeson</t>
        </is>
      </c>
      <c r="C4" s="40" t="inlineStr">
        <is>
          <t>Greenfield</t>
        </is>
      </c>
      <c r="D4" s="40" t="inlineStr">
        <is>
          <t>BEAD</t>
        </is>
      </c>
      <c r="E4" s="52" t="n">
        <v>0.78</v>
      </c>
      <c r="F4" s="40" t="inlineStr">
        <is>
          <t>On Track</t>
        </is>
      </c>
      <c r="G4" s="49" t="n">
        <v>3200</v>
      </c>
      <c r="H4" s="49" t="n">
        <v>2496</v>
      </c>
      <c r="I4" s="49" t="n">
        <v>165000</v>
      </c>
      <c r="J4" s="49" t="n">
        <v>128700</v>
      </c>
      <c r="K4" s="50" t="n">
        <v>4100000</v>
      </c>
      <c r="L4" s="50" t="n">
        <v>3050000</v>
      </c>
      <c r="M4" s="40" t="inlineStr">
        <is>
          <t>Complete</t>
        </is>
      </c>
      <c r="N4" s="40" t="inlineStr">
        <is>
          <t>Complete</t>
        </is>
      </c>
      <c r="O4" s="40" t="inlineStr">
        <is>
          <t>In Progress</t>
        </is>
      </c>
      <c r="P4" s="40" t="inlineStr">
        <is>
          <t>FiberBuild Co</t>
        </is>
      </c>
      <c r="Q4" s="51" t="n">
        <v>8.6</v>
      </c>
      <c r="R4" s="40" t="inlineStr"/>
    </row>
    <row r="5">
      <c r="A5" s="40" t="inlineStr">
        <is>
          <t>Hoke CAB Expansion</t>
        </is>
      </c>
      <c r="B5" s="40" t="inlineStr">
        <is>
          <t>Hoke</t>
        </is>
      </c>
      <c r="C5" s="40" t="inlineStr">
        <is>
          <t>Greenfield</t>
        </is>
      </c>
      <c r="D5" s="40" t="inlineStr">
        <is>
          <t>CAB</t>
        </is>
      </c>
      <c r="E5" s="52" t="n">
        <v>0.54</v>
      </c>
      <c r="F5" s="40" t="inlineStr">
        <is>
          <t>At Risk</t>
        </is>
      </c>
      <c r="G5" s="49" t="n">
        <v>2100</v>
      </c>
      <c r="H5" s="49" t="n">
        <v>1134</v>
      </c>
      <c r="I5" s="49" t="n">
        <v>110000</v>
      </c>
      <c r="J5" s="49" t="n">
        <v>61600</v>
      </c>
      <c r="K5" s="50" t="n">
        <v>2650000</v>
      </c>
      <c r="L5" s="50" t="n">
        <v>1590000</v>
      </c>
      <c r="M5" s="40" t="inlineStr">
        <is>
          <t>In Progress</t>
        </is>
      </c>
      <c r="N5" s="40" t="inlineStr">
        <is>
          <t>In Progress</t>
        </is>
      </c>
      <c r="O5" s="40" t="inlineStr">
        <is>
          <t>Not Started</t>
        </is>
      </c>
      <c r="P5" s="40" t="inlineStr">
        <is>
          <t>Sandhill Construction</t>
        </is>
      </c>
      <c r="Q5" s="51" t="n">
        <v>6.9</v>
      </c>
      <c r="R5" s="40" t="inlineStr">
        <is>
          <t>Make-ready pole attach delays (utility)</t>
        </is>
      </c>
    </row>
    <row r="6">
      <c r="A6" s="40" t="inlineStr">
        <is>
          <t>Pembroke Core Ring</t>
        </is>
      </c>
      <c r="B6" s="40" t="inlineStr">
        <is>
          <t>Robeson</t>
        </is>
      </c>
      <c r="C6" s="40" t="inlineStr">
        <is>
          <t>Backbone</t>
        </is>
      </c>
      <c r="D6" s="40" t="inlineStr">
        <is>
          <t>State Grant</t>
        </is>
      </c>
      <c r="E6" s="52" t="n">
        <v>0.92</v>
      </c>
      <c r="F6" s="40" t="inlineStr">
        <is>
          <t>On Track</t>
        </is>
      </c>
      <c r="G6" s="49" t="n">
        <v>1400</v>
      </c>
      <c r="H6" s="49" t="n">
        <v>1288</v>
      </c>
      <c r="I6" s="49" t="n">
        <v>48000</v>
      </c>
      <c r="J6" s="49" t="n">
        <v>44200</v>
      </c>
      <c r="K6" s="50" t="n">
        <v>1200000</v>
      </c>
      <c r="L6" s="50" t="n">
        <v>1080000</v>
      </c>
      <c r="M6" s="40" t="inlineStr">
        <is>
          <t>Complete</t>
        </is>
      </c>
      <c r="N6" s="40" t="inlineStr">
        <is>
          <t>Complete</t>
        </is>
      </c>
      <c r="O6" s="40" t="inlineStr">
        <is>
          <t>Complete</t>
        </is>
      </c>
      <c r="P6" s="40" t="inlineStr">
        <is>
          <t>FiberBuild Co</t>
        </is>
      </c>
      <c r="Q6" s="51" t="n">
        <v>9.1</v>
      </c>
      <c r="R6" s="40" t="inlineStr"/>
    </row>
    <row r="7">
      <c r="A7" s="40" t="inlineStr">
        <is>
          <t>Scotland RDOF Area</t>
        </is>
      </c>
      <c r="B7" s="40" t="inlineStr">
        <is>
          <t>Scotland</t>
        </is>
      </c>
      <c r="C7" s="40" t="inlineStr">
        <is>
          <t>Greenfield</t>
        </is>
      </c>
      <c r="D7" s="40" t="inlineStr">
        <is>
          <t>RDOF</t>
        </is>
      </c>
      <c r="E7" s="52" t="n">
        <v>0.41</v>
      </c>
      <c r="F7" s="40" t="inlineStr">
        <is>
          <t>Behind</t>
        </is>
      </c>
      <c r="G7" s="49" t="n">
        <v>2600</v>
      </c>
      <c r="H7" s="49" t="n">
        <v>1066</v>
      </c>
      <c r="I7" s="49" t="n">
        <v>138000</v>
      </c>
      <c r="J7" s="49" t="n">
        <v>56600</v>
      </c>
      <c r="K7" s="50" t="n">
        <v>3300000</v>
      </c>
      <c r="L7" s="50" t="n">
        <v>1420000</v>
      </c>
      <c r="M7" s="40" t="inlineStr">
        <is>
          <t>In Progress</t>
        </is>
      </c>
      <c r="N7" s="40" t="inlineStr">
        <is>
          <t>Not Started</t>
        </is>
      </c>
      <c r="O7" s="40" t="inlineStr">
        <is>
          <t>Not Started</t>
        </is>
      </c>
      <c r="P7" s="40" t="inlineStr">
        <is>
          <t>Cape Fear Underground</t>
        </is>
      </c>
      <c r="Q7" s="51" t="n">
        <v>5.8</v>
      </c>
      <c r="R7" s="40" t="inlineStr">
        <is>
          <t>Permitting backlog + wet-weather standdown</t>
        </is>
      </c>
    </row>
    <row r="8">
      <c r="A8" s="40" t="inlineStr">
        <is>
          <t>Cumberland Fiber Fill-in</t>
        </is>
      </c>
      <c r="B8" s="40" t="inlineStr">
        <is>
          <t>Cumberland</t>
        </is>
      </c>
      <c r="C8" s="40" t="inlineStr">
        <is>
          <t>Overbuild</t>
        </is>
      </c>
      <c r="D8" s="40" t="inlineStr">
        <is>
          <t>BEAD</t>
        </is>
      </c>
      <c r="E8" s="52" t="n">
        <v>0.66</v>
      </c>
      <c r="F8" s="40" t="inlineStr">
        <is>
          <t>On Track</t>
        </is>
      </c>
      <c r="G8" s="49" t="n">
        <v>1900</v>
      </c>
      <c r="H8" s="49" t="n">
        <v>1254</v>
      </c>
      <c r="I8" s="49" t="n">
        <v>92000</v>
      </c>
      <c r="J8" s="49" t="n">
        <v>60700</v>
      </c>
      <c r="K8" s="50" t="n">
        <v>2050000</v>
      </c>
      <c r="L8" s="50" t="n">
        <v>1330000</v>
      </c>
      <c r="M8" s="40" t="inlineStr">
        <is>
          <t>Complete</t>
        </is>
      </c>
      <c r="N8" s="40" t="inlineStr">
        <is>
          <t>In Progress</t>
        </is>
      </c>
      <c r="O8" s="40" t="inlineStr">
        <is>
          <t>In Progress</t>
        </is>
      </c>
      <c r="P8" s="40" t="inlineStr">
        <is>
          <t>Sandhill Construction</t>
        </is>
      </c>
      <c r="Q8" s="51" t="n">
        <v>7.4</v>
      </c>
      <c r="R8" s="40" t="inlineStr"/>
    </row>
    <row r="9">
      <c r="A9" s="40" t="inlineStr">
        <is>
          <t>Bladen ARPA Rural</t>
        </is>
      </c>
      <c r="B9" s="40" t="inlineStr">
        <is>
          <t>Bladen</t>
        </is>
      </c>
      <c r="C9" s="40" t="inlineStr">
        <is>
          <t>Greenfield</t>
        </is>
      </c>
      <c r="D9" s="40" t="inlineStr">
        <is>
          <t>ARPA</t>
        </is>
      </c>
      <c r="E9" s="52" t="n">
        <v>0.33</v>
      </c>
      <c r="F9" s="40" t="inlineStr">
        <is>
          <t>At Risk</t>
        </is>
      </c>
      <c r="G9" s="49" t="n">
        <v>1500</v>
      </c>
      <c r="H9" s="49" t="n">
        <v>495</v>
      </c>
      <c r="I9" s="49" t="n">
        <v>102000</v>
      </c>
      <c r="J9" s="49" t="n">
        <v>33700</v>
      </c>
      <c r="K9" s="50" t="n">
        <v>2400000</v>
      </c>
      <c r="L9" s="50" t="n">
        <v>760000</v>
      </c>
      <c r="M9" s="40" t="inlineStr">
        <is>
          <t>In Progress</t>
        </is>
      </c>
      <c r="N9" s="40" t="inlineStr">
        <is>
          <t>Not Started</t>
        </is>
      </c>
      <c r="O9" s="40" t="inlineStr">
        <is>
          <t>Not Started</t>
        </is>
      </c>
      <c r="P9" s="40" t="inlineStr">
        <is>
          <t>Cape Fear Underground</t>
        </is>
      </c>
      <c r="Q9" s="51" t="n">
        <v>6.2</v>
      </c>
      <c r="R9" s="40" t="inlineStr">
        <is>
          <t>Material lead time on conduit</t>
        </is>
      </c>
    </row>
    <row r="10">
      <c r="A10" s="40" t="inlineStr">
        <is>
          <t>Columbus BEAD Zone 2</t>
        </is>
      </c>
      <c r="B10" s="40" t="inlineStr">
        <is>
          <t>Columbus</t>
        </is>
      </c>
      <c r="C10" s="40" t="inlineStr">
        <is>
          <t>Greenfield</t>
        </is>
      </c>
      <c r="D10" s="40" t="inlineStr">
        <is>
          <t>BEAD</t>
        </is>
      </c>
      <c r="E10" s="52" t="n">
        <v>0.18</v>
      </c>
      <c r="F10" s="40" t="inlineStr">
        <is>
          <t>Behind</t>
        </is>
      </c>
      <c r="G10" s="49" t="n">
        <v>2800</v>
      </c>
      <c r="H10" s="49" t="n">
        <v>504</v>
      </c>
      <c r="I10" s="49" t="n">
        <v>150000</v>
      </c>
      <c r="J10" s="49" t="n">
        <v>27000</v>
      </c>
      <c r="K10" s="50" t="n">
        <v>3500000</v>
      </c>
      <c r="L10" s="50" t="n">
        <v>590000</v>
      </c>
      <c r="M10" s="40" t="inlineStr">
        <is>
          <t>In Progress</t>
        </is>
      </c>
      <c r="N10" s="40" t="inlineStr">
        <is>
          <t>Not Started</t>
        </is>
      </c>
      <c r="O10" s="40" t="inlineStr">
        <is>
          <t>Not Started</t>
        </is>
      </c>
      <c r="P10" s="40" t="inlineStr">
        <is>
          <t>Sandhill Construction</t>
        </is>
      </c>
      <c r="Q10" s="51" t="n">
        <v>6.5</v>
      </c>
      <c r="R10" s="40" t="inlineStr">
        <is>
          <t>Design rework after make-ready survey</t>
        </is>
      </c>
    </row>
    <row r="11">
      <c r="A11" s="40" t="inlineStr">
        <is>
          <t>Lumberton MDU Drops</t>
        </is>
      </c>
      <c r="B11" s="40" t="inlineStr">
        <is>
          <t>Robeson</t>
        </is>
      </c>
      <c r="C11" s="40" t="inlineStr">
        <is>
          <t>Drop/Activation</t>
        </is>
      </c>
      <c r="D11" s="40" t="inlineStr">
        <is>
          <t>State Grant</t>
        </is>
      </c>
      <c r="E11" s="52" t="n">
        <v>0.85</v>
      </c>
      <c r="F11" s="40" t="inlineStr">
        <is>
          <t>On Track</t>
        </is>
      </c>
      <c r="G11" s="49" t="n">
        <v>900</v>
      </c>
      <c r="H11" s="49" t="n">
        <v>765</v>
      </c>
      <c r="I11" s="49" t="n">
        <v>18000</v>
      </c>
      <c r="J11" s="49" t="n">
        <v>15300</v>
      </c>
      <c r="K11" s="50" t="n">
        <v>540000</v>
      </c>
      <c r="L11" s="50" t="n">
        <v>451000</v>
      </c>
      <c r="M11" s="40" t="inlineStr">
        <is>
          <t>Complete</t>
        </is>
      </c>
      <c r="N11" s="40" t="inlineStr">
        <is>
          <t>Complete</t>
        </is>
      </c>
      <c r="O11" s="40" t="inlineStr">
        <is>
          <t>Complete</t>
        </is>
      </c>
      <c r="P11" s="40" t="inlineStr">
        <is>
          <t>In-House Crew</t>
        </is>
      </c>
      <c r="Q11" s="51" t="n">
        <v>8.9</v>
      </c>
      <c r="R11" s="40" t="inlineStr"/>
    </row>
    <row r="12">
      <c r="A12" s="40" t="inlineStr">
        <is>
          <t>Raeford Business Loop</t>
        </is>
      </c>
      <c r="B12" s="40" t="inlineStr">
        <is>
          <t>Hoke</t>
        </is>
      </c>
      <c r="C12" s="40" t="inlineStr">
        <is>
          <t>Backbone</t>
        </is>
      </c>
      <c r="D12" s="40" t="inlineStr">
        <is>
          <t>CAB</t>
        </is>
      </c>
      <c r="E12" s="52" t="n">
        <v>0.71</v>
      </c>
      <c r="F12" s="40" t="inlineStr">
        <is>
          <t>On Track</t>
        </is>
      </c>
      <c r="G12" s="49" t="n">
        <v>600</v>
      </c>
      <c r="H12" s="49" t="n">
        <v>426</v>
      </c>
      <c r="I12" s="49" t="n">
        <v>26000</v>
      </c>
      <c r="J12" s="49" t="n">
        <v>18900</v>
      </c>
      <c r="K12" s="50" t="n">
        <v>980000</v>
      </c>
      <c r="L12" s="50" t="n">
        <v>690000</v>
      </c>
      <c r="M12" s="40" t="inlineStr">
        <is>
          <t>Complete</t>
        </is>
      </c>
      <c r="N12" s="40" t="inlineStr">
        <is>
          <t>In Progress</t>
        </is>
      </c>
      <c r="O12" s="40" t="inlineStr">
        <is>
          <t>In Progress</t>
        </is>
      </c>
      <c r="P12" s="40" t="inlineStr">
        <is>
          <t>FiberBuild Co</t>
        </is>
      </c>
      <c r="Q12" s="51" t="n">
        <v>8.199999999999999</v>
      </c>
      <c r="R12" s="40" t="inlineStr"/>
    </row>
    <row r="13">
      <c r="A13" s="40" t="inlineStr">
        <is>
          <t>Maxton Edge Extension</t>
        </is>
      </c>
      <c r="B13" s="40" t="inlineStr">
        <is>
          <t>Robeson</t>
        </is>
      </c>
      <c r="C13" s="40" t="inlineStr">
        <is>
          <t>Overbuild</t>
        </is>
      </c>
      <c r="D13" s="40" t="inlineStr">
        <is>
          <t>BEAD</t>
        </is>
      </c>
      <c r="E13" s="52" t="n">
        <v>0.49</v>
      </c>
      <c r="F13" s="40" t="inlineStr">
        <is>
          <t>At Risk</t>
        </is>
      </c>
      <c r="G13" s="49" t="n">
        <v>1100</v>
      </c>
      <c r="H13" s="49" t="n">
        <v>539</v>
      </c>
      <c r="I13" s="49" t="n">
        <v>64000</v>
      </c>
      <c r="J13" s="49" t="n">
        <v>31400</v>
      </c>
      <c r="K13" s="50" t="n">
        <v>1350000</v>
      </c>
      <c r="L13" s="50" t="n">
        <v>690000</v>
      </c>
      <c r="M13" s="40" t="inlineStr">
        <is>
          <t>In Progress</t>
        </is>
      </c>
      <c r="N13" s="40" t="inlineStr">
        <is>
          <t>In Progress</t>
        </is>
      </c>
      <c r="O13" s="40" t="inlineStr">
        <is>
          <t>Not Started</t>
        </is>
      </c>
      <c r="P13" s="40" t="inlineStr">
        <is>
          <t>Sandhill Construction</t>
        </is>
      </c>
      <c r="Q13" s="51" t="n">
        <v>7</v>
      </c>
      <c r="R13" s="40" t="inlineStr">
        <is>
          <t>Crew availability shared with Hoke CAB</t>
        </is>
      </c>
    </row>
  </sheetData>
  <mergeCells count="2">
    <mergeCell ref="A2:R2"/>
    <mergeCell ref="A1:R1"/>
  </mergeCells>
  <conditionalFormatting sqref="F4:F1003">
    <cfRule type="cellIs" priority="1" operator="equal" dxfId="0">
      <formula>"On Track"</formula>
    </cfRule>
    <cfRule type="cellIs" priority="2" operator="equal" dxfId="1">
      <formula>"At Risk"</formula>
    </cfRule>
    <cfRule type="cellIs" priority="3" operator="equal" dxfId="2">
      <formula>"Behind"</formula>
    </cfRule>
    <cfRule type="cellIs" priority="4" operator="equal" dxfId="3">
      <formula>"Complete"</formula>
    </cfRule>
  </conditionalFormatting>
  <conditionalFormatting sqref="M4:O1003">
    <cfRule type="cellIs" priority="5" operator="equal" dxfId="0">
      <formula>"Complete"</formula>
    </cfRule>
    <cfRule type="cellIs" priority="6" operator="equal" dxfId="1">
      <formula>"In Progress"</formula>
    </cfRule>
    <cfRule type="cellIs" priority="7" operator="equal" dxfId="2">
      <formula>"Not Started"</formula>
    </cfRule>
  </conditionalFormatting>
  <conditionalFormatting sqref="E4:E1003">
    <cfRule type="colorScale" priority="8">
      <colorScale>
        <cfvo type="num" val="0"/>
        <cfvo type="num" val="0.5"/>
        <cfvo type="num" val="1"/>
        <color rgb="00F8CBCB"/>
        <color rgb="00FFF2CC"/>
        <color rgb="00C6EFCE"/>
      </colorScale>
    </cfRule>
  </conditionalFormatting>
  <dataValidations count="6">
    <dataValidation sqref="B4:B1003" showDropDown="0" showInputMessage="0" showErrorMessage="0" allowBlank="1" type="list">
      <formula1>=Lists!$B$2:$B$7</formula1>
    </dataValidation>
    <dataValidation sqref="D4:D1003" showDropDown="0" showInputMessage="0" showErrorMessage="0" allowBlank="1" type="list">
      <formula1>=Lists!$M$2:$M$6</formula1>
    </dataValidation>
    <dataValidation sqref="F4:F1003" showDropDown="0" showInputMessage="0" showErrorMessage="0" allowBlank="1" type="list">
      <formula1>=Lists!$K$2:$K$5</formula1>
    </dataValidation>
    <dataValidation sqref="M4:M1003" showDropDown="0" showInputMessage="0" showErrorMessage="0" allowBlank="1" type="list">
      <formula1>=Lists!$L$2:$L$4</formula1>
    </dataValidation>
    <dataValidation sqref="N4:N1003" showDropDown="0" showInputMessage="0" showErrorMessage="0" allowBlank="1" type="list">
      <formula1>=Lists!$L$2:$L$4</formula1>
    </dataValidation>
    <dataValidation sqref="O4:O1003" showDropDown="0" showInputMessage="0" showErrorMessage="0" allowBlank="1" type="list">
      <formula1>=Lists!$L$2:$L$4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B6B86"/>
    <outlinePr summaryBelow="1" summaryRight="1"/>
    <pageSetUpPr/>
  </sheetPr>
  <dimension ref="A1:N1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  <col width="13" customWidth="1" min="12" max="12"/>
    <col width="15" customWidth="1" min="13" max="13"/>
    <col width="14" customWidth="1" min="14" max="14"/>
  </cols>
  <sheetData>
    <row r="1" ht="24" customHeight="1">
      <c r="A1" s="46" t="inlineStr">
        <is>
          <t>FINANCIAL DATA  —  Monthly P&amp;L / Capital / Cash</t>
        </is>
      </c>
    </row>
    <row r="2" ht="16" customHeight="1">
      <c r="A2" s="47" t="inlineStr">
        <is>
          <t>One row per month. Revenue is total billed. OpEx excludes capitalized construction. CapEx = capitalized build. Cash Balance = end-of-month.</t>
        </is>
      </c>
    </row>
    <row r="3">
      <c r="A3" s="20" t="inlineStr">
        <is>
          <t>Month</t>
        </is>
      </c>
      <c r="B3" s="20" t="inlineStr">
        <is>
          <t>Period</t>
        </is>
      </c>
      <c r="C3" s="20" t="inlineStr">
        <is>
          <t>Revenue</t>
        </is>
      </c>
      <c r="D3" s="20" t="inlineStr">
        <is>
          <t>MRR</t>
        </is>
      </c>
      <c r="E3" s="20" t="inlineStr">
        <is>
          <t>CapEx</t>
        </is>
      </c>
      <c r="F3" s="20" t="inlineStr">
        <is>
          <t>OpEx</t>
        </is>
      </c>
      <c r="G3" s="20" t="inlineStr">
        <is>
          <t>Labor</t>
        </is>
      </c>
      <c r="H3" s="20" t="inlineStr">
        <is>
          <t>Contractor</t>
        </is>
      </c>
      <c r="I3" s="20" t="inlineStr">
        <is>
          <t>Grant Reimb</t>
        </is>
      </c>
      <c r="J3" s="20" t="inlineStr">
        <is>
          <t>Budget Revenue</t>
        </is>
      </c>
      <c r="K3" s="20" t="inlineStr">
        <is>
          <t>Budget OpEx</t>
        </is>
      </c>
      <c r="L3" s="20" t="inlineStr">
        <is>
          <t>Budget CapEx</t>
        </is>
      </c>
      <c r="M3" s="20" t="inlineStr">
        <is>
          <t>Forecast Revenue</t>
        </is>
      </c>
      <c r="N3" s="20" t="inlineStr">
        <is>
          <t>Cash Balance</t>
        </is>
      </c>
    </row>
    <row r="4">
      <c r="A4" s="40" t="inlineStr">
        <is>
          <t>Jul-2025</t>
        </is>
      </c>
      <c r="B4" s="48" t="n">
        <v>1</v>
      </c>
      <c r="C4" s="50" t="n">
        <v>420561</v>
      </c>
      <c r="D4" s="50" t="n">
        <v>355663</v>
      </c>
      <c r="E4" s="50" t="n">
        <v>570707</v>
      </c>
      <c r="F4" s="50" t="n">
        <v>393091</v>
      </c>
      <c r="G4" s="50" t="n">
        <v>233526</v>
      </c>
      <c r="H4" s="50" t="n">
        <v>270165</v>
      </c>
      <c r="I4" s="50" t="n">
        <v>320000</v>
      </c>
      <c r="J4" s="50" t="n">
        <v>440267</v>
      </c>
      <c r="K4" s="50" t="n">
        <v>406052</v>
      </c>
      <c r="L4" s="50" t="n">
        <v>574015</v>
      </c>
      <c r="M4" s="50" t="n">
        <v>432726</v>
      </c>
      <c r="N4" s="50" t="n">
        <v>4706598</v>
      </c>
    </row>
    <row r="5">
      <c r="A5" s="40" t="inlineStr">
        <is>
          <t>Aug-2025</t>
        </is>
      </c>
      <c r="B5" s="48" t="n">
        <v>2</v>
      </c>
      <c r="C5" s="50" t="n">
        <v>448772</v>
      </c>
      <c r="D5" s="50" t="n">
        <v>383965</v>
      </c>
      <c r="E5" s="50" t="n">
        <v>561313</v>
      </c>
      <c r="F5" s="50" t="n">
        <v>420533</v>
      </c>
      <c r="G5" s="50" t="n">
        <v>246178</v>
      </c>
      <c r="H5" s="50" t="n">
        <v>256854</v>
      </c>
      <c r="I5" s="50" t="n">
        <v>0</v>
      </c>
      <c r="J5" s="50" t="n">
        <v>459642</v>
      </c>
      <c r="K5" s="50" t="n">
        <v>439949</v>
      </c>
      <c r="L5" s="50" t="n">
        <v>568260</v>
      </c>
      <c r="M5" s="50" t="n">
        <v>456932</v>
      </c>
      <c r="N5" s="50" t="n">
        <v>3916670</v>
      </c>
    </row>
    <row r="6">
      <c r="A6" s="40" t="inlineStr">
        <is>
          <t>Sep-2025</t>
        </is>
      </c>
      <c r="B6" s="48" t="n">
        <v>3</v>
      </c>
      <c r="C6" s="50" t="n">
        <v>454335</v>
      </c>
      <c r="D6" s="50" t="n">
        <v>411332</v>
      </c>
      <c r="E6" s="50" t="n">
        <v>866692</v>
      </c>
      <c r="F6" s="50" t="n">
        <v>350164</v>
      </c>
      <c r="G6" s="50" t="n">
        <v>224935</v>
      </c>
      <c r="H6" s="50" t="n">
        <v>255861</v>
      </c>
      <c r="I6" s="50" t="n">
        <v>290000</v>
      </c>
      <c r="J6" s="50" t="n">
        <v>444310</v>
      </c>
      <c r="K6" s="50" t="n">
        <v>339694</v>
      </c>
      <c r="L6" s="50" t="n">
        <v>835903</v>
      </c>
      <c r="M6" s="50" t="n">
        <v>461344</v>
      </c>
      <c r="N6" s="50" t="n">
        <v>3188288</v>
      </c>
    </row>
    <row r="7">
      <c r="A7" s="40" t="inlineStr">
        <is>
          <t>Oct-2025</t>
        </is>
      </c>
      <c r="B7" s="48" t="n">
        <v>4</v>
      </c>
      <c r="C7" s="50" t="n">
        <v>511335</v>
      </c>
      <c r="D7" s="50" t="n">
        <v>447426</v>
      </c>
      <c r="E7" s="50" t="n">
        <v>605277</v>
      </c>
      <c r="F7" s="50" t="n">
        <v>367990</v>
      </c>
      <c r="G7" s="50" t="n">
        <v>234260</v>
      </c>
      <c r="H7" s="50" t="n">
        <v>273132</v>
      </c>
      <c r="I7" s="50" t="n">
        <v>0</v>
      </c>
      <c r="J7" s="50" t="n">
        <v>502150</v>
      </c>
      <c r="K7" s="50" t="n">
        <v>387738</v>
      </c>
      <c r="L7" s="50" t="n">
        <v>619613</v>
      </c>
      <c r="M7" s="50" t="n">
        <v>518680</v>
      </c>
      <c r="N7" s="50" t="n">
        <v>2453224</v>
      </c>
    </row>
    <row r="8">
      <c r="A8" s="40" t="inlineStr">
        <is>
          <t>Nov-2025</t>
        </is>
      </c>
      <c r="B8" s="48" t="n">
        <v>5</v>
      </c>
      <c r="C8" s="50" t="n">
        <v>533332</v>
      </c>
      <c r="D8" s="50" t="n">
        <v>482117</v>
      </c>
      <c r="E8" s="50" t="n">
        <v>800043</v>
      </c>
      <c r="F8" s="50" t="n">
        <v>376337</v>
      </c>
      <c r="G8" s="50" t="n">
        <v>226043</v>
      </c>
      <c r="H8" s="50" t="n">
        <v>222834</v>
      </c>
      <c r="I8" s="50" t="n">
        <v>410000</v>
      </c>
      <c r="J8" s="50" t="n">
        <v>523942</v>
      </c>
      <c r="K8" s="50" t="n">
        <v>396109</v>
      </c>
      <c r="L8" s="50" t="n">
        <v>824129</v>
      </c>
      <c r="M8" s="50" t="n">
        <v>532684</v>
      </c>
      <c r="N8" s="50" t="n">
        <v>1997342</v>
      </c>
    </row>
    <row r="9">
      <c r="A9" s="40" t="inlineStr">
        <is>
          <t>Dec-2025</t>
        </is>
      </c>
      <c r="B9" s="48" t="n">
        <v>6</v>
      </c>
      <c r="C9" s="50" t="n">
        <v>569892</v>
      </c>
      <c r="D9" s="50" t="n">
        <v>508640</v>
      </c>
      <c r="E9" s="50" t="n">
        <v>961897</v>
      </c>
      <c r="F9" s="50" t="n">
        <v>387522</v>
      </c>
      <c r="G9" s="50" t="n">
        <v>213665</v>
      </c>
      <c r="H9" s="50" t="n">
        <v>240043</v>
      </c>
      <c r="I9" s="50" t="n">
        <v>0</v>
      </c>
      <c r="J9" s="50" t="n">
        <v>596452</v>
      </c>
      <c r="K9" s="50" t="n">
        <v>387567</v>
      </c>
      <c r="L9" s="50" t="n">
        <v>895132</v>
      </c>
      <c r="M9" s="50" t="n">
        <v>585009</v>
      </c>
      <c r="N9" s="50" t="n">
        <v>977772</v>
      </c>
    </row>
    <row r="10">
      <c r="A10" s="40" t="inlineStr">
        <is>
          <t>Jan-2026</t>
        </is>
      </c>
      <c r="B10" s="48" t="n">
        <v>7</v>
      </c>
      <c r="C10" s="50" t="n">
        <v>623154</v>
      </c>
      <c r="D10" s="50" t="n">
        <v>545984</v>
      </c>
      <c r="E10" s="50" t="n">
        <v>979469</v>
      </c>
      <c r="F10" s="50" t="n">
        <v>393576</v>
      </c>
      <c r="G10" s="50" t="n">
        <v>230622</v>
      </c>
      <c r="H10" s="50" t="n">
        <v>235738</v>
      </c>
      <c r="I10" s="50" t="n">
        <v>410000</v>
      </c>
      <c r="J10" s="50" t="n">
        <v>621581</v>
      </c>
      <c r="K10" s="50" t="n">
        <v>413827</v>
      </c>
      <c r="L10" s="50" t="n">
        <v>973020</v>
      </c>
      <c r="M10" s="50" t="n">
        <v>623525</v>
      </c>
      <c r="N10" s="50" t="n">
        <v>402143</v>
      </c>
    </row>
    <row r="11">
      <c r="A11" s="40" t="inlineStr">
        <is>
          <t>Feb-2026</t>
        </is>
      </c>
      <c r="B11" s="48" t="n">
        <v>8</v>
      </c>
      <c r="C11" s="50" t="n">
        <v>629515</v>
      </c>
      <c r="D11" s="50" t="n">
        <v>573353</v>
      </c>
      <c r="E11" s="50" t="n">
        <v>910588</v>
      </c>
      <c r="F11" s="50" t="n">
        <v>384008</v>
      </c>
      <c r="G11" s="50" t="n">
        <v>246789</v>
      </c>
      <c r="H11" s="50" t="n">
        <v>321289</v>
      </c>
      <c r="I11" s="50" t="n">
        <v>0</v>
      </c>
      <c r="J11" s="50" t="n">
        <v>642200</v>
      </c>
      <c r="K11" s="50" t="n">
        <v>403125</v>
      </c>
      <c r="L11" s="50" t="n">
        <v>895931</v>
      </c>
      <c r="M11" s="50" t="n">
        <v>628742</v>
      </c>
      <c r="N11" s="50" t="n">
        <v>-584227</v>
      </c>
    </row>
    <row r="12">
      <c r="A12" s="40" t="inlineStr">
        <is>
          <t>Mar-2026</t>
        </is>
      </c>
      <c r="B12" s="48" t="n">
        <v>9</v>
      </c>
      <c r="C12" s="50" t="n">
        <v>656839</v>
      </c>
      <c r="D12" s="50" t="n">
        <v>607774</v>
      </c>
      <c r="E12" s="50" t="n">
        <v>787138</v>
      </c>
      <c r="F12" s="50" t="n">
        <v>411873</v>
      </c>
      <c r="G12" s="50" t="n">
        <v>242343</v>
      </c>
      <c r="H12" s="50" t="n">
        <v>203831</v>
      </c>
      <c r="I12" s="50" t="n">
        <v>0</v>
      </c>
      <c r="J12" s="50" t="n">
        <v>691870</v>
      </c>
      <c r="K12" s="50" t="n">
        <v>401693</v>
      </c>
      <c r="L12" s="50" t="n">
        <v>744315</v>
      </c>
      <c r="M12" s="50" t="n">
        <v>668149</v>
      </c>
      <c r="N12" s="50" t="n">
        <v>-1330230</v>
      </c>
    </row>
    <row r="13">
      <c r="A13" s="40" t="inlineStr">
        <is>
          <t>Apr-2026</t>
        </is>
      </c>
      <c r="B13" s="48" t="n">
        <v>10</v>
      </c>
      <c r="C13" s="50" t="n">
        <v>714060</v>
      </c>
      <c r="D13" s="50" t="n">
        <v>634974</v>
      </c>
      <c r="E13" s="50" t="n">
        <v>553306</v>
      </c>
      <c r="F13" s="50" t="n">
        <v>394268</v>
      </c>
      <c r="G13" s="50" t="n">
        <v>235216</v>
      </c>
      <c r="H13" s="50" t="n">
        <v>280039</v>
      </c>
      <c r="I13" s="50" t="n">
        <v>410000</v>
      </c>
      <c r="J13" s="50" t="n">
        <v>723695</v>
      </c>
      <c r="K13" s="50" t="n">
        <v>416784</v>
      </c>
      <c r="L13" s="50" t="n">
        <v>585245</v>
      </c>
      <c r="M13" s="50" t="n">
        <v>707247</v>
      </c>
      <c r="N13" s="50" t="n">
        <v>-1433783</v>
      </c>
    </row>
    <row r="14">
      <c r="A14" s="40" t="inlineStr">
        <is>
          <t>May-2026</t>
        </is>
      </c>
      <c r="B14" s="48" t="n">
        <v>11</v>
      </c>
      <c r="C14" s="50" t="n">
        <v>755217</v>
      </c>
      <c r="D14" s="50" t="n">
        <v>667984</v>
      </c>
      <c r="E14" s="50" t="n">
        <v>580058</v>
      </c>
      <c r="F14" s="50" t="n">
        <v>415560</v>
      </c>
      <c r="G14" s="50" t="n">
        <v>245190</v>
      </c>
      <c r="H14" s="50" t="n">
        <v>249946</v>
      </c>
      <c r="I14" s="50" t="n">
        <v>0</v>
      </c>
      <c r="J14" s="50" t="n">
        <v>748285</v>
      </c>
      <c r="K14" s="50" t="n">
        <v>411134</v>
      </c>
      <c r="L14" s="50" t="n">
        <v>548332</v>
      </c>
      <c r="M14" s="50" t="n">
        <v>747763</v>
      </c>
      <c r="N14" s="50" t="n">
        <v>-1924130</v>
      </c>
    </row>
    <row r="15">
      <c r="A15" s="40" t="inlineStr">
        <is>
          <t>Jun-2026</t>
        </is>
      </c>
      <c r="B15" s="48" t="n">
        <v>12</v>
      </c>
      <c r="C15" s="50" t="n">
        <v>790483</v>
      </c>
      <c r="D15" s="50" t="n">
        <v>703160</v>
      </c>
      <c r="E15" s="50" t="n">
        <v>979199</v>
      </c>
      <c r="F15" s="50" t="n">
        <v>397196</v>
      </c>
      <c r="G15" s="50" t="n">
        <v>227261</v>
      </c>
      <c r="H15" s="50" t="n">
        <v>311225</v>
      </c>
      <c r="I15" s="50" t="n">
        <v>0</v>
      </c>
      <c r="J15" s="50" t="n">
        <v>799116</v>
      </c>
      <c r="K15" s="50" t="n">
        <v>385535</v>
      </c>
      <c r="L15" s="50" t="n">
        <v>998830</v>
      </c>
      <c r="M15" s="50" t="n">
        <v>809191</v>
      </c>
      <c r="N15" s="50" t="n">
        <v>-2821267</v>
      </c>
    </row>
  </sheetData>
  <mergeCells count="2">
    <mergeCell ref="A2:N2"/>
    <mergeCell ref="A1:N1"/>
  </mergeCells>
  <dataValidations count="1">
    <dataValidation sqref="A4:A1003" showDropDown="0" showInputMessage="0" showErrorMessage="0" allowBlank="1" type="list">
      <formula1>=Lists!$A$2:$A$13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B6B86"/>
    <outlinePr summaryBelow="1" summaryRight="1"/>
    <pageSetUpPr/>
  </sheetPr>
  <dimension ref="A1:F7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6" customWidth="1" min="4" max="4"/>
    <col width="13" customWidth="1" min="5" max="5"/>
    <col width="13" customWidth="1" min="6" max="6"/>
  </cols>
  <sheetData>
    <row r="1" ht="24" customHeight="1">
      <c r="A1" s="46" t="inlineStr">
        <is>
          <t>REVENUE DETAIL  —  Revenue &amp; COGS by Product / Month</t>
        </is>
      </c>
    </row>
    <row r="2" ht="16" customHeight="1">
      <c r="A2" s="47" t="inlineStr">
        <is>
          <t>One row per product per month. Used for revenue-by-product and margin-by-service-line. COGS = direct cost of that line.</t>
        </is>
      </c>
    </row>
    <row r="3">
      <c r="A3" s="20" t="inlineStr">
        <is>
          <t>Month</t>
        </is>
      </c>
      <c r="B3" s="20" t="inlineStr">
        <is>
          <t>Period</t>
        </is>
      </c>
      <c r="C3" s="20" t="inlineStr">
        <is>
          <t>Product / Service Line</t>
        </is>
      </c>
      <c r="D3" s="20" t="inlineStr">
        <is>
          <t>Segment</t>
        </is>
      </c>
      <c r="E3" s="20" t="inlineStr">
        <is>
          <t>Revenue</t>
        </is>
      </c>
      <c r="F3" s="20" t="inlineStr">
        <is>
          <t>COGS</t>
        </is>
      </c>
    </row>
    <row r="4">
      <c r="A4" s="40" t="inlineStr">
        <is>
          <t>Jul-2025</t>
        </is>
      </c>
      <c r="B4" s="48" t="n">
        <v>1</v>
      </c>
      <c r="C4" s="40" t="inlineStr">
        <is>
          <t>Residential Internet</t>
        </is>
      </c>
      <c r="D4" s="40" t="inlineStr">
        <is>
          <t>Residential</t>
        </is>
      </c>
      <c r="E4" s="50" t="n">
        <v>209725</v>
      </c>
      <c r="F4" s="50" t="n">
        <v>59024</v>
      </c>
    </row>
    <row r="5">
      <c r="A5" s="40" t="inlineStr">
        <is>
          <t>Jul-2025</t>
        </is>
      </c>
      <c r="B5" s="48" t="n">
        <v>1</v>
      </c>
      <c r="C5" s="40" t="inlineStr">
        <is>
          <t>Business Internet</t>
        </is>
      </c>
      <c r="D5" s="40" t="inlineStr">
        <is>
          <t>Business</t>
        </is>
      </c>
      <c r="E5" s="50" t="n">
        <v>74291</v>
      </c>
      <c r="F5" s="50" t="n">
        <v>20131</v>
      </c>
    </row>
    <row r="6">
      <c r="A6" s="40" t="inlineStr">
        <is>
          <t>Jul-2025</t>
        </is>
      </c>
      <c r="B6" s="48" t="n">
        <v>1</v>
      </c>
      <c r="C6" s="40" t="inlineStr">
        <is>
          <t>Enterprise / DIA</t>
        </is>
      </c>
      <c r="D6" s="40" t="inlineStr">
        <is>
          <t>Enterprise</t>
        </is>
      </c>
      <c r="E6" s="50" t="n">
        <v>54745</v>
      </c>
      <c r="F6" s="50" t="n">
        <v>19319</v>
      </c>
    </row>
    <row r="7">
      <c r="A7" s="40" t="inlineStr">
        <is>
          <t>Jul-2025</t>
        </is>
      </c>
      <c r="B7" s="48" t="n">
        <v>1</v>
      </c>
      <c r="C7" s="40" t="inlineStr">
        <is>
          <t>Managed WiFi</t>
        </is>
      </c>
      <c r="D7" s="40" t="inlineStr">
        <is>
          <t>Residential</t>
        </is>
      </c>
      <c r="E7" s="50" t="n">
        <v>22253</v>
      </c>
      <c r="F7" s="50" t="n">
        <v>8702</v>
      </c>
    </row>
    <row r="8">
      <c r="A8" s="40" t="inlineStr">
        <is>
          <t>Jul-2025</t>
        </is>
      </c>
      <c r="B8" s="48" t="n">
        <v>1</v>
      </c>
      <c r="C8" s="40" t="inlineStr">
        <is>
          <t>Voice</t>
        </is>
      </c>
      <c r="D8" s="40" t="inlineStr">
        <is>
          <t>Business</t>
        </is>
      </c>
      <c r="E8" s="50" t="n">
        <v>17603</v>
      </c>
      <c r="F8" s="50" t="n">
        <v>7854</v>
      </c>
    </row>
    <row r="9">
      <c r="A9" s="40" t="inlineStr">
        <is>
          <t>Jul-2025</t>
        </is>
      </c>
      <c r="B9" s="48" t="n">
        <v>1</v>
      </c>
      <c r="C9" s="40" t="inlineStr">
        <is>
          <t>Construction / Other</t>
        </is>
      </c>
      <c r="D9" s="40" t="inlineStr">
        <is>
          <t>Wholesale/Other</t>
        </is>
      </c>
      <c r="E9" s="50" t="n">
        <v>35983</v>
      </c>
      <c r="F9" s="50" t="n">
        <v>22327</v>
      </c>
    </row>
    <row r="10">
      <c r="A10" s="40" t="inlineStr">
        <is>
          <t>Aug-2025</t>
        </is>
      </c>
      <c r="B10" s="48" t="n">
        <v>2</v>
      </c>
      <c r="C10" s="40" t="inlineStr">
        <is>
          <t>Residential Internet</t>
        </is>
      </c>
      <c r="D10" s="40" t="inlineStr">
        <is>
          <t>Residential</t>
        </is>
      </c>
      <c r="E10" s="50" t="n">
        <v>245330</v>
      </c>
      <c r="F10" s="50" t="n">
        <v>67201</v>
      </c>
    </row>
    <row r="11">
      <c r="A11" s="40" t="inlineStr">
        <is>
          <t>Aug-2025</t>
        </is>
      </c>
      <c r="B11" s="48" t="n">
        <v>2</v>
      </c>
      <c r="C11" s="40" t="inlineStr">
        <is>
          <t>Business Internet</t>
        </is>
      </c>
      <c r="D11" s="40" t="inlineStr">
        <is>
          <t>Business</t>
        </is>
      </c>
      <c r="E11" s="50" t="n">
        <v>78175</v>
      </c>
      <c r="F11" s="50" t="n">
        <v>20502</v>
      </c>
    </row>
    <row r="12">
      <c r="A12" s="40" t="inlineStr">
        <is>
          <t>Aug-2025</t>
        </is>
      </c>
      <c r="B12" s="48" t="n">
        <v>2</v>
      </c>
      <c r="C12" s="40" t="inlineStr">
        <is>
          <t>Enterprise / DIA</t>
        </is>
      </c>
      <c r="D12" s="40" t="inlineStr">
        <is>
          <t>Enterprise</t>
        </is>
      </c>
      <c r="E12" s="50" t="n">
        <v>62997</v>
      </c>
      <c r="F12" s="50" t="n">
        <v>21397</v>
      </c>
    </row>
    <row r="13">
      <c r="A13" s="40" t="inlineStr">
        <is>
          <t>Aug-2025</t>
        </is>
      </c>
      <c r="B13" s="48" t="n">
        <v>2</v>
      </c>
      <c r="C13" s="40" t="inlineStr">
        <is>
          <t>Managed WiFi</t>
        </is>
      </c>
      <c r="D13" s="40" t="inlineStr">
        <is>
          <t>Residential</t>
        </is>
      </c>
      <c r="E13" s="50" t="n">
        <v>21177</v>
      </c>
      <c r="F13" s="50" t="n">
        <v>8503</v>
      </c>
    </row>
    <row r="14">
      <c r="A14" s="40" t="inlineStr">
        <is>
          <t>Aug-2025</t>
        </is>
      </c>
      <c r="B14" s="48" t="n">
        <v>2</v>
      </c>
      <c r="C14" s="40" t="inlineStr">
        <is>
          <t>Voice</t>
        </is>
      </c>
      <c r="D14" s="40" t="inlineStr">
        <is>
          <t>Business</t>
        </is>
      </c>
      <c r="E14" s="50" t="n">
        <v>17506</v>
      </c>
      <c r="F14" s="50" t="n">
        <v>7919</v>
      </c>
    </row>
    <row r="15">
      <c r="A15" s="40" t="inlineStr">
        <is>
          <t>Aug-2025</t>
        </is>
      </c>
      <c r="B15" s="48" t="n">
        <v>2</v>
      </c>
      <c r="C15" s="40" t="inlineStr">
        <is>
          <t>Construction / Other</t>
        </is>
      </c>
      <c r="D15" s="40" t="inlineStr">
        <is>
          <t>Wholesale/Other</t>
        </is>
      </c>
      <c r="E15" s="50" t="n">
        <v>36151</v>
      </c>
      <c r="F15" s="50" t="n">
        <v>22314</v>
      </c>
    </row>
    <row r="16">
      <c r="A16" s="40" t="inlineStr">
        <is>
          <t>Sep-2025</t>
        </is>
      </c>
      <c r="B16" s="48" t="n">
        <v>3</v>
      </c>
      <c r="C16" s="40" t="inlineStr">
        <is>
          <t>Residential Internet</t>
        </is>
      </c>
      <c r="D16" s="40" t="inlineStr">
        <is>
          <t>Residential</t>
        </is>
      </c>
      <c r="E16" s="50" t="n">
        <v>229517</v>
      </c>
      <c r="F16" s="50" t="n">
        <v>62264</v>
      </c>
    </row>
    <row r="17">
      <c r="A17" s="40" t="inlineStr">
        <is>
          <t>Sep-2025</t>
        </is>
      </c>
      <c r="B17" s="48" t="n">
        <v>3</v>
      </c>
      <c r="C17" s="40" t="inlineStr">
        <is>
          <t>Business Internet</t>
        </is>
      </c>
      <c r="D17" s="40" t="inlineStr">
        <is>
          <t>Business</t>
        </is>
      </c>
      <c r="E17" s="50" t="n">
        <v>84365</v>
      </c>
      <c r="F17" s="50" t="n">
        <v>22092</v>
      </c>
    </row>
    <row r="18">
      <c r="A18" s="40" t="inlineStr">
        <is>
          <t>Sep-2025</t>
        </is>
      </c>
      <c r="B18" s="48" t="n">
        <v>3</v>
      </c>
      <c r="C18" s="40" t="inlineStr">
        <is>
          <t>Enterprise / DIA</t>
        </is>
      </c>
      <c r="D18" s="40" t="inlineStr">
        <is>
          <t>Enterprise</t>
        </is>
      </c>
      <c r="E18" s="50" t="n">
        <v>56546</v>
      </c>
      <c r="F18" s="50" t="n">
        <v>19755</v>
      </c>
    </row>
    <row r="19">
      <c r="A19" s="40" t="inlineStr">
        <is>
          <t>Sep-2025</t>
        </is>
      </c>
      <c r="B19" s="48" t="n">
        <v>3</v>
      </c>
      <c r="C19" s="40" t="inlineStr">
        <is>
          <t>Managed WiFi</t>
        </is>
      </c>
      <c r="D19" s="40" t="inlineStr">
        <is>
          <t>Residential</t>
        </is>
      </c>
      <c r="E19" s="50" t="n">
        <v>21058</v>
      </c>
      <c r="F19" s="50" t="n">
        <v>8629</v>
      </c>
    </row>
    <row r="20">
      <c r="A20" s="40" t="inlineStr">
        <is>
          <t>Sep-2025</t>
        </is>
      </c>
      <c r="B20" s="48" t="n">
        <v>3</v>
      </c>
      <c r="C20" s="40" t="inlineStr">
        <is>
          <t>Voice</t>
        </is>
      </c>
      <c r="D20" s="40" t="inlineStr">
        <is>
          <t>Business</t>
        </is>
      </c>
      <c r="E20" s="50" t="n">
        <v>18770</v>
      </c>
      <c r="F20" s="50" t="n">
        <v>8710</v>
      </c>
    </row>
    <row r="21">
      <c r="A21" s="40" t="inlineStr">
        <is>
          <t>Sep-2025</t>
        </is>
      </c>
      <c r="B21" s="48" t="n">
        <v>3</v>
      </c>
      <c r="C21" s="40" t="inlineStr">
        <is>
          <t>Construction / Other</t>
        </is>
      </c>
      <c r="D21" s="40" t="inlineStr">
        <is>
          <t>Wholesale/Other</t>
        </is>
      </c>
      <c r="E21" s="50" t="n">
        <v>35684</v>
      </c>
      <c r="F21" s="50" t="n">
        <v>22486</v>
      </c>
    </row>
    <row r="22">
      <c r="A22" s="40" t="inlineStr">
        <is>
          <t>Oct-2025</t>
        </is>
      </c>
      <c r="B22" s="48" t="n">
        <v>4</v>
      </c>
      <c r="C22" s="40" t="inlineStr">
        <is>
          <t>Residential Internet</t>
        </is>
      </c>
      <c r="D22" s="40" t="inlineStr">
        <is>
          <t>Residential</t>
        </is>
      </c>
      <c r="E22" s="50" t="n">
        <v>279540</v>
      </c>
      <c r="F22" s="50" t="n">
        <v>82035</v>
      </c>
    </row>
    <row r="23">
      <c r="A23" s="40" t="inlineStr">
        <is>
          <t>Oct-2025</t>
        </is>
      </c>
      <c r="B23" s="48" t="n">
        <v>4</v>
      </c>
      <c r="C23" s="40" t="inlineStr">
        <is>
          <t>Business Internet</t>
        </is>
      </c>
      <c r="D23" s="40" t="inlineStr">
        <is>
          <t>Business</t>
        </is>
      </c>
      <c r="E23" s="50" t="n">
        <v>91972</v>
      </c>
      <c r="F23" s="50" t="n">
        <v>22806</v>
      </c>
    </row>
    <row r="24">
      <c r="A24" s="40" t="inlineStr">
        <is>
          <t>Oct-2025</t>
        </is>
      </c>
      <c r="B24" s="48" t="n">
        <v>4</v>
      </c>
      <c r="C24" s="40" t="inlineStr">
        <is>
          <t>Enterprise / DIA</t>
        </is>
      </c>
      <c r="D24" s="40" t="inlineStr">
        <is>
          <t>Enterprise</t>
        </is>
      </c>
      <c r="E24" s="50" t="n">
        <v>66498</v>
      </c>
      <c r="F24" s="50" t="n">
        <v>22813</v>
      </c>
    </row>
    <row r="25">
      <c r="A25" s="40" t="inlineStr">
        <is>
          <t>Oct-2025</t>
        </is>
      </c>
      <c r="B25" s="48" t="n">
        <v>4</v>
      </c>
      <c r="C25" s="40" t="inlineStr">
        <is>
          <t>Managed WiFi</t>
        </is>
      </c>
      <c r="D25" s="40" t="inlineStr">
        <is>
          <t>Residential</t>
        </is>
      </c>
      <c r="E25" s="50" t="n">
        <v>27079</v>
      </c>
      <c r="F25" s="50" t="n">
        <v>11237</v>
      </c>
    </row>
    <row r="26">
      <c r="A26" s="40" t="inlineStr">
        <is>
          <t>Oct-2025</t>
        </is>
      </c>
      <c r="B26" s="48" t="n">
        <v>4</v>
      </c>
      <c r="C26" s="40" t="inlineStr">
        <is>
          <t>Voice</t>
        </is>
      </c>
      <c r="D26" s="40" t="inlineStr">
        <is>
          <t>Business</t>
        </is>
      </c>
      <c r="E26" s="50" t="n">
        <v>20258</v>
      </c>
      <c r="F26" s="50" t="n">
        <v>9140</v>
      </c>
    </row>
    <row r="27">
      <c r="A27" s="40" t="inlineStr">
        <is>
          <t>Oct-2025</t>
        </is>
      </c>
      <c r="B27" s="48" t="n">
        <v>4</v>
      </c>
      <c r="C27" s="40" t="inlineStr">
        <is>
          <t>Construction / Other</t>
        </is>
      </c>
      <c r="D27" s="40" t="inlineStr">
        <is>
          <t>Wholesale/Other</t>
        </is>
      </c>
      <c r="E27" s="50" t="n">
        <v>40625</v>
      </c>
      <c r="F27" s="50" t="n">
        <v>25748</v>
      </c>
    </row>
    <row r="28">
      <c r="A28" s="40" t="inlineStr">
        <is>
          <t>Nov-2025</t>
        </is>
      </c>
      <c r="B28" s="48" t="n">
        <v>5</v>
      </c>
      <c r="C28" s="40" t="inlineStr">
        <is>
          <t>Residential Internet</t>
        </is>
      </c>
      <c r="D28" s="40" t="inlineStr">
        <is>
          <t>Residential</t>
        </is>
      </c>
      <c r="E28" s="50" t="n">
        <v>273338</v>
      </c>
      <c r="F28" s="50" t="n">
        <v>77719</v>
      </c>
    </row>
    <row r="29">
      <c r="A29" s="40" t="inlineStr">
        <is>
          <t>Nov-2025</t>
        </is>
      </c>
      <c r="B29" s="48" t="n">
        <v>5</v>
      </c>
      <c r="C29" s="40" t="inlineStr">
        <is>
          <t>Business Internet</t>
        </is>
      </c>
      <c r="D29" s="40" t="inlineStr">
        <is>
          <t>Business</t>
        </is>
      </c>
      <c r="E29" s="50" t="n">
        <v>90691</v>
      </c>
      <c r="F29" s="50" t="n">
        <v>23508</v>
      </c>
    </row>
    <row r="30">
      <c r="A30" s="40" t="inlineStr">
        <is>
          <t>Nov-2025</t>
        </is>
      </c>
      <c r="B30" s="48" t="n">
        <v>5</v>
      </c>
      <c r="C30" s="40" t="inlineStr">
        <is>
          <t>Enterprise / DIA</t>
        </is>
      </c>
      <c r="D30" s="40" t="inlineStr">
        <is>
          <t>Enterprise</t>
        </is>
      </c>
      <c r="E30" s="50" t="n">
        <v>74538</v>
      </c>
      <c r="F30" s="50" t="n">
        <v>24934</v>
      </c>
    </row>
    <row r="31">
      <c r="A31" s="40" t="inlineStr">
        <is>
          <t>Nov-2025</t>
        </is>
      </c>
      <c r="B31" s="48" t="n">
        <v>5</v>
      </c>
      <c r="C31" s="40" t="inlineStr">
        <is>
          <t>Managed WiFi</t>
        </is>
      </c>
      <c r="D31" s="40" t="inlineStr">
        <is>
          <t>Residential</t>
        </is>
      </c>
      <c r="E31" s="50" t="n">
        <v>27489</v>
      </c>
      <c r="F31" s="50" t="n">
        <v>11160</v>
      </c>
    </row>
    <row r="32">
      <c r="A32" s="40" t="inlineStr">
        <is>
          <t>Nov-2025</t>
        </is>
      </c>
      <c r="B32" s="48" t="n">
        <v>5</v>
      </c>
      <c r="C32" s="40" t="inlineStr">
        <is>
          <t>Voice</t>
        </is>
      </c>
      <c r="D32" s="40" t="inlineStr">
        <is>
          <t>Business</t>
        </is>
      </c>
      <c r="E32" s="50" t="n">
        <v>22534</v>
      </c>
      <c r="F32" s="50" t="n">
        <v>10498</v>
      </c>
    </row>
    <row r="33">
      <c r="A33" s="40" t="inlineStr">
        <is>
          <t>Nov-2025</t>
        </is>
      </c>
      <c r="B33" s="48" t="n">
        <v>5</v>
      </c>
      <c r="C33" s="40" t="inlineStr">
        <is>
          <t>Construction / Other</t>
        </is>
      </c>
      <c r="D33" s="40" t="inlineStr">
        <is>
          <t>Wholesale/Other</t>
        </is>
      </c>
      <c r="E33" s="50" t="n">
        <v>45120</v>
      </c>
      <c r="F33" s="50" t="n">
        <v>27639</v>
      </c>
    </row>
    <row r="34">
      <c r="A34" s="40" t="inlineStr">
        <is>
          <t>Dec-2025</t>
        </is>
      </c>
      <c r="B34" s="48" t="n">
        <v>6</v>
      </c>
      <c r="C34" s="40" t="inlineStr">
        <is>
          <t>Residential Internet</t>
        </is>
      </c>
      <c r="D34" s="40" t="inlineStr">
        <is>
          <t>Residential</t>
        </is>
      </c>
      <c r="E34" s="50" t="n">
        <v>287651</v>
      </c>
      <c r="F34" s="50" t="n">
        <v>82304</v>
      </c>
    </row>
    <row r="35">
      <c r="A35" s="40" t="inlineStr">
        <is>
          <t>Dec-2025</t>
        </is>
      </c>
      <c r="B35" s="48" t="n">
        <v>6</v>
      </c>
      <c r="C35" s="40" t="inlineStr">
        <is>
          <t>Business Internet</t>
        </is>
      </c>
      <c r="D35" s="40" t="inlineStr">
        <is>
          <t>Business</t>
        </is>
      </c>
      <c r="E35" s="50" t="n">
        <v>106838</v>
      </c>
      <c r="F35" s="50" t="n">
        <v>28812</v>
      </c>
    </row>
    <row r="36">
      <c r="A36" s="40" t="inlineStr">
        <is>
          <t>Dec-2025</t>
        </is>
      </c>
      <c r="B36" s="48" t="n">
        <v>6</v>
      </c>
      <c r="C36" s="40" t="inlineStr">
        <is>
          <t>Enterprise / DIA</t>
        </is>
      </c>
      <c r="D36" s="40" t="inlineStr">
        <is>
          <t>Enterprise</t>
        </is>
      </c>
      <c r="E36" s="50" t="n">
        <v>68585</v>
      </c>
      <c r="F36" s="50" t="n">
        <v>22313</v>
      </c>
    </row>
    <row r="37">
      <c r="A37" s="40" t="inlineStr">
        <is>
          <t>Dec-2025</t>
        </is>
      </c>
      <c r="B37" s="48" t="n">
        <v>6</v>
      </c>
      <c r="C37" s="40" t="inlineStr">
        <is>
          <t>Managed WiFi</t>
        </is>
      </c>
      <c r="D37" s="40" t="inlineStr">
        <is>
          <t>Residential</t>
        </is>
      </c>
      <c r="E37" s="50" t="n">
        <v>29093</v>
      </c>
      <c r="F37" s="50" t="n">
        <v>12127</v>
      </c>
    </row>
    <row r="38">
      <c r="A38" s="40" t="inlineStr">
        <is>
          <t>Dec-2025</t>
        </is>
      </c>
      <c r="B38" s="48" t="n">
        <v>6</v>
      </c>
      <c r="C38" s="40" t="inlineStr">
        <is>
          <t>Voice</t>
        </is>
      </c>
      <c r="D38" s="40" t="inlineStr">
        <is>
          <t>Business</t>
        </is>
      </c>
      <c r="E38" s="50" t="n">
        <v>24610</v>
      </c>
      <c r="F38" s="50" t="n">
        <v>11348</v>
      </c>
    </row>
    <row r="39">
      <c r="A39" s="40" t="inlineStr">
        <is>
          <t>Dec-2025</t>
        </is>
      </c>
      <c r="B39" s="48" t="n">
        <v>6</v>
      </c>
      <c r="C39" s="40" t="inlineStr">
        <is>
          <t>Construction / Other</t>
        </is>
      </c>
      <c r="D39" s="40" t="inlineStr">
        <is>
          <t>Wholesale/Other</t>
        </is>
      </c>
      <c r="E39" s="50" t="n">
        <v>45110</v>
      </c>
      <c r="F39" s="50" t="n">
        <v>26845</v>
      </c>
    </row>
    <row r="40">
      <c r="A40" s="40" t="inlineStr">
        <is>
          <t>Jan-2026</t>
        </is>
      </c>
      <c r="B40" s="48" t="n">
        <v>7</v>
      </c>
      <c r="C40" s="40" t="inlineStr">
        <is>
          <t>Residential Internet</t>
        </is>
      </c>
      <c r="D40" s="40" t="inlineStr">
        <is>
          <t>Residential</t>
        </is>
      </c>
      <c r="E40" s="50" t="n">
        <v>330974</v>
      </c>
      <c r="F40" s="50" t="n">
        <v>96126</v>
      </c>
    </row>
    <row r="41">
      <c r="A41" s="40" t="inlineStr">
        <is>
          <t>Jan-2026</t>
        </is>
      </c>
      <c r="B41" s="48" t="n">
        <v>7</v>
      </c>
      <c r="C41" s="40" t="inlineStr">
        <is>
          <t>Business Internet</t>
        </is>
      </c>
      <c r="D41" s="40" t="inlineStr">
        <is>
          <t>Business</t>
        </is>
      </c>
      <c r="E41" s="50" t="n">
        <v>111157</v>
      </c>
      <c r="F41" s="50" t="n">
        <v>29461</v>
      </c>
    </row>
    <row r="42">
      <c r="A42" s="40" t="inlineStr">
        <is>
          <t>Jan-2026</t>
        </is>
      </c>
      <c r="B42" s="48" t="n">
        <v>7</v>
      </c>
      <c r="C42" s="40" t="inlineStr">
        <is>
          <t>Enterprise / DIA</t>
        </is>
      </c>
      <c r="D42" s="40" t="inlineStr">
        <is>
          <t>Enterprise</t>
        </is>
      </c>
      <c r="E42" s="50" t="n">
        <v>86239</v>
      </c>
      <c r="F42" s="50" t="n">
        <v>27990</v>
      </c>
    </row>
    <row r="43">
      <c r="A43" s="40" t="inlineStr">
        <is>
          <t>Jan-2026</t>
        </is>
      </c>
      <c r="B43" s="48" t="n">
        <v>7</v>
      </c>
      <c r="C43" s="40" t="inlineStr">
        <is>
          <t>Managed WiFi</t>
        </is>
      </c>
      <c r="D43" s="40" t="inlineStr">
        <is>
          <t>Residential</t>
        </is>
      </c>
      <c r="E43" s="50" t="n">
        <v>32634</v>
      </c>
      <c r="F43" s="50" t="n">
        <v>12784</v>
      </c>
    </row>
    <row r="44">
      <c r="A44" s="40" t="inlineStr">
        <is>
          <t>Jan-2026</t>
        </is>
      </c>
      <c r="B44" s="48" t="n">
        <v>7</v>
      </c>
      <c r="C44" s="40" t="inlineStr">
        <is>
          <t>Voice</t>
        </is>
      </c>
      <c r="D44" s="40" t="inlineStr">
        <is>
          <t>Business</t>
        </is>
      </c>
      <c r="E44" s="50" t="n">
        <v>24427</v>
      </c>
      <c r="F44" s="50" t="n">
        <v>10603</v>
      </c>
    </row>
    <row r="45">
      <c r="A45" s="40" t="inlineStr">
        <is>
          <t>Jan-2026</t>
        </is>
      </c>
      <c r="B45" s="48" t="n">
        <v>7</v>
      </c>
      <c r="C45" s="40" t="inlineStr">
        <is>
          <t>Construction / Other</t>
        </is>
      </c>
      <c r="D45" s="40" t="inlineStr">
        <is>
          <t>Wholesale/Other</t>
        </is>
      </c>
      <c r="E45" s="50" t="n">
        <v>50101</v>
      </c>
      <c r="F45" s="50" t="n">
        <v>31267</v>
      </c>
    </row>
    <row r="46">
      <c r="A46" s="40" t="inlineStr">
        <is>
          <t>Feb-2026</t>
        </is>
      </c>
      <c r="B46" s="48" t="n">
        <v>8</v>
      </c>
      <c r="C46" s="40" t="inlineStr">
        <is>
          <t>Residential Internet</t>
        </is>
      </c>
      <c r="D46" s="40" t="inlineStr">
        <is>
          <t>Residential</t>
        </is>
      </c>
      <c r="E46" s="50" t="n">
        <v>342669</v>
      </c>
      <c r="F46" s="50" t="n">
        <v>92781</v>
      </c>
    </row>
    <row r="47">
      <c r="A47" s="40" t="inlineStr">
        <is>
          <t>Feb-2026</t>
        </is>
      </c>
      <c r="B47" s="48" t="n">
        <v>8</v>
      </c>
      <c r="C47" s="40" t="inlineStr">
        <is>
          <t>Business Internet</t>
        </is>
      </c>
      <c r="D47" s="40" t="inlineStr">
        <is>
          <t>Business</t>
        </is>
      </c>
      <c r="E47" s="50" t="n">
        <v>105679</v>
      </c>
      <c r="F47" s="50" t="n">
        <v>28495</v>
      </c>
    </row>
    <row r="48">
      <c r="A48" s="40" t="inlineStr">
        <is>
          <t>Feb-2026</t>
        </is>
      </c>
      <c r="B48" s="48" t="n">
        <v>8</v>
      </c>
      <c r="C48" s="40" t="inlineStr">
        <is>
          <t>Enterprise / DIA</t>
        </is>
      </c>
      <c r="D48" s="40" t="inlineStr">
        <is>
          <t>Enterprise</t>
        </is>
      </c>
      <c r="E48" s="50" t="n">
        <v>83404</v>
      </c>
      <c r="F48" s="50" t="n">
        <v>27622</v>
      </c>
    </row>
    <row r="49">
      <c r="A49" s="40" t="inlineStr">
        <is>
          <t>Feb-2026</t>
        </is>
      </c>
      <c r="B49" s="48" t="n">
        <v>8</v>
      </c>
      <c r="C49" s="40" t="inlineStr">
        <is>
          <t>Managed WiFi</t>
        </is>
      </c>
      <c r="D49" s="40" t="inlineStr">
        <is>
          <t>Residential</t>
        </is>
      </c>
      <c r="E49" s="50" t="n">
        <v>33555</v>
      </c>
      <c r="F49" s="50" t="n">
        <v>12943</v>
      </c>
    </row>
    <row r="50">
      <c r="A50" s="40" t="inlineStr">
        <is>
          <t>Feb-2026</t>
        </is>
      </c>
      <c r="B50" s="48" t="n">
        <v>8</v>
      </c>
      <c r="C50" s="40" t="inlineStr">
        <is>
          <t>Voice</t>
        </is>
      </c>
      <c r="D50" s="40" t="inlineStr">
        <is>
          <t>Business</t>
        </is>
      </c>
      <c r="E50" s="50" t="n">
        <v>25024</v>
      </c>
      <c r="F50" s="50" t="n">
        <v>10984</v>
      </c>
    </row>
    <row r="51">
      <c r="A51" s="40" t="inlineStr">
        <is>
          <t>Feb-2026</t>
        </is>
      </c>
      <c r="B51" s="48" t="n">
        <v>8</v>
      </c>
      <c r="C51" s="40" t="inlineStr">
        <is>
          <t>Construction / Other</t>
        </is>
      </c>
      <c r="D51" s="40" t="inlineStr">
        <is>
          <t>Wholesale/Other</t>
        </is>
      </c>
      <c r="E51" s="50" t="n">
        <v>48390</v>
      </c>
      <c r="F51" s="50" t="n">
        <v>28530</v>
      </c>
    </row>
    <row r="52">
      <c r="A52" s="40" t="inlineStr">
        <is>
          <t>Mar-2026</t>
        </is>
      </c>
      <c r="B52" s="48" t="n">
        <v>9</v>
      </c>
      <c r="C52" s="40" t="inlineStr">
        <is>
          <t>Residential Internet</t>
        </is>
      </c>
      <c r="D52" s="40" t="inlineStr">
        <is>
          <t>Residential</t>
        </is>
      </c>
      <c r="E52" s="50" t="n">
        <v>358204</v>
      </c>
      <c r="F52" s="50" t="n">
        <v>104321</v>
      </c>
    </row>
    <row r="53">
      <c r="A53" s="40" t="inlineStr">
        <is>
          <t>Mar-2026</t>
        </is>
      </c>
      <c r="B53" s="48" t="n">
        <v>9</v>
      </c>
      <c r="C53" s="40" t="inlineStr">
        <is>
          <t>Business Internet</t>
        </is>
      </c>
      <c r="D53" s="40" t="inlineStr">
        <is>
          <t>Business</t>
        </is>
      </c>
      <c r="E53" s="50" t="n">
        <v>121591</v>
      </c>
      <c r="F53" s="50" t="n">
        <v>30532</v>
      </c>
    </row>
    <row r="54">
      <c r="A54" s="40" t="inlineStr">
        <is>
          <t>Mar-2026</t>
        </is>
      </c>
      <c r="B54" s="48" t="n">
        <v>9</v>
      </c>
      <c r="C54" s="40" t="inlineStr">
        <is>
          <t>Enterprise / DIA</t>
        </is>
      </c>
      <c r="D54" s="40" t="inlineStr">
        <is>
          <t>Enterprise</t>
        </is>
      </c>
      <c r="E54" s="50" t="n">
        <v>84593</v>
      </c>
      <c r="F54" s="50" t="n">
        <v>28317</v>
      </c>
    </row>
    <row r="55">
      <c r="A55" s="40" t="inlineStr">
        <is>
          <t>Mar-2026</t>
        </is>
      </c>
      <c r="B55" s="48" t="n">
        <v>9</v>
      </c>
      <c r="C55" s="40" t="inlineStr">
        <is>
          <t>Managed WiFi</t>
        </is>
      </c>
      <c r="D55" s="40" t="inlineStr">
        <is>
          <t>Residential</t>
        </is>
      </c>
      <c r="E55" s="50" t="n">
        <v>33302</v>
      </c>
      <c r="F55" s="50" t="n">
        <v>13506</v>
      </c>
    </row>
    <row r="56">
      <c r="A56" s="40" t="inlineStr">
        <is>
          <t>Mar-2026</t>
        </is>
      </c>
      <c r="B56" s="48" t="n">
        <v>9</v>
      </c>
      <c r="C56" s="40" t="inlineStr">
        <is>
          <t>Voice</t>
        </is>
      </c>
      <c r="D56" s="40" t="inlineStr">
        <is>
          <t>Business</t>
        </is>
      </c>
      <c r="E56" s="50" t="n">
        <v>25955</v>
      </c>
      <c r="F56" s="50" t="n">
        <v>11388</v>
      </c>
    </row>
    <row r="57">
      <c r="A57" s="40" t="inlineStr">
        <is>
          <t>Mar-2026</t>
        </is>
      </c>
      <c r="B57" s="48" t="n">
        <v>9</v>
      </c>
      <c r="C57" s="40" t="inlineStr">
        <is>
          <t>Construction / Other</t>
        </is>
      </c>
      <c r="D57" s="40" t="inlineStr">
        <is>
          <t>Wholesale/Other</t>
        </is>
      </c>
      <c r="E57" s="50" t="n">
        <v>55450</v>
      </c>
      <c r="F57" s="50" t="n">
        <v>33345</v>
      </c>
    </row>
    <row r="58">
      <c r="A58" s="40" t="inlineStr">
        <is>
          <t>Apr-2026</t>
        </is>
      </c>
      <c r="B58" s="48" t="n">
        <v>10</v>
      </c>
      <c r="C58" s="40" t="inlineStr">
        <is>
          <t>Residential Internet</t>
        </is>
      </c>
      <c r="D58" s="40" t="inlineStr">
        <is>
          <t>Residential</t>
        </is>
      </c>
      <c r="E58" s="50" t="n">
        <v>364461</v>
      </c>
      <c r="F58" s="50" t="n">
        <v>101878</v>
      </c>
    </row>
    <row r="59">
      <c r="A59" s="40" t="inlineStr">
        <is>
          <t>Apr-2026</t>
        </is>
      </c>
      <c r="B59" s="48" t="n">
        <v>10</v>
      </c>
      <c r="C59" s="40" t="inlineStr">
        <is>
          <t>Business Internet</t>
        </is>
      </c>
      <c r="D59" s="40" t="inlineStr">
        <is>
          <t>Business</t>
        </is>
      </c>
      <c r="E59" s="50" t="n">
        <v>123126</v>
      </c>
      <c r="F59" s="50" t="n">
        <v>32243</v>
      </c>
    </row>
    <row r="60">
      <c r="A60" s="40" t="inlineStr">
        <is>
          <t>Apr-2026</t>
        </is>
      </c>
      <c r="B60" s="48" t="n">
        <v>10</v>
      </c>
      <c r="C60" s="40" t="inlineStr">
        <is>
          <t>Enterprise / DIA</t>
        </is>
      </c>
      <c r="D60" s="40" t="inlineStr">
        <is>
          <t>Enterprise</t>
        </is>
      </c>
      <c r="E60" s="50" t="n">
        <v>93939</v>
      </c>
      <c r="F60" s="50" t="n">
        <v>33513</v>
      </c>
    </row>
    <row r="61">
      <c r="A61" s="40" t="inlineStr">
        <is>
          <t>Apr-2026</t>
        </is>
      </c>
      <c r="B61" s="48" t="n">
        <v>10</v>
      </c>
      <c r="C61" s="40" t="inlineStr">
        <is>
          <t>Managed WiFi</t>
        </is>
      </c>
      <c r="D61" s="40" t="inlineStr">
        <is>
          <t>Residential</t>
        </is>
      </c>
      <c r="E61" s="50" t="n">
        <v>34533</v>
      </c>
      <c r="F61" s="50" t="n">
        <v>14473</v>
      </c>
    </row>
    <row r="62">
      <c r="A62" s="40" t="inlineStr">
        <is>
          <t>Apr-2026</t>
        </is>
      </c>
      <c r="B62" s="48" t="n">
        <v>10</v>
      </c>
      <c r="C62" s="40" t="inlineStr">
        <is>
          <t>Voice</t>
        </is>
      </c>
      <c r="D62" s="40" t="inlineStr">
        <is>
          <t>Business</t>
        </is>
      </c>
      <c r="E62" s="50" t="n">
        <v>29286</v>
      </c>
      <c r="F62" s="50" t="n">
        <v>12881</v>
      </c>
    </row>
    <row r="63">
      <c r="A63" s="40" t="inlineStr">
        <is>
          <t>Apr-2026</t>
        </is>
      </c>
      <c r="B63" s="48" t="n">
        <v>10</v>
      </c>
      <c r="C63" s="40" t="inlineStr">
        <is>
          <t>Construction / Other</t>
        </is>
      </c>
      <c r="D63" s="40" t="inlineStr">
        <is>
          <t>Wholesale/Other</t>
        </is>
      </c>
      <c r="E63" s="50" t="n">
        <v>57727</v>
      </c>
      <c r="F63" s="50" t="n">
        <v>36456</v>
      </c>
    </row>
    <row r="64">
      <c r="A64" s="40" t="inlineStr">
        <is>
          <t>May-2026</t>
        </is>
      </c>
      <c r="B64" s="48" t="n">
        <v>11</v>
      </c>
      <c r="C64" s="40" t="inlineStr">
        <is>
          <t>Residential Internet</t>
        </is>
      </c>
      <c r="D64" s="40" t="inlineStr">
        <is>
          <t>Residential</t>
        </is>
      </c>
      <c r="E64" s="50" t="n">
        <v>408086</v>
      </c>
      <c r="F64" s="50" t="n">
        <v>109111</v>
      </c>
    </row>
    <row r="65">
      <c r="A65" s="40" t="inlineStr">
        <is>
          <t>May-2026</t>
        </is>
      </c>
      <c r="B65" s="48" t="n">
        <v>11</v>
      </c>
      <c r="C65" s="40" t="inlineStr">
        <is>
          <t>Business Internet</t>
        </is>
      </c>
      <c r="D65" s="40" t="inlineStr">
        <is>
          <t>Business</t>
        </is>
      </c>
      <c r="E65" s="50" t="n">
        <v>138253</v>
      </c>
      <c r="F65" s="50" t="n">
        <v>35934</v>
      </c>
    </row>
    <row r="66">
      <c r="A66" s="40" t="inlineStr">
        <is>
          <t>May-2026</t>
        </is>
      </c>
      <c r="B66" s="48" t="n">
        <v>11</v>
      </c>
      <c r="C66" s="40" t="inlineStr">
        <is>
          <t>Enterprise / DIA</t>
        </is>
      </c>
      <c r="D66" s="40" t="inlineStr">
        <is>
          <t>Enterprise</t>
        </is>
      </c>
      <c r="E66" s="50" t="n">
        <v>104527</v>
      </c>
      <c r="F66" s="50" t="n">
        <v>34779</v>
      </c>
    </row>
    <row r="67">
      <c r="A67" s="40" t="inlineStr">
        <is>
          <t>May-2026</t>
        </is>
      </c>
      <c r="B67" s="48" t="n">
        <v>11</v>
      </c>
      <c r="C67" s="40" t="inlineStr">
        <is>
          <t>Managed WiFi</t>
        </is>
      </c>
      <c r="D67" s="40" t="inlineStr">
        <is>
          <t>Residential</t>
        </is>
      </c>
      <c r="E67" s="50" t="n">
        <v>39566</v>
      </c>
      <c r="F67" s="50" t="n">
        <v>15996</v>
      </c>
    </row>
    <row r="68">
      <c r="A68" s="40" t="inlineStr">
        <is>
          <t>May-2026</t>
        </is>
      </c>
      <c r="B68" s="48" t="n">
        <v>11</v>
      </c>
      <c r="C68" s="40" t="inlineStr">
        <is>
          <t>Voice</t>
        </is>
      </c>
      <c r="D68" s="40" t="inlineStr">
        <is>
          <t>Business</t>
        </is>
      </c>
      <c r="E68" s="50" t="n">
        <v>29495</v>
      </c>
      <c r="F68" s="50" t="n">
        <v>13454</v>
      </c>
    </row>
    <row r="69">
      <c r="A69" s="40" t="inlineStr">
        <is>
          <t>May-2026</t>
        </is>
      </c>
      <c r="B69" s="48" t="n">
        <v>11</v>
      </c>
      <c r="C69" s="40" t="inlineStr">
        <is>
          <t>Construction / Other</t>
        </is>
      </c>
      <c r="D69" s="40" t="inlineStr">
        <is>
          <t>Wholesale/Other</t>
        </is>
      </c>
      <c r="E69" s="50" t="n">
        <v>61586</v>
      </c>
      <c r="F69" s="50" t="n">
        <v>38862</v>
      </c>
    </row>
    <row r="70">
      <c r="A70" s="40" t="inlineStr">
        <is>
          <t>Jun-2026</t>
        </is>
      </c>
      <c r="B70" s="48" t="n">
        <v>12</v>
      </c>
      <c r="C70" s="40" t="inlineStr">
        <is>
          <t>Residential Internet</t>
        </is>
      </c>
      <c r="D70" s="40" t="inlineStr">
        <is>
          <t>Residential</t>
        </is>
      </c>
      <c r="E70" s="50" t="n">
        <v>425581</v>
      </c>
      <c r="F70" s="50" t="n">
        <v>121060</v>
      </c>
    </row>
    <row r="71">
      <c r="A71" s="40" t="inlineStr">
        <is>
          <t>Jun-2026</t>
        </is>
      </c>
      <c r="B71" s="48" t="n">
        <v>12</v>
      </c>
      <c r="C71" s="40" t="inlineStr">
        <is>
          <t>Business Internet</t>
        </is>
      </c>
      <c r="D71" s="40" t="inlineStr">
        <is>
          <t>Business</t>
        </is>
      </c>
      <c r="E71" s="50" t="n">
        <v>149989</v>
      </c>
      <c r="F71" s="50" t="n">
        <v>39497</v>
      </c>
    </row>
    <row r="72">
      <c r="A72" s="40" t="inlineStr">
        <is>
          <t>Jun-2026</t>
        </is>
      </c>
      <c r="B72" s="48" t="n">
        <v>12</v>
      </c>
      <c r="C72" s="40" t="inlineStr">
        <is>
          <t>Enterprise / DIA</t>
        </is>
      </c>
      <c r="D72" s="40" t="inlineStr">
        <is>
          <t>Enterprise</t>
        </is>
      </c>
      <c r="E72" s="50" t="n">
        <v>109396</v>
      </c>
      <c r="F72" s="50" t="n">
        <v>37739</v>
      </c>
    </row>
    <row r="73">
      <c r="A73" s="40" t="inlineStr">
        <is>
          <t>Jun-2026</t>
        </is>
      </c>
      <c r="B73" s="48" t="n">
        <v>12</v>
      </c>
      <c r="C73" s="40" t="inlineStr">
        <is>
          <t>Managed WiFi</t>
        </is>
      </c>
      <c r="D73" s="40" t="inlineStr">
        <is>
          <t>Residential</t>
        </is>
      </c>
      <c r="E73" s="50" t="n">
        <v>38316</v>
      </c>
      <c r="F73" s="50" t="n">
        <v>15236</v>
      </c>
    </row>
    <row r="74">
      <c r="A74" s="40" t="inlineStr">
        <is>
          <t>Jun-2026</t>
        </is>
      </c>
      <c r="B74" s="48" t="n">
        <v>12</v>
      </c>
      <c r="C74" s="40" t="inlineStr">
        <is>
          <t>Voice</t>
        </is>
      </c>
      <c r="D74" s="40" t="inlineStr">
        <is>
          <t>Business</t>
        </is>
      </c>
      <c r="E74" s="50" t="n">
        <v>32022</v>
      </c>
      <c r="F74" s="50" t="n">
        <v>14745</v>
      </c>
    </row>
    <row r="75">
      <c r="A75" s="40" t="inlineStr">
        <is>
          <t>Jun-2026</t>
        </is>
      </c>
      <c r="B75" s="48" t="n">
        <v>12</v>
      </c>
      <c r="C75" s="40" t="inlineStr">
        <is>
          <t>Construction / Other</t>
        </is>
      </c>
      <c r="D75" s="40" t="inlineStr">
        <is>
          <t>Wholesale/Other</t>
        </is>
      </c>
      <c r="E75" s="50" t="n">
        <v>59092</v>
      </c>
      <c r="F75" s="50" t="n">
        <v>35886</v>
      </c>
    </row>
  </sheetData>
  <mergeCells count="2">
    <mergeCell ref="A2:F2"/>
    <mergeCell ref="A1:F1"/>
  </mergeCells>
  <dataValidations count="2">
    <dataValidation sqref="A4:A1003" showDropDown="0" showInputMessage="0" showErrorMessage="0" allowBlank="1" type="list">
      <formula1>=Lists!$A$2:$A$13</formula1>
    </dataValidation>
    <dataValidation sqref="C4:C1003" showDropDown="0" showInputMessage="0" showErrorMessage="0" allowBlank="1" type="list">
      <formula1>=Lists!$G$2:$G$7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5B6B86"/>
    <outlinePr summaryBelow="1" summaryRight="1"/>
    <pageSetUpPr/>
  </sheetPr>
  <dimension ref="A1:J11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3" customWidth="1" min="9" max="9"/>
    <col width="30" customWidth="1" min="10" max="10"/>
  </cols>
  <sheetData>
    <row r="1" ht="24" customHeight="1">
      <c r="A1" s="46" t="inlineStr">
        <is>
          <t>GRANT REIMBURSEMENT DATA  —  Drawdowns (BEAD / CAB / ARPA / State / RDOF)</t>
        </is>
      </c>
    </row>
    <row r="2" ht="16" customHeight="1">
      <c r="A2" s="47" t="inlineStr">
        <is>
          <t>One row per drawdown request. Status via dropdown. Outstanding = Approved − Received (computed on Financial dashboard).</t>
        </is>
      </c>
    </row>
    <row r="3">
      <c r="A3" s="20" t="inlineStr">
        <is>
          <t>Drawdown ID</t>
        </is>
      </c>
      <c r="B3" s="20" t="inlineStr">
        <is>
          <t>Program</t>
        </is>
      </c>
      <c r="C3" s="20" t="inlineStr">
        <is>
          <t>Project</t>
        </is>
      </c>
      <c r="D3" s="20" t="inlineStr">
        <is>
          <t>Amount Requested</t>
        </is>
      </c>
      <c r="E3" s="20" t="inlineStr">
        <is>
          <t>Amount Approved</t>
        </is>
      </c>
      <c r="F3" s="20" t="inlineStr">
        <is>
          <t>Amount Received</t>
        </is>
      </c>
      <c r="G3" s="20" t="inlineStr">
        <is>
          <t>Status</t>
        </is>
      </c>
      <c r="H3" s="20" t="inlineStr">
        <is>
          <t>Submission Date</t>
        </is>
      </c>
      <c r="I3" s="20" t="inlineStr">
        <is>
          <t>Expected Date</t>
        </is>
      </c>
      <c r="J3" s="20" t="inlineStr">
        <is>
          <t>Notes</t>
        </is>
      </c>
    </row>
    <row r="4">
      <c r="A4" s="40" t="inlineStr">
        <is>
          <t>DRW-2025-014</t>
        </is>
      </c>
      <c r="B4" s="40" t="inlineStr">
        <is>
          <t>BEAD</t>
        </is>
      </c>
      <c r="C4" s="40" t="inlineStr">
        <is>
          <t>Robeson BEAD Zone 1</t>
        </is>
      </c>
      <c r="D4" s="50" t="n">
        <v>980000</v>
      </c>
      <c r="E4" s="50" t="n">
        <v>980000</v>
      </c>
      <c r="F4" s="50" t="n">
        <v>980000</v>
      </c>
      <c r="G4" s="40" t="inlineStr">
        <is>
          <t>Paid</t>
        </is>
      </c>
      <c r="H4" s="40" t="inlineStr">
        <is>
          <t>2025-08-12</t>
        </is>
      </c>
      <c r="I4" s="40" t="inlineStr">
        <is>
          <t>2025-10-01</t>
        </is>
      </c>
      <c r="J4" s="40" t="inlineStr">
        <is>
          <t>Milestone 2 paid in full</t>
        </is>
      </c>
    </row>
    <row r="5">
      <c r="A5" s="40" t="inlineStr">
        <is>
          <t>DRW-2025-021</t>
        </is>
      </c>
      <c r="B5" s="40" t="inlineStr">
        <is>
          <t>BEAD</t>
        </is>
      </c>
      <c r="C5" s="40" t="inlineStr">
        <is>
          <t>Robeson BEAD Zone 1</t>
        </is>
      </c>
      <c r="D5" s="50" t="n">
        <v>1150000</v>
      </c>
      <c r="E5" s="50" t="n">
        <v>1150000</v>
      </c>
      <c r="F5" s="50" t="n">
        <v>575000</v>
      </c>
      <c r="G5" s="40" t="inlineStr">
        <is>
          <t>Partially Paid</t>
        </is>
      </c>
      <c r="H5" s="40" t="inlineStr">
        <is>
          <t>2025-11-03</t>
        </is>
      </c>
      <c r="I5" s="40" t="inlineStr">
        <is>
          <t>2026-01-15</t>
        </is>
      </c>
      <c r="J5" s="40" t="inlineStr">
        <is>
          <t>50% advanced; balance on inspection</t>
        </is>
      </c>
    </row>
    <row r="6">
      <c r="A6" s="40" t="inlineStr">
        <is>
          <t>DRW-2025-009</t>
        </is>
      </c>
      <c r="B6" s="40" t="inlineStr">
        <is>
          <t>CAB</t>
        </is>
      </c>
      <c r="C6" s="40" t="inlineStr">
        <is>
          <t>Hoke CAB Expansion</t>
        </is>
      </c>
      <c r="D6" s="50" t="n">
        <v>640000</v>
      </c>
      <c r="E6" s="50" t="n">
        <v>590000</v>
      </c>
      <c r="F6" s="50" t="n">
        <v>590000</v>
      </c>
      <c r="G6" s="40" t="inlineStr">
        <is>
          <t>Paid</t>
        </is>
      </c>
      <c r="H6" s="40" t="inlineStr">
        <is>
          <t>2025-09-20</t>
        </is>
      </c>
      <c r="I6" s="40" t="inlineStr">
        <is>
          <t>2025-11-30</t>
        </is>
      </c>
      <c r="J6" s="40" t="inlineStr">
        <is>
          <t>Approved below request (ineligible poles)</t>
        </is>
      </c>
    </row>
    <row r="7">
      <c r="A7" s="40" t="inlineStr">
        <is>
          <t>DRW-2026-002</t>
        </is>
      </c>
      <c r="B7" s="40" t="inlineStr">
        <is>
          <t>CAB</t>
        </is>
      </c>
      <c r="C7" s="40" t="inlineStr">
        <is>
          <t>Hoke CAB Expansion</t>
        </is>
      </c>
      <c r="D7" s="50" t="n">
        <v>720000</v>
      </c>
      <c r="E7" s="50" t="n">
        <v>0</v>
      </c>
      <c r="F7" s="50" t="n">
        <v>0</v>
      </c>
      <c r="G7" s="40" t="inlineStr">
        <is>
          <t>Under Review</t>
        </is>
      </c>
      <c r="H7" s="40" t="inlineStr">
        <is>
          <t>2026-02-10</t>
        </is>
      </c>
      <c r="I7" s="40" t="inlineStr">
        <is>
          <t>2026-05-01</t>
        </is>
      </c>
      <c r="J7" s="40" t="inlineStr">
        <is>
          <t>Awaiting make-ready documentation</t>
        </is>
      </c>
    </row>
    <row r="8">
      <c r="A8" s="40" t="inlineStr">
        <is>
          <t>DRW-2025-031</t>
        </is>
      </c>
      <c r="B8" s="40" t="inlineStr">
        <is>
          <t>State Grant</t>
        </is>
      </c>
      <c r="C8" s="40" t="inlineStr">
        <is>
          <t>Pembroke Core Ring</t>
        </is>
      </c>
      <c r="D8" s="50" t="n">
        <v>480000</v>
      </c>
      <c r="E8" s="50" t="n">
        <v>480000</v>
      </c>
      <c r="F8" s="50" t="n">
        <v>480000</v>
      </c>
      <c r="G8" s="40" t="inlineStr">
        <is>
          <t>Paid</t>
        </is>
      </c>
      <c r="H8" s="40" t="inlineStr">
        <is>
          <t>2025-10-15</t>
        </is>
      </c>
      <c r="I8" s="40" t="inlineStr">
        <is>
          <t>2025-12-15</t>
        </is>
      </c>
      <c r="J8" s="40" t="inlineStr"/>
    </row>
    <row r="9">
      <c r="A9" s="40" t="inlineStr">
        <is>
          <t>DRW-2026-007</t>
        </is>
      </c>
      <c r="B9" s="40" t="inlineStr">
        <is>
          <t>RDOF</t>
        </is>
      </c>
      <c r="C9" s="40" t="inlineStr">
        <is>
          <t>Scotland RDOF Area</t>
        </is>
      </c>
      <c r="D9" s="50" t="n">
        <v>560000</v>
      </c>
      <c r="E9" s="50" t="n">
        <v>0</v>
      </c>
      <c r="F9" s="50" t="n">
        <v>0</v>
      </c>
      <c r="G9" s="40" t="inlineStr">
        <is>
          <t>Submitted</t>
        </is>
      </c>
      <c r="H9" s="40" t="inlineStr">
        <is>
          <t>2026-03-22</t>
        </is>
      </c>
      <c r="I9" s="40" t="inlineStr">
        <is>
          <t>2026-06-30</t>
        </is>
      </c>
      <c r="J9" s="40" t="inlineStr">
        <is>
          <t>Behind-schedule project; risk to drawdown</t>
        </is>
      </c>
    </row>
    <row r="10">
      <c r="A10" s="40" t="inlineStr">
        <is>
          <t>DRW-2026-011</t>
        </is>
      </c>
      <c r="B10" s="40" t="inlineStr">
        <is>
          <t>ARPA</t>
        </is>
      </c>
      <c r="C10" s="40" t="inlineStr">
        <is>
          <t>Bladen ARPA Rural</t>
        </is>
      </c>
      <c r="D10" s="50" t="n">
        <v>410000</v>
      </c>
      <c r="E10" s="50" t="n">
        <v>410000</v>
      </c>
      <c r="F10" s="50" t="n">
        <v>0</v>
      </c>
      <c r="G10" s="40" t="inlineStr">
        <is>
          <t>Approved</t>
        </is>
      </c>
      <c r="H10" s="40" t="inlineStr">
        <is>
          <t>2026-04-05</t>
        </is>
      </c>
      <c r="I10" s="40" t="inlineStr">
        <is>
          <t>2026-07-15</t>
        </is>
      </c>
      <c r="J10" s="40" t="inlineStr">
        <is>
          <t>Payment scheduled next quarter</t>
        </is>
      </c>
    </row>
    <row r="11">
      <c r="A11" s="40" t="inlineStr">
        <is>
          <t>DRW-2026-015</t>
        </is>
      </c>
      <c r="B11" s="40" t="inlineStr">
        <is>
          <t>BEAD</t>
        </is>
      </c>
      <c r="C11" s="40" t="inlineStr">
        <is>
          <t>Columbus BEAD Zone 2</t>
        </is>
      </c>
      <c r="D11" s="50" t="n">
        <v>620000</v>
      </c>
      <c r="E11" s="50" t="n">
        <v>0</v>
      </c>
      <c r="F11" s="50" t="n">
        <v>0</v>
      </c>
      <c r="G11" s="40" t="inlineStr">
        <is>
          <t>Not Submitted</t>
        </is>
      </c>
      <c r="H11" s="40" t="inlineStr"/>
      <c r="I11" s="40" t="inlineStr">
        <is>
          <t>2026-08-01</t>
        </is>
      </c>
      <c r="J11" s="40" t="inlineStr">
        <is>
          <t>Pending Milestone 1 completion</t>
        </is>
      </c>
    </row>
  </sheetData>
  <mergeCells count="2">
    <mergeCell ref="A1:J1"/>
    <mergeCell ref="A2:J2"/>
  </mergeCells>
  <conditionalFormatting sqref="G4:G1003">
    <cfRule type="cellIs" priority="1" operator="equal" dxfId="0">
      <formula>"Paid"</formula>
    </cfRule>
    <cfRule type="cellIs" priority="2" operator="equal" dxfId="0">
      <formula>"Partially Paid"</formula>
    </cfRule>
    <cfRule type="cellIs" priority="3" operator="equal" dxfId="3">
      <formula>"Approved"</formula>
    </cfRule>
    <cfRule type="cellIs" priority="4" operator="equal" dxfId="1">
      <formula>"Under Review"</formula>
    </cfRule>
    <cfRule type="cellIs" priority="5" operator="equal" dxfId="1">
      <formula>"Submitted"</formula>
    </cfRule>
    <cfRule type="cellIs" priority="6" operator="equal" dxfId="2">
      <formula>"Not Submitted"</formula>
    </cfRule>
    <cfRule type="cellIs" priority="7" operator="equal" dxfId="2">
      <formula>"Denied"</formula>
    </cfRule>
  </conditionalFormatting>
  <dataValidations count="2">
    <dataValidation sqref="B4:B1003" showDropDown="0" showInputMessage="0" showErrorMessage="0" allowBlank="1" type="list">
      <formula1>=Lists!$M$2:$M$6</formula1>
    </dataValidation>
    <dataValidation sqref="G4:G1003" showDropDown="0" showInputMessage="0" showErrorMessage="0" allowBlank="1" type="list">
      <formula1>=Lists!$N$2:$N$8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5B6B86"/>
    <outlinePr summaryBelow="1" summaryRight="1"/>
    <pageSetUpPr/>
  </sheetPr>
  <dimension ref="A1:D1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2" customWidth="1" min="4" max="4"/>
  </cols>
  <sheetData>
    <row r="1" ht="24" customHeight="1">
      <c r="A1" s="46" t="inlineStr">
        <is>
          <t>SALES TARGETS  —  Monthly Goals</t>
        </is>
      </c>
    </row>
    <row r="2" ht="16" customHeight="1">
      <c r="A2" s="47" t="inlineStr">
        <is>
          <t>One row per month. Sales Goal = net new connects target. Revenue Goal = new MRR target ($).</t>
        </is>
      </c>
    </row>
    <row r="3">
      <c r="A3" s="20" t="inlineStr">
        <is>
          <t>Month</t>
        </is>
      </c>
      <c r="B3" s="20" t="inlineStr">
        <is>
          <t>Period</t>
        </is>
      </c>
      <c r="C3" s="20" t="inlineStr">
        <is>
          <t>Sales Goal (units)</t>
        </is>
      </c>
      <c r="D3" s="20" t="inlineStr">
        <is>
          <t>Revenue Goal (new MRR $)</t>
        </is>
      </c>
    </row>
    <row r="4">
      <c r="A4" s="40" t="inlineStr">
        <is>
          <t>Jul-2025</t>
        </is>
      </c>
      <c r="B4" s="48" t="n">
        <v>1</v>
      </c>
      <c r="C4" s="49" t="n">
        <v>490</v>
      </c>
      <c r="D4" s="50" t="n">
        <v>39200</v>
      </c>
    </row>
    <row r="5">
      <c r="A5" s="40" t="inlineStr">
        <is>
          <t>Aug-2025</t>
        </is>
      </c>
      <c r="B5" s="48" t="n">
        <v>2</v>
      </c>
      <c r="C5" s="49" t="n">
        <v>400</v>
      </c>
      <c r="D5" s="50" t="n">
        <v>32000</v>
      </c>
    </row>
    <row r="6">
      <c r="A6" s="40" t="inlineStr">
        <is>
          <t>Sep-2025</t>
        </is>
      </c>
      <c r="B6" s="48" t="n">
        <v>3</v>
      </c>
      <c r="C6" s="49" t="n">
        <v>440</v>
      </c>
      <c r="D6" s="50" t="n">
        <v>35200</v>
      </c>
    </row>
    <row r="7">
      <c r="A7" s="40" t="inlineStr">
        <is>
          <t>Oct-2025</t>
        </is>
      </c>
      <c r="B7" s="48" t="n">
        <v>4</v>
      </c>
      <c r="C7" s="49" t="n">
        <v>500</v>
      </c>
      <c r="D7" s="50" t="n">
        <v>40000</v>
      </c>
    </row>
    <row r="8">
      <c r="A8" s="40" t="inlineStr">
        <is>
          <t>Nov-2025</t>
        </is>
      </c>
      <c r="B8" s="48" t="n">
        <v>5</v>
      </c>
      <c r="C8" s="49" t="n">
        <v>440</v>
      </c>
      <c r="D8" s="50" t="n">
        <v>35200</v>
      </c>
    </row>
    <row r="9">
      <c r="A9" s="40" t="inlineStr">
        <is>
          <t>Dec-2025</t>
        </is>
      </c>
      <c r="B9" s="48" t="n">
        <v>6</v>
      </c>
      <c r="C9" s="49" t="n">
        <v>350</v>
      </c>
      <c r="D9" s="50" t="n">
        <v>28000</v>
      </c>
    </row>
    <row r="10">
      <c r="A10" s="40" t="inlineStr">
        <is>
          <t>Jan-2026</t>
        </is>
      </c>
      <c r="B10" s="48" t="n">
        <v>7</v>
      </c>
      <c r="C10" s="49" t="n">
        <v>490</v>
      </c>
      <c r="D10" s="50" t="n">
        <v>39200</v>
      </c>
    </row>
    <row r="11">
      <c r="A11" s="40" t="inlineStr">
        <is>
          <t>Feb-2026</t>
        </is>
      </c>
      <c r="B11" s="48" t="n">
        <v>8</v>
      </c>
      <c r="C11" s="49" t="n">
        <v>380</v>
      </c>
      <c r="D11" s="50" t="n">
        <v>30400</v>
      </c>
    </row>
    <row r="12">
      <c r="A12" s="40" t="inlineStr">
        <is>
          <t>Mar-2026</t>
        </is>
      </c>
      <c r="B12" s="48" t="n">
        <v>9</v>
      </c>
      <c r="C12" s="49" t="n">
        <v>440</v>
      </c>
      <c r="D12" s="50" t="n">
        <v>35200</v>
      </c>
    </row>
    <row r="13">
      <c r="A13" s="40" t="inlineStr">
        <is>
          <t>Apr-2026</t>
        </is>
      </c>
      <c r="B13" s="48" t="n">
        <v>10</v>
      </c>
      <c r="C13" s="49" t="n">
        <v>400</v>
      </c>
      <c r="D13" s="50" t="n">
        <v>32000</v>
      </c>
    </row>
    <row r="14">
      <c r="A14" s="40" t="inlineStr">
        <is>
          <t>May-2026</t>
        </is>
      </c>
      <c r="B14" s="48" t="n">
        <v>11</v>
      </c>
      <c r="C14" s="49" t="n">
        <v>470</v>
      </c>
      <c r="D14" s="50" t="n">
        <v>37600</v>
      </c>
    </row>
    <row r="15">
      <c r="A15" s="40" t="inlineStr">
        <is>
          <t>Jun-2026</t>
        </is>
      </c>
      <c r="B15" s="48" t="n">
        <v>12</v>
      </c>
      <c r="C15" s="49" t="n">
        <v>420</v>
      </c>
      <c r="D15" s="50" t="n">
        <v>33600</v>
      </c>
    </row>
  </sheetData>
  <mergeCells count="2">
    <mergeCell ref="A1:D1"/>
    <mergeCell ref="A2:D2"/>
  </mergeCells>
  <dataValidations count="1">
    <dataValidation sqref="A4:A1003" showDropDown="0" showInputMessage="0" showErrorMessage="0" allowBlank="1" type="list">
      <formula1>=Lists!$A$2:$A$13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5B6B86"/>
    <outlinePr summaryBelow="1" summaryRight="1"/>
    <pageSetUpPr/>
  </sheetPr>
  <dimension ref="A1:K13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6" customWidth="1" min="3" max="3"/>
    <col width="11" customWidth="1" min="4" max="4"/>
    <col width="9" customWidth="1" min="5" max="5"/>
    <col width="8" customWidth="1" min="6" max="6"/>
    <col width="9" customWidth="1" min="7" max="7"/>
    <col width="16" customWidth="1" min="8" max="8"/>
    <col width="40" customWidth="1" min="9" max="9"/>
    <col width="12" customWidth="1" min="10" max="10"/>
    <col width="12" customWidth="1" min="11" max="11"/>
  </cols>
  <sheetData>
    <row r="1" ht="24" customHeight="1">
      <c r="A1" s="46" t="inlineStr">
        <is>
          <t>RISK REGISTER</t>
        </is>
      </c>
    </row>
    <row r="2" ht="16" customHeight="1">
      <c r="A2" s="47" t="inlineStr">
        <is>
          <t>Likelihood × Impact (1-5 each). Score &amp; RYG auto-calc. Owner accountable. Review weekly; close when mitigated.</t>
        </is>
      </c>
    </row>
    <row r="3">
      <c r="A3" s="20" t="inlineStr">
        <is>
          <t>Risk ID</t>
        </is>
      </c>
      <c r="B3" s="20" t="inlineStr">
        <is>
          <t>Description</t>
        </is>
      </c>
      <c r="C3" s="20" t="inlineStr">
        <is>
          <t>Category</t>
        </is>
      </c>
      <c r="D3" s="20" t="inlineStr">
        <is>
          <t>Likelihood</t>
        </is>
      </c>
      <c r="E3" s="20" t="inlineStr">
        <is>
          <t>Impact</t>
        </is>
      </c>
      <c r="F3" s="20" t="inlineStr">
        <is>
          <t>Score</t>
        </is>
      </c>
      <c r="G3" s="20" t="inlineStr">
        <is>
          <t>RYG</t>
        </is>
      </c>
      <c r="H3" s="20" t="inlineStr">
        <is>
          <t>Owner</t>
        </is>
      </c>
      <c r="I3" s="20" t="inlineStr">
        <is>
          <t>Mitigation</t>
        </is>
      </c>
      <c r="J3" s="20" t="inlineStr">
        <is>
          <t>Status</t>
        </is>
      </c>
      <c r="K3" s="20" t="inlineStr">
        <is>
          <t>Updated</t>
        </is>
      </c>
    </row>
    <row r="4">
      <c r="A4" s="40" t="inlineStr">
        <is>
          <t>RSK-01</t>
        </is>
      </c>
      <c r="B4" s="40" t="inlineStr">
        <is>
          <t>Scotland RDOF build behind schedule threatens grant drawdown eligibility</t>
        </is>
      </c>
      <c r="C4" s="40" t="inlineStr">
        <is>
          <t>Grant/Compliance</t>
        </is>
      </c>
      <c r="D4" s="48" t="n">
        <v>4</v>
      </c>
      <c r="E4" s="48" t="n">
        <v>5</v>
      </c>
      <c r="F4" s="48">
        <f>D4*E4</f>
        <v/>
      </c>
      <c r="G4" s="40">
        <f>IF(F4&gt;=15,"RED",IF(F4&gt;=8,"YELLOW","GREEN"))</f>
        <v/>
      </c>
      <c r="H4" s="40" t="inlineStr">
        <is>
          <t>VP Construction</t>
        </is>
      </c>
      <c r="I4" s="40" t="inlineStr">
        <is>
          <t>Add second crew; weekly state check-in; replan milestones</t>
        </is>
      </c>
      <c r="J4" s="40" t="inlineStr">
        <is>
          <t>Mitigating</t>
        </is>
      </c>
      <c r="K4" s="40" t="inlineStr">
        <is>
          <t>2026-06-05</t>
        </is>
      </c>
    </row>
    <row r="5">
      <c r="A5" s="40" t="inlineStr">
        <is>
          <t>RSK-02</t>
        </is>
      </c>
      <c r="B5" s="40" t="inlineStr">
        <is>
          <t>Make-ready / pole attachment delays from incumbent utility</t>
        </is>
      </c>
      <c r="C5" s="40" t="inlineStr">
        <is>
          <t>Regulatory</t>
        </is>
      </c>
      <c r="D5" s="48" t="n">
        <v>4</v>
      </c>
      <c r="E5" s="48" t="n">
        <v>4</v>
      </c>
      <c r="F5" s="48">
        <f>D5*E5</f>
        <v/>
      </c>
      <c r="G5" s="40">
        <f>IF(F5&gt;=15,"RED",IF(F5&gt;=8,"YELLOW","GREEN"))</f>
        <v/>
      </c>
      <c r="H5" s="40" t="inlineStr">
        <is>
          <t>COO</t>
        </is>
      </c>
      <c r="I5" s="40" t="inlineStr">
        <is>
          <t>Escalate to NCUC; pre-file remaining attachments</t>
        </is>
      </c>
      <c r="J5" s="40" t="inlineStr">
        <is>
          <t>Open</t>
        </is>
      </c>
      <c r="K5" s="40" t="inlineStr">
        <is>
          <t>2026-06-08</t>
        </is>
      </c>
    </row>
    <row r="6">
      <c r="A6" s="40" t="inlineStr">
        <is>
          <t>RSK-03</t>
        </is>
      </c>
      <c r="B6" s="40" t="inlineStr">
        <is>
          <t>Contractor capacity shared across Hoke + Maxton slowing both</t>
        </is>
      </c>
      <c r="C6" s="40" t="inlineStr">
        <is>
          <t>Staffing</t>
        </is>
      </c>
      <c r="D6" s="48" t="n">
        <v>3</v>
      </c>
      <c r="E6" s="48" t="n">
        <v>4</v>
      </c>
      <c r="F6" s="48">
        <f>D6*E6</f>
        <v/>
      </c>
      <c r="G6" s="40">
        <f>IF(F6&gt;=15,"RED",IF(F6&gt;=8,"YELLOW","GREEN"))</f>
        <v/>
      </c>
      <c r="H6" s="40" t="inlineStr">
        <is>
          <t>VP Construction</t>
        </is>
      </c>
      <c r="I6" s="40" t="inlineStr">
        <is>
          <t>Negotiate dedicated crew; evaluate 2nd contractor</t>
        </is>
      </c>
      <c r="J6" s="40" t="inlineStr">
        <is>
          <t>Mitigating</t>
        </is>
      </c>
      <c r="K6" s="40" t="inlineStr">
        <is>
          <t>2026-06-02</t>
        </is>
      </c>
    </row>
    <row r="7">
      <c r="A7" s="40" t="inlineStr">
        <is>
          <t>RSK-04</t>
        </is>
      </c>
      <c r="B7" s="40" t="inlineStr">
        <is>
          <t>Conduit / fiber material lead times (Bladen)</t>
        </is>
      </c>
      <c r="C7" s="40" t="inlineStr">
        <is>
          <t>Supply Chain</t>
        </is>
      </c>
      <c r="D7" s="48" t="n">
        <v>3</v>
      </c>
      <c r="E7" s="48" t="n">
        <v>3</v>
      </c>
      <c r="F7" s="48">
        <f>D7*E7</f>
        <v/>
      </c>
      <c r="G7" s="40">
        <f>IF(F7&gt;=15,"RED",IF(F7&gt;=8,"YELLOW","GREEN"))</f>
        <v/>
      </c>
      <c r="H7" s="40" t="inlineStr">
        <is>
          <t>Director of Supply</t>
        </is>
      </c>
      <c r="I7" s="40" t="inlineStr">
        <is>
          <t>Pre-order long-lead items; buffer stock</t>
        </is>
      </c>
      <c r="J7" s="40" t="inlineStr">
        <is>
          <t>Monitoring</t>
        </is>
      </c>
      <c r="K7" s="40" t="inlineStr">
        <is>
          <t>2026-05-28</t>
        </is>
      </c>
    </row>
    <row r="8">
      <c r="A8" s="40" t="inlineStr">
        <is>
          <t>RSK-05</t>
        </is>
      </c>
      <c r="B8" s="40" t="inlineStr">
        <is>
          <t>Cash timing gap from delayed BEAD reimbursements</t>
        </is>
      </c>
      <c r="C8" s="40" t="inlineStr">
        <is>
          <t>Financial</t>
        </is>
      </c>
      <c r="D8" s="48" t="n">
        <v>3</v>
      </c>
      <c r="E8" s="48" t="n">
        <v>5</v>
      </c>
      <c r="F8" s="48">
        <f>D8*E8</f>
        <v/>
      </c>
      <c r="G8" s="40">
        <f>IF(F8&gt;=15,"RED",IF(F8&gt;=8,"YELLOW","GREEN"))</f>
        <v/>
      </c>
      <c r="H8" s="40" t="inlineStr">
        <is>
          <t>CFO</t>
        </is>
      </c>
      <c r="I8" s="40" t="inlineStr">
        <is>
          <t>Draw on revolver; accelerate drawdown documentation</t>
        </is>
      </c>
      <c r="J8" s="40" t="inlineStr">
        <is>
          <t>Open</t>
        </is>
      </c>
      <c r="K8" s="40" t="inlineStr">
        <is>
          <t>2026-06-10</t>
        </is>
      </c>
    </row>
    <row r="9">
      <c r="A9" s="40" t="inlineStr">
        <is>
          <t>RSK-06</t>
        </is>
      </c>
      <c r="B9" s="40" t="inlineStr">
        <is>
          <t>Competitor fiber overbuild announced in Cumberland</t>
        </is>
      </c>
      <c r="C9" s="40" t="inlineStr">
        <is>
          <t>Market</t>
        </is>
      </c>
      <c r="D9" s="48" t="n">
        <v>3</v>
      </c>
      <c r="E9" s="48" t="n">
        <v>3</v>
      </c>
      <c r="F9" s="48">
        <f>D9*E9</f>
        <v/>
      </c>
      <c r="G9" s="40">
        <f>IF(F9&gt;=15,"RED",IF(F9&gt;=8,"YELLOW","GREEN"))</f>
        <v/>
      </c>
      <c r="H9" s="40" t="inlineStr">
        <is>
          <t>VP Sales</t>
        </is>
      </c>
      <c r="I9" s="40" t="inlineStr">
        <is>
          <t>Accelerate take-rate campaign; lock HOA agreements</t>
        </is>
      </c>
      <c r="J9" s="40" t="inlineStr">
        <is>
          <t>Monitoring</t>
        </is>
      </c>
      <c r="K9" s="40" t="inlineStr">
        <is>
          <t>2026-06-01</t>
        </is>
      </c>
    </row>
    <row r="10">
      <c r="A10" s="40" t="inlineStr">
        <is>
          <t>RSK-07</t>
        </is>
      </c>
      <c r="B10" s="40" t="inlineStr">
        <is>
          <t>Repeat trouble tickets indicate splice quality issue in Zone 1</t>
        </is>
      </c>
      <c r="C10" s="40" t="inlineStr">
        <is>
          <t>Construction</t>
        </is>
      </c>
      <c r="D10" s="48" t="n">
        <v>2</v>
      </c>
      <c r="E10" s="48" t="n">
        <v>3</v>
      </c>
      <c r="F10" s="48">
        <f>D10*E10</f>
        <v/>
      </c>
      <c r="G10" s="40">
        <f>IF(F10&gt;=15,"RED",IF(F10&gt;=8,"YELLOW","GREEN"))</f>
        <v/>
      </c>
      <c r="H10" s="40" t="inlineStr">
        <is>
          <t>VP Operations</t>
        </is>
      </c>
      <c r="I10" s="40" t="inlineStr">
        <is>
          <t>QA audit on splice crews; rework plan</t>
        </is>
      </c>
      <c r="J10" s="40" t="inlineStr">
        <is>
          <t>Mitigating</t>
        </is>
      </c>
      <c r="K10" s="40" t="inlineStr">
        <is>
          <t>2026-06-06</t>
        </is>
      </c>
    </row>
    <row r="11">
      <c r="A11" s="40" t="inlineStr">
        <is>
          <t>RSK-08</t>
        </is>
      </c>
      <c r="B11" s="40" t="inlineStr">
        <is>
          <t>Install backlog rising vs crew capacity in Robeson</t>
        </is>
      </c>
      <c r="C11" s="40" t="inlineStr">
        <is>
          <t>Staffing</t>
        </is>
      </c>
      <c r="D11" s="48" t="n">
        <v>3</v>
      </c>
      <c r="E11" s="48" t="n">
        <v>3</v>
      </c>
      <c r="F11" s="48">
        <f>D11*E11</f>
        <v/>
      </c>
      <c r="G11" s="40">
        <f>IF(F11&gt;=15,"RED",IF(F11&gt;=8,"YELLOW","GREEN"))</f>
        <v/>
      </c>
      <c r="H11" s="40" t="inlineStr">
        <is>
          <t>VP Operations</t>
        </is>
      </c>
      <c r="I11" s="40" t="inlineStr">
        <is>
          <t>Add install crew; offer install-fee promo off-peak</t>
        </is>
      </c>
      <c r="J11" s="40" t="inlineStr">
        <is>
          <t>Open</t>
        </is>
      </c>
      <c r="K11" s="40" t="inlineStr">
        <is>
          <t>2026-06-09</t>
        </is>
      </c>
    </row>
    <row r="12">
      <c r="A12" s="40" t="inlineStr">
        <is>
          <t>RSK-09</t>
        </is>
      </c>
      <c r="B12" s="40" t="inlineStr">
        <is>
          <t>Columbus Zone 2 design rework may slip Milestone 1 + grant</t>
        </is>
      </c>
      <c r="C12" s="40" t="inlineStr">
        <is>
          <t>Grant/Compliance</t>
        </is>
      </c>
      <c r="D12" s="48" t="n">
        <v>4</v>
      </c>
      <c r="E12" s="48" t="n">
        <v>4</v>
      </c>
      <c r="F12" s="48">
        <f>D12*E12</f>
        <v/>
      </c>
      <c r="G12" s="40">
        <f>IF(F12&gt;=15,"RED",IF(F12&gt;=8,"YELLOW","GREEN"))</f>
        <v/>
      </c>
      <c r="H12" s="40" t="inlineStr">
        <is>
          <t>VP Construction</t>
        </is>
      </c>
      <c r="I12" s="40" t="inlineStr">
        <is>
          <t>Expedite redesign; parallel-path permitting</t>
        </is>
      </c>
      <c r="J12" s="40" t="inlineStr">
        <is>
          <t>Open</t>
        </is>
      </c>
      <c r="K12" s="40" t="inlineStr">
        <is>
          <t>2026-06-07</t>
        </is>
      </c>
    </row>
    <row r="13">
      <c r="A13" s="40" t="inlineStr">
        <is>
          <t>RSK-10</t>
        </is>
      </c>
      <c r="B13" s="40" t="inlineStr">
        <is>
          <t>Key enterprise DIA deals concentrated with single rep</t>
        </is>
      </c>
      <c r="C13" s="40" t="inlineStr">
        <is>
          <t>Market</t>
        </is>
      </c>
      <c r="D13" s="48" t="n">
        <v>2</v>
      </c>
      <c r="E13" s="48" t="n">
        <v>3</v>
      </c>
      <c r="F13" s="48">
        <f>D13*E13</f>
        <v/>
      </c>
      <c r="G13" s="40">
        <f>IF(F13&gt;=15,"RED",IF(F13&gt;=8,"YELLOW","GREEN"))</f>
        <v/>
      </c>
      <c r="H13" s="40" t="inlineStr">
        <is>
          <t>VP Sales</t>
        </is>
      </c>
      <c r="I13" s="40" t="inlineStr">
        <is>
          <t>Cross-staff accounts; document pipeline</t>
        </is>
      </c>
      <c r="J13" s="40" t="inlineStr">
        <is>
          <t>Monitoring</t>
        </is>
      </c>
      <c r="K13" s="40" t="inlineStr">
        <is>
          <t>2026-05-20</t>
        </is>
      </c>
    </row>
  </sheetData>
  <mergeCells count="2">
    <mergeCell ref="A2:K2"/>
    <mergeCell ref="A1:K1"/>
  </mergeCells>
  <conditionalFormatting sqref="G4:G1003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conditionalFormatting sqref="F4:F1003">
    <cfRule type="colorScale" priority="4">
      <colorScale>
        <cfvo type="num" val="1"/>
        <cfvo type="num" val="10"/>
        <cfvo type="num" val="25"/>
        <color rgb="00C6EFCE"/>
        <color rgb="00FFF2CC"/>
        <color rgb="00F8CBCB"/>
      </colorScale>
    </cfRule>
  </conditionalFormatting>
  <dataValidations count="4">
    <dataValidation sqref="C4:C1003" showDropDown="0" showInputMessage="0" showErrorMessage="0" allowBlank="1" type="list">
      <formula1>=Lists!$R$2:$R$8</formula1>
    </dataValidation>
    <dataValidation sqref="D4:D1003" showDropDown="0" showInputMessage="0" showErrorMessage="0" allowBlank="1" type="list">
      <formula1>=Lists!$O$2:$O$6</formula1>
    </dataValidation>
    <dataValidation sqref="E4:E1003" showDropDown="0" showInputMessage="0" showErrorMessage="0" allowBlank="1" type="list">
      <formula1>=Lists!$P$2:$P$6</formula1>
    </dataValidation>
    <dataValidation sqref="J4:J1003" showDropDown="0" showInputMessage="0" showErrorMessage="0" allowBlank="1" type="list">
      <formula1>=Lists!$Q$2:$Q$5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5B6B86"/>
    <outlinePr summaryBelow="1" summaryRight="1"/>
    <pageSetUpPr/>
  </sheetPr>
  <dimension ref="A1:I11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2" customWidth="1" min="5" max="5"/>
    <col width="12" customWidth="1" min="6" max="6"/>
    <col width="11" customWidth="1" min="7" max="7"/>
    <col width="13" customWidth="1" min="8" max="8"/>
    <col width="15" customWidth="1" min="9" max="9"/>
  </cols>
  <sheetData>
    <row r="1" ht="24" customHeight="1">
      <c r="A1" s="46" t="inlineStr">
        <is>
          <t>BOARD ACTION ITEMS  —  Decisions &amp; Follow-ups</t>
        </is>
      </c>
    </row>
    <row r="2" ht="16" customHeight="1">
      <c r="A2" s="47" t="inlineStr">
        <is>
          <t>Track decisions needed from the executive team / board. Set Decision Needed = Yes for board-level approvals.</t>
        </is>
      </c>
    </row>
    <row r="3">
      <c r="A3" s="20" t="inlineStr">
        <is>
          <t>Action ID</t>
        </is>
      </c>
      <c r="B3" s="20" t="inlineStr">
        <is>
          <t>Description</t>
        </is>
      </c>
      <c r="C3" s="20" t="inlineStr">
        <is>
          <t>Category</t>
        </is>
      </c>
      <c r="D3" s="20" t="inlineStr">
        <is>
          <t>Owner</t>
        </is>
      </c>
      <c r="E3" s="20" t="inlineStr">
        <is>
          <t>Raised</t>
        </is>
      </c>
      <c r="F3" s="20" t="inlineStr">
        <is>
          <t>Due</t>
        </is>
      </c>
      <c r="G3" s="20" t="inlineStr">
        <is>
          <t>Priority</t>
        </is>
      </c>
      <c r="H3" s="20" t="inlineStr">
        <is>
          <t>Status</t>
        </is>
      </c>
      <c r="I3" s="20" t="inlineStr">
        <is>
          <t>Decision Needed</t>
        </is>
      </c>
    </row>
    <row r="4">
      <c r="A4" s="40" t="inlineStr">
        <is>
          <t>ACT-01</t>
        </is>
      </c>
      <c r="B4" s="40" t="inlineStr">
        <is>
          <t>Approve $1.2M revolver draw to bridge BEAD reimbursement timing</t>
        </is>
      </c>
      <c r="C4" s="40" t="inlineStr">
        <is>
          <t>Financial</t>
        </is>
      </c>
      <c r="D4" s="40" t="inlineStr">
        <is>
          <t>CFO / Board</t>
        </is>
      </c>
      <c r="E4" s="40" t="inlineStr">
        <is>
          <t>2026-06-01</t>
        </is>
      </c>
      <c r="F4" s="40" t="inlineStr">
        <is>
          <t>2026-06-20</t>
        </is>
      </c>
      <c r="G4" s="40" t="inlineStr">
        <is>
          <t>Critical</t>
        </is>
      </c>
      <c r="H4" s="40" t="inlineStr">
        <is>
          <t>In Progress</t>
        </is>
      </c>
      <c r="I4" s="40" t="inlineStr">
        <is>
          <t>Yes</t>
        </is>
      </c>
    </row>
    <row r="5">
      <c r="A5" s="40" t="inlineStr">
        <is>
          <t>ACT-02</t>
        </is>
      </c>
      <c r="B5" s="40" t="inlineStr">
        <is>
          <t>Authorize second construction contractor for Scotland + Columbus</t>
        </is>
      </c>
      <c r="C5" s="40" t="inlineStr">
        <is>
          <t>Construction</t>
        </is>
      </c>
      <c r="D5" s="40" t="inlineStr">
        <is>
          <t>COO</t>
        </is>
      </c>
      <c r="E5" s="40" t="inlineStr">
        <is>
          <t>2026-05-28</t>
        </is>
      </c>
      <c r="F5" s="40" t="inlineStr">
        <is>
          <t>2026-06-25</t>
        </is>
      </c>
      <c r="G5" s="40" t="inlineStr">
        <is>
          <t>High</t>
        </is>
      </c>
      <c r="H5" s="40" t="inlineStr">
        <is>
          <t>Not Started</t>
        </is>
      </c>
      <c r="I5" s="40" t="inlineStr">
        <is>
          <t>Yes</t>
        </is>
      </c>
    </row>
    <row r="6">
      <c r="A6" s="40" t="inlineStr">
        <is>
          <t>ACT-03</t>
        </is>
      </c>
      <c r="B6" s="40" t="inlineStr">
        <is>
          <t>Approve revised capital plan reforecast (Q3 FY26)</t>
        </is>
      </c>
      <c r="C6" s="40" t="inlineStr">
        <is>
          <t>Financial</t>
        </is>
      </c>
      <c r="D6" s="40" t="inlineStr">
        <is>
          <t>CFO</t>
        </is>
      </c>
      <c r="E6" s="40" t="inlineStr">
        <is>
          <t>2026-06-05</t>
        </is>
      </c>
      <c r="F6" s="40" t="inlineStr">
        <is>
          <t>2026-07-01</t>
        </is>
      </c>
      <c r="G6" s="40" t="inlineStr">
        <is>
          <t>High</t>
        </is>
      </c>
      <c r="H6" s="40" t="inlineStr">
        <is>
          <t>Not Started</t>
        </is>
      </c>
      <c r="I6" s="40" t="inlineStr">
        <is>
          <t>Yes</t>
        </is>
      </c>
    </row>
    <row r="7">
      <c r="A7" s="40" t="inlineStr">
        <is>
          <t>ACT-04</t>
        </is>
      </c>
      <c r="B7" s="40" t="inlineStr">
        <is>
          <t>Ratify HOA / bulk agreement pricing policy</t>
        </is>
      </c>
      <c r="C7" s="40" t="inlineStr">
        <is>
          <t>Commercial</t>
        </is>
      </c>
      <c r="D7" s="40" t="inlineStr">
        <is>
          <t>VP Sales</t>
        </is>
      </c>
      <c r="E7" s="40" t="inlineStr">
        <is>
          <t>2026-05-15</t>
        </is>
      </c>
      <c r="F7" s="40" t="inlineStr">
        <is>
          <t>2026-06-30</t>
        </is>
      </c>
      <c r="G7" s="40" t="inlineStr">
        <is>
          <t>Medium</t>
        </is>
      </c>
      <c r="H7" s="40" t="inlineStr">
        <is>
          <t>In Progress</t>
        </is>
      </c>
      <c r="I7" s="40" t="inlineStr">
        <is>
          <t>Yes</t>
        </is>
      </c>
    </row>
    <row r="8">
      <c r="A8" s="40" t="inlineStr">
        <is>
          <t>ACT-05</t>
        </is>
      </c>
      <c r="B8" s="40" t="inlineStr">
        <is>
          <t>Approve install-crew headcount add (2 FTE) to clear backlog</t>
        </is>
      </c>
      <c r="C8" s="40" t="inlineStr">
        <is>
          <t>Operations</t>
        </is>
      </c>
      <c r="D8" s="40" t="inlineStr">
        <is>
          <t>VP Operations</t>
        </is>
      </c>
      <c r="E8" s="40" t="inlineStr">
        <is>
          <t>2026-06-08</t>
        </is>
      </c>
      <c r="F8" s="40" t="inlineStr">
        <is>
          <t>2026-06-22</t>
        </is>
      </c>
      <c r="G8" s="40" t="inlineStr">
        <is>
          <t>High</t>
        </is>
      </c>
      <c r="H8" s="40" t="inlineStr">
        <is>
          <t>Not Started</t>
        </is>
      </c>
      <c r="I8" s="40" t="inlineStr">
        <is>
          <t>Yes</t>
        </is>
      </c>
    </row>
    <row r="9">
      <c r="A9" s="40" t="inlineStr">
        <is>
          <t>ACT-06</t>
        </is>
      </c>
      <c r="B9" s="40" t="inlineStr">
        <is>
          <t>Review competitive response plan for Cumberland overbuild</t>
        </is>
      </c>
      <c r="C9" s="40" t="inlineStr">
        <is>
          <t>Market</t>
        </is>
      </c>
      <c r="D9" s="40" t="inlineStr">
        <is>
          <t>VP Sales</t>
        </is>
      </c>
      <c r="E9" s="40" t="inlineStr">
        <is>
          <t>2026-06-02</t>
        </is>
      </c>
      <c r="F9" s="40" t="inlineStr">
        <is>
          <t>2026-07-10</t>
        </is>
      </c>
      <c r="G9" s="40" t="inlineStr">
        <is>
          <t>Medium</t>
        </is>
      </c>
      <c r="H9" s="40" t="inlineStr">
        <is>
          <t>Not Started</t>
        </is>
      </c>
      <c r="I9" s="40" t="inlineStr">
        <is>
          <t>No</t>
        </is>
      </c>
    </row>
    <row r="10">
      <c r="A10" s="40" t="inlineStr">
        <is>
          <t>ACT-07</t>
        </is>
      </c>
      <c r="B10" s="40" t="inlineStr">
        <is>
          <t>Sign off on Q4 board reporting calendar</t>
        </is>
      </c>
      <c r="C10" s="40" t="inlineStr">
        <is>
          <t>Governance</t>
        </is>
      </c>
      <c r="D10" s="40" t="inlineStr">
        <is>
          <t>Chief of Staff</t>
        </is>
      </c>
      <c r="E10" s="40" t="inlineStr">
        <is>
          <t>2026-05-30</t>
        </is>
      </c>
      <c r="F10" s="40" t="inlineStr">
        <is>
          <t>2026-06-18</t>
        </is>
      </c>
      <c r="G10" s="40" t="inlineStr">
        <is>
          <t>Low</t>
        </is>
      </c>
      <c r="H10" s="40" t="inlineStr">
        <is>
          <t>Complete</t>
        </is>
      </c>
      <c r="I10" s="40" t="inlineStr">
        <is>
          <t>No</t>
        </is>
      </c>
    </row>
    <row r="11">
      <c r="A11" s="40" t="inlineStr">
        <is>
          <t>ACT-08</t>
        </is>
      </c>
      <c r="B11" s="40" t="inlineStr">
        <is>
          <t>Approve splice-QA remediation budget for Zone 1</t>
        </is>
      </c>
      <c r="C11" s="40" t="inlineStr">
        <is>
          <t>Operations</t>
        </is>
      </c>
      <c r="D11" s="40" t="inlineStr">
        <is>
          <t>VP Operations</t>
        </is>
      </c>
      <c r="E11" s="40" t="inlineStr">
        <is>
          <t>2026-06-06</t>
        </is>
      </c>
      <c r="F11" s="40" t="inlineStr">
        <is>
          <t>2026-06-28</t>
        </is>
      </c>
      <c r="G11" s="40" t="inlineStr">
        <is>
          <t>Medium</t>
        </is>
      </c>
      <c r="H11" s="40" t="inlineStr">
        <is>
          <t>In Progress</t>
        </is>
      </c>
      <c r="I11" s="40" t="inlineStr">
        <is>
          <t>Yes</t>
        </is>
      </c>
    </row>
  </sheetData>
  <mergeCells count="2">
    <mergeCell ref="A1:I1"/>
    <mergeCell ref="A2:I2"/>
  </mergeCells>
  <conditionalFormatting sqref="H4:H1003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G4:G1003">
    <cfRule type="cellIs" priority="5" operator="equal" dxfId="2">
      <formula>"Critical"</formula>
    </cfRule>
    <cfRule type="cellIs" priority="6" operator="equal" dxfId="1">
      <formula>"High"</formula>
    </cfRule>
  </conditionalFormatting>
  <dataValidations count="3">
    <dataValidation sqref="G4:G1003" showDropDown="0" showInputMessage="0" showErrorMessage="0" allowBlank="1" type="list">
      <formula1>=Lists!$T$2:$T$5</formula1>
    </dataValidation>
    <dataValidation sqref="H4:H1003" showDropDown="0" showInputMessage="0" showErrorMessage="0" allowBlank="1" type="list">
      <formula1>=Lists!$S$2:$S$5</formula1>
    </dataValidation>
    <dataValidation sqref="I4:I1003" showDropDown="0" showInputMessage="0" showErrorMessage="0" allowBlank="1" type="list">
      <formula1>=Lists!$U$2:$U$3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595959"/>
    <outlinePr summaryBelow="1" summaryRight="1"/>
    <pageSetUpPr/>
  </sheetPr>
  <dimension ref="B1:E41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48" customWidth="1" min="4" max="4"/>
    <col width="26" customWidth="1" min="5" max="5"/>
  </cols>
  <sheetData>
    <row r="1" ht="24" customHeight="1">
      <c r="B1" s="53" t="inlineStr">
        <is>
          <t>DATA DICTIONARY  —  KPI Definitions &amp; Formulas</t>
        </is>
      </c>
    </row>
    <row r="3">
      <c r="B3" s="20" t="inlineStr">
        <is>
          <t>KPI / Term</t>
        </is>
      </c>
      <c r="C3" s="20" t="inlineStr">
        <is>
          <t>Definition</t>
        </is>
      </c>
      <c r="D3" s="20" t="inlineStr">
        <is>
          <t>How it is calculated</t>
        </is>
      </c>
      <c r="E3" s="20" t="inlineStr">
        <is>
          <t>Source tab</t>
        </is>
      </c>
    </row>
    <row r="4">
      <c r="B4" s="54" t="inlineStr">
        <is>
          <t>Total Customers</t>
        </is>
      </c>
      <c r="C4" s="55" t="inlineStr">
        <is>
          <t>End-of-month active subscriber count</t>
        </is>
      </c>
      <c r="D4" s="55" t="inlineStr">
        <is>
          <t>Latest Customer_Data row for the month</t>
        </is>
      </c>
      <c r="E4" s="55" t="inlineStr">
        <is>
          <t>Customer_Data</t>
        </is>
      </c>
    </row>
    <row r="5">
      <c r="B5" s="54" t="inlineStr">
        <is>
          <t>New Sales</t>
        </is>
      </c>
      <c r="C5" s="55" t="inlineStr">
        <is>
          <t>Gross new connections in the month</t>
        </is>
      </c>
      <c r="D5" s="55" t="inlineStr">
        <is>
          <t>Sum of New Sales for the month</t>
        </is>
      </c>
      <c r="E5" s="55" t="inlineStr">
        <is>
          <t>Customer_Data</t>
        </is>
      </c>
    </row>
    <row r="6">
      <c r="B6" s="54" t="inlineStr">
        <is>
          <t>Disconnects</t>
        </is>
      </c>
      <c r="C6" s="55" t="inlineStr">
        <is>
          <t>Subscribers lost in the month</t>
        </is>
      </c>
      <c r="D6" s="55" t="inlineStr">
        <is>
          <t>Sum of Disconnects for the month</t>
        </is>
      </c>
      <c r="E6" s="55" t="inlineStr">
        <is>
          <t>Customer_Data</t>
        </is>
      </c>
    </row>
    <row r="7">
      <c r="B7" s="54" t="inlineStr">
        <is>
          <t>Net Adds</t>
        </is>
      </c>
      <c r="C7" s="55" t="inlineStr">
        <is>
          <t>Net subscriber change</t>
        </is>
      </c>
      <c r="D7" s="55" t="inlineStr">
        <is>
          <t>New Sales − Disconnects</t>
        </is>
      </c>
      <c r="E7" s="55" t="inlineStr">
        <is>
          <t>Customer_Data</t>
        </is>
      </c>
    </row>
    <row r="8">
      <c r="B8" s="54" t="inlineStr">
        <is>
          <t>Churn Rate</t>
        </is>
      </c>
      <c r="C8" s="55" t="inlineStr">
        <is>
          <t>Monthly subscriber churn</t>
        </is>
      </c>
      <c r="D8" s="55" t="inlineStr">
        <is>
          <t>Disconnects ÷ prior-month Total Customers</t>
        </is>
      </c>
      <c r="E8" s="55" t="inlineStr">
        <is>
          <t>Customer_Data</t>
        </is>
      </c>
    </row>
    <row r="9">
      <c r="B9" s="54" t="inlineStr">
        <is>
          <t>Homes Passed</t>
        </is>
      </c>
      <c r="C9" s="55" t="inlineStr">
        <is>
          <t>Cumulative premises where fiber is available</t>
        </is>
      </c>
      <c r="D9" s="55" t="inlineStr">
        <is>
          <t>Latest cumulative value</t>
        </is>
      </c>
      <c r="E9" s="55" t="inlineStr">
        <is>
          <t>Customer_Data</t>
        </is>
      </c>
    </row>
    <row r="10">
      <c r="B10" s="54" t="inlineStr">
        <is>
          <t>Take Rate</t>
        </is>
      </c>
      <c r="C10" s="55" t="inlineStr">
        <is>
          <t>Penetration of homes passed</t>
        </is>
      </c>
      <c r="D10" s="55" t="inlineStr">
        <is>
          <t>Total Customers ÷ Homes Passed</t>
        </is>
      </c>
      <c r="E10" s="55" t="inlineStr">
        <is>
          <t>Customer + Customer</t>
        </is>
      </c>
    </row>
    <row r="11">
      <c r="B11" s="54" t="inlineStr">
        <is>
          <t>ARPU</t>
        </is>
      </c>
      <c r="C11" s="55" t="inlineStr">
        <is>
          <t>Average revenue per user</t>
        </is>
      </c>
      <c r="D11" s="55" t="inlineStr">
        <is>
          <t>MRR ÷ Total Customers</t>
        </is>
      </c>
      <c r="E11" s="55" t="inlineStr">
        <is>
          <t>Financial + Customer</t>
        </is>
      </c>
    </row>
    <row r="12">
      <c r="B12" s="54" t="inlineStr">
        <is>
          <t>MRR</t>
        </is>
      </c>
      <c r="C12" s="55" t="inlineStr">
        <is>
          <t>Monthly recurring revenue</t>
        </is>
      </c>
      <c r="D12" s="55" t="inlineStr">
        <is>
          <t>Entered monthly</t>
        </is>
      </c>
      <c r="E12" s="55" t="inlineStr">
        <is>
          <t>Financial_Data</t>
        </is>
      </c>
    </row>
    <row r="13">
      <c r="B13" s="54" t="inlineStr">
        <is>
          <t>Revenue</t>
        </is>
      </c>
      <c r="C13" s="55" t="inlineStr">
        <is>
          <t>Total billed revenue in month</t>
        </is>
      </c>
      <c r="D13" s="55" t="inlineStr">
        <is>
          <t>Entered monthly (recurring + non-recurring)</t>
        </is>
      </c>
      <c r="E13" s="55" t="inlineStr">
        <is>
          <t>Financial_Data</t>
        </is>
      </c>
    </row>
    <row r="14">
      <c r="B14" s="54" t="inlineStr">
        <is>
          <t>CapEx</t>
        </is>
      </c>
      <c r="C14" s="55" t="inlineStr">
        <is>
          <t>Capitalized construction spend</t>
        </is>
      </c>
      <c r="D14" s="55" t="inlineStr">
        <is>
          <t>Entered monthly</t>
        </is>
      </c>
      <c r="E14" s="55" t="inlineStr">
        <is>
          <t>Financial_Data</t>
        </is>
      </c>
    </row>
    <row r="15">
      <c r="B15" s="54" t="inlineStr">
        <is>
          <t>OpEx</t>
        </is>
      </c>
      <c r="C15" s="55" t="inlineStr">
        <is>
          <t>Operating expense (excl. capex)</t>
        </is>
      </c>
      <c r="D15" s="55" t="inlineStr">
        <is>
          <t>Entered monthly</t>
        </is>
      </c>
      <c r="E15" s="55" t="inlineStr">
        <is>
          <t>Financial_Data</t>
        </is>
      </c>
    </row>
    <row r="16">
      <c r="B16" s="54" t="inlineStr">
        <is>
          <t>Budget vs Actual</t>
        </is>
      </c>
      <c r="C16" s="55" t="inlineStr">
        <is>
          <t>Variance to plan</t>
        </is>
      </c>
      <c r="D16" s="55" t="inlineStr">
        <is>
          <t>Actual − Budget (Revenue/OpEx/CapEx)</t>
        </is>
      </c>
      <c r="E16" s="55" t="inlineStr">
        <is>
          <t>Financial_Data</t>
        </is>
      </c>
    </row>
    <row r="17">
      <c r="B17" s="54" t="inlineStr">
        <is>
          <t>Cash Forecast (90-day)</t>
        </is>
      </c>
      <c r="C17" s="55" t="inlineStr">
        <is>
          <t>Projected cash 3 months out</t>
        </is>
      </c>
      <c r="D17" s="55" t="inlineStr">
        <is>
          <t>Cash + 3×Forecast Rev + Grant Outstanding − 3×(OpEx+CapEx+Contractor)</t>
        </is>
      </c>
      <c r="E17" s="55" t="inlineStr">
        <is>
          <t>Financial + Grant</t>
        </is>
      </c>
    </row>
    <row r="18">
      <c r="B18" s="54" t="inlineStr">
        <is>
          <t>Cost per Install</t>
        </is>
      </c>
      <c r="C18" s="55" t="inlineStr">
        <is>
          <t>Direct cost to install a subscriber</t>
        </is>
      </c>
      <c r="D18" s="55" t="inlineStr">
        <is>
          <t>Contractor cost ÷ Installs Completed</t>
        </is>
      </c>
      <c r="E18" s="55" t="inlineStr">
        <is>
          <t>Financial + Operations</t>
        </is>
      </c>
    </row>
    <row r="19">
      <c r="B19" s="54" t="inlineStr">
        <is>
          <t>Cost per Home Passed</t>
        </is>
      </c>
      <c r="C19" s="55" t="inlineStr">
        <is>
          <t>Build cost efficiency</t>
        </is>
      </c>
      <c r="D19" s="55" t="inlineStr">
        <is>
          <t>CapEx ÷ Homes Passed Added</t>
        </is>
      </c>
      <c r="E19" s="55" t="inlineStr">
        <is>
          <t>Financial + Operations</t>
        </is>
      </c>
    </row>
    <row r="20">
      <c r="B20" s="54" t="inlineStr">
        <is>
          <t>Gross Margin %</t>
        </is>
      </c>
      <c r="C20" s="55" t="inlineStr">
        <is>
          <t>Service-line profitability</t>
        </is>
      </c>
      <c r="D20" s="55" t="inlineStr">
        <is>
          <t>(Revenue − COGS) ÷ Revenue</t>
        </is>
      </c>
      <c r="E20" s="55" t="inlineStr">
        <is>
          <t>Revenue_Detail / Financial</t>
        </is>
      </c>
    </row>
    <row r="21">
      <c r="B21" s="54" t="inlineStr">
        <is>
          <t>Homes Passed</t>
        </is>
      </c>
      <c r="C21" s="55" t="inlineStr">
        <is>
          <t>Premises fiber is available to (ISP term)</t>
        </is>
      </c>
      <c r="D21" s="55" t="inlineStr">
        <is>
          <t>Cumulative construction output</t>
        </is>
      </c>
      <c r="E21" s="55" t="inlineStr">
        <is>
          <t>Operations / Customer</t>
        </is>
      </c>
    </row>
    <row r="22">
      <c r="B22" s="54" t="inlineStr">
        <is>
          <t>Footage Built</t>
        </is>
      </c>
      <c r="C22" s="55" t="inlineStr">
        <is>
          <t>Linear feet of fiber constructed</t>
        </is>
      </c>
      <c r="D22" s="55" t="inlineStr">
        <is>
          <t>Entered monthly</t>
        </is>
      </c>
      <c r="E22" s="55" t="inlineStr">
        <is>
          <t>Operations_Data</t>
        </is>
      </c>
    </row>
    <row r="23">
      <c r="B23" s="54" t="inlineStr">
        <is>
          <t>Drops</t>
        </is>
      </c>
      <c r="C23" s="55" t="inlineStr">
        <is>
          <t>Fiber drop from street to premises</t>
        </is>
      </c>
      <c r="D23" s="55" t="inlineStr">
        <is>
          <t>Entered monthly (Drops Completed)</t>
        </is>
      </c>
      <c r="E23" s="55" t="inlineStr">
        <is>
          <t>Operations_Data</t>
        </is>
      </c>
    </row>
    <row r="24">
      <c r="B24" s="54" t="inlineStr">
        <is>
          <t>Installs / Activations</t>
        </is>
      </c>
      <c r="C24" s="55" t="inlineStr">
        <is>
          <t>Premises connected &amp; turned up (ONT live)</t>
        </is>
      </c>
      <c r="D24" s="55" t="inlineStr">
        <is>
          <t>Entered monthly</t>
        </is>
      </c>
      <c r="E24" s="55" t="inlineStr">
        <is>
          <t>Operations_Data</t>
        </is>
      </c>
    </row>
    <row r="25">
      <c r="B25" s="54" t="inlineStr">
        <is>
          <t>Avg Days to Install</t>
        </is>
      </c>
      <c r="C25" s="55" t="inlineStr">
        <is>
          <t>Order-to-activation cycle time</t>
        </is>
      </c>
      <c r="D25" s="55" t="inlineStr">
        <is>
          <t>Average for the month</t>
        </is>
      </c>
      <c r="E25" s="55" t="inlineStr">
        <is>
          <t>Operations_Data</t>
        </is>
      </c>
    </row>
    <row r="26">
      <c r="B26" s="54" t="inlineStr">
        <is>
          <t>Install Backlog</t>
        </is>
      </c>
      <c r="C26" s="55" t="inlineStr">
        <is>
          <t>Open install orders</t>
        </is>
      </c>
      <c r="D26" s="55" t="inlineStr">
        <is>
          <t>YTD Scheduled − YTD Completed</t>
        </is>
      </c>
      <c r="E26" s="55" t="inlineStr">
        <is>
          <t>Operations_Data</t>
        </is>
      </c>
    </row>
    <row r="27">
      <c r="B27" s="54" t="inlineStr">
        <is>
          <t>Trouble Tickets</t>
        </is>
      </c>
      <c r="C27" s="55" t="inlineStr">
        <is>
          <t>Customer service issues opened</t>
        </is>
      </c>
      <c r="D27" s="55" t="inlineStr">
        <is>
          <t>Sum for the month</t>
        </is>
      </c>
      <c r="E27" s="55" t="inlineStr">
        <is>
          <t>Operations_Data</t>
        </is>
      </c>
    </row>
    <row r="28">
      <c r="B28" s="54" t="inlineStr">
        <is>
          <t>Repeat Tickets</t>
        </is>
      </c>
      <c r="C28" s="55" t="inlineStr">
        <is>
          <t>Re-opened within 30 days (quality signal)</t>
        </is>
      </c>
      <c r="D28" s="55" t="inlineStr">
        <is>
          <t>Sum for the month; % of total</t>
        </is>
      </c>
      <c r="E28" s="55" t="inlineStr">
        <is>
          <t>Operations_Data</t>
        </is>
      </c>
    </row>
    <row r="29">
      <c r="B29" s="54" t="inlineStr">
        <is>
          <t>Splicing</t>
        </is>
      </c>
      <c r="C29" s="55" t="inlineStr">
        <is>
          <t>Fiber splice work (make-ready to active)</t>
        </is>
      </c>
      <c r="D29" s="55" t="inlineStr">
        <is>
          <t>Splices Completed entered monthly</t>
        </is>
      </c>
      <c r="E29" s="55" t="inlineStr">
        <is>
          <t>Operations_Data</t>
        </is>
      </c>
    </row>
    <row r="30">
      <c r="B30" s="54" t="inlineStr">
        <is>
          <t>Make-Ready</t>
        </is>
      </c>
      <c r="C30" s="55" t="inlineStr">
        <is>
          <t>Pole/conduit prep before attach</t>
        </is>
      </c>
      <c r="D30" s="55" t="inlineStr">
        <is>
          <t>Phase status per project</t>
        </is>
      </c>
      <c r="E30" s="55" t="inlineStr">
        <is>
          <t>Project_Data</t>
        </is>
      </c>
    </row>
    <row r="31">
      <c r="B31" s="54" t="inlineStr">
        <is>
          <t>Permitting</t>
        </is>
      </c>
      <c r="C31" s="55" t="inlineStr">
        <is>
          <t>Regulatory permits to build</t>
        </is>
      </c>
      <c r="D31" s="55" t="inlineStr">
        <is>
          <t>Phase status per project</t>
        </is>
      </c>
      <c r="E31" s="55" t="inlineStr">
        <is>
          <t>Project_Data</t>
        </is>
      </c>
    </row>
    <row r="32">
      <c r="B32" s="54" t="inlineStr">
        <is>
          <t>Contractor Performance</t>
        </is>
      </c>
      <c r="C32" s="55" t="inlineStr">
        <is>
          <t>Build-partner quality score 0–10</t>
        </is>
      </c>
      <c r="D32" s="55" t="inlineStr">
        <is>
          <t>Average score by contractor</t>
        </is>
      </c>
      <c r="E32" s="55" t="inlineStr">
        <is>
          <t>Project_Data</t>
        </is>
      </c>
    </row>
    <row r="33">
      <c r="B33" s="54" t="inlineStr">
        <is>
          <t>Pipeline Value</t>
        </is>
      </c>
      <c r="C33" s="55" t="inlineStr">
        <is>
          <t>Open opportunity ARR</t>
        </is>
      </c>
      <c r="D33" s="55" t="inlineStr">
        <is>
          <t>Sum of open (non-closed) opp Value</t>
        </is>
      </c>
      <c r="E33" s="55" t="inlineStr">
        <is>
          <t>Pipeline</t>
        </is>
      </c>
    </row>
    <row r="34">
      <c r="B34" s="54" t="inlineStr">
        <is>
          <t>Conversion Rate</t>
        </is>
      </c>
      <c r="C34" s="55" t="inlineStr">
        <is>
          <t>Lead-to-connect efficiency</t>
        </is>
      </c>
      <c r="D34" s="55" t="inlineStr">
        <is>
          <t>Sales ÷ Leads</t>
        </is>
      </c>
      <c r="E34" s="55" t="inlineStr">
        <is>
          <t>Sales_Data</t>
        </is>
      </c>
    </row>
    <row r="35">
      <c r="B35" s="54" t="inlineStr">
        <is>
          <t>Enterprise / DIA</t>
        </is>
      </c>
      <c r="C35" s="55" t="inlineStr">
        <is>
          <t>Dedicated Internet Access deals</t>
        </is>
      </c>
      <c r="D35" s="55" t="inlineStr">
        <is>
          <t>Opp Type = Enterprise/DIA</t>
        </is>
      </c>
      <c r="E35" s="55" t="inlineStr">
        <is>
          <t>Pipeline</t>
        </is>
      </c>
    </row>
    <row r="36">
      <c r="B36" s="54" t="inlineStr">
        <is>
          <t>HOA / Bulk</t>
        </is>
      </c>
      <c r="C36" s="55" t="inlineStr">
        <is>
          <t>Developer &amp; multi-dwelling agreements</t>
        </is>
      </c>
      <c r="D36" s="55" t="inlineStr">
        <is>
          <t>Opp Type = HOA/Developer or Bulk</t>
        </is>
      </c>
      <c r="E36" s="55" t="inlineStr">
        <is>
          <t>Pipeline</t>
        </is>
      </c>
    </row>
    <row r="37">
      <c r="B37" s="54" t="inlineStr">
        <is>
          <t>Grant Reimbursement</t>
        </is>
      </c>
      <c r="C37" s="55" t="inlineStr">
        <is>
          <t>BEAD/CAB/ARPA/State/RDOF drawdowns</t>
        </is>
      </c>
      <c r="D37" s="55" t="inlineStr">
        <is>
          <t>Approved &amp; Received amounts</t>
        </is>
      </c>
      <c r="E37" s="55" t="inlineStr">
        <is>
          <t>Grant_Data</t>
        </is>
      </c>
    </row>
    <row r="38">
      <c r="B38" s="54" t="inlineStr">
        <is>
          <t>BEAD</t>
        </is>
      </c>
      <c r="C38" s="55" t="inlineStr">
        <is>
          <t>Broadband Equity Access &amp; Deployment (federal)</t>
        </is>
      </c>
      <c r="D38" s="55" t="inlineStr">
        <is>
          <t>Grant program tag</t>
        </is>
      </c>
      <c r="E38" s="55" t="inlineStr">
        <is>
          <t>Grant_Data</t>
        </is>
      </c>
    </row>
    <row r="39">
      <c r="B39" s="54" t="inlineStr">
        <is>
          <t>CAB</t>
        </is>
      </c>
      <c r="C39" s="55" t="inlineStr">
        <is>
          <t>Completing Access to Broadband (NC state)</t>
        </is>
      </c>
      <c r="D39" s="55" t="inlineStr">
        <is>
          <t>Grant program tag</t>
        </is>
      </c>
      <c r="E39" s="55" t="inlineStr">
        <is>
          <t>Grant_Data</t>
        </is>
      </c>
    </row>
    <row r="40">
      <c r="B40" s="54" t="inlineStr">
        <is>
          <t>Risk Score</t>
        </is>
      </c>
      <c r="C40" s="55" t="inlineStr">
        <is>
          <t>Likelihood × Impact (1–25)</t>
        </is>
      </c>
      <c r="D40" s="55" t="inlineStr">
        <is>
          <t>L × I; RED ≥15, YELLOW ≥8</t>
        </is>
      </c>
      <c r="E40" s="55" t="inlineStr">
        <is>
          <t>Risk_Register</t>
        </is>
      </c>
    </row>
    <row r="41">
      <c r="B41" s="54" t="inlineStr">
        <is>
          <t>RYG Health</t>
        </is>
      </c>
      <c r="C41" s="55" t="inlineStr">
        <is>
          <t>Red/Yellow/Green status</t>
        </is>
      </c>
      <c r="D41" s="55" t="inlineStr">
        <is>
          <t>Threshold rules per KPI (see card formulas)</t>
        </is>
      </c>
      <c r="E41" s="55" t="inlineStr">
        <is>
          <t>All dashboards</t>
        </is>
      </c>
    </row>
  </sheetData>
  <mergeCells count="1">
    <mergeCell ref="B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75623"/>
    <outlinePr summaryBelow="1" summaryRight="1"/>
    <pageSetUpPr/>
  </sheetPr>
  <dimension ref="B1:B48"/>
  <sheetViews>
    <sheetView showGridLines="0"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4" customHeight="1">
      <c r="B1" s="53" t="inlineStr">
        <is>
          <t>USER GUIDE &amp; UPDATE PROCESS</t>
        </is>
      </c>
    </row>
    <row r="3">
      <c r="B3" s="56" t="inlineStr">
        <is>
          <t>HOW THIS WORKBOOK IS ORGANIZED</t>
        </is>
      </c>
    </row>
    <row r="4" ht="14" customHeight="1">
      <c r="B4" s="57" t="inlineStr">
        <is>
          <t>• DASHBOARDS (read-only views): Exec_Dashboard, Sales_Dashboard, Ops_Dashboard, Financial_Dashboard, Board_Report.</t>
        </is>
      </c>
    </row>
    <row r="5" ht="14" customHeight="1">
      <c r="B5" s="57" t="inlineStr">
        <is>
          <t>• INPUT TABS (where staff type): Customer_Data, Sales_Data, Pipeline, Operations_Data, Project_Data,</t>
        </is>
      </c>
    </row>
    <row r="6" ht="14" customHeight="1">
      <c r="B6" s="57" t="inlineStr">
        <is>
          <t xml:space="preserve">   Financial_Data, Revenue_Detail, Grant_Data, Sales_Targets, Risk_Register, Board_Action Items.</t>
        </is>
      </c>
    </row>
    <row r="7" ht="14" customHeight="1">
      <c r="B7" s="57" t="inlineStr">
        <is>
          <t>• REFERENCE: Data_Dictionary (every KPI defined), Assumptions, User_Guide. Calc &amp; Lists are hidden engine tabs.</t>
        </is>
      </c>
    </row>
    <row r="8" ht="14" customHeight="1">
      <c r="B8" s="57" t="inlineStr">
        <is>
          <t>• Everything on the dashboards is a formula that reads the input tabs. Type data in, dashboards update automatically.</t>
        </is>
      </c>
    </row>
    <row r="10">
      <c r="B10" s="56" t="inlineStr">
        <is>
          <t>THE ONE CONTROL YOU SET — REPORTING MONTH</t>
        </is>
      </c>
    </row>
    <row r="11" ht="14" customHeight="1">
      <c r="B11" s="57" t="inlineStr">
        <is>
          <t>• On Exec_Dashboard, cell C5 ('Reporting Month') has a dropdown. Pick the month you are reporting on.</t>
        </is>
      </c>
    </row>
    <row r="12" ht="14" customHeight="1">
      <c r="B12" s="57" t="inlineStr">
        <is>
          <t>• Every dashboard and the Board Report follow that selection for This-Month / MTD / YTD / Rolling-12 math.</t>
        </is>
      </c>
    </row>
    <row r="14">
      <c r="B14" s="56" t="inlineStr">
        <is>
          <t>WEEKLY UPDATE PROCESS  (≈20 minutes)</t>
        </is>
      </c>
    </row>
    <row r="15" ht="14" customHeight="1">
      <c r="B15" s="57" t="inlineStr">
        <is>
          <t>1. Customer_Data — confirm/adjust the current month row (Total Customers, New Sales, Disconnects, Homes Passed).</t>
        </is>
      </c>
    </row>
    <row r="16" ht="14" customHeight="1">
      <c r="B16" s="57" t="inlineStr">
        <is>
          <t>2. Sales_Data — add rows for connects closed this week (Month, County, Segment, Channel, Campaign, Rep, units, New MRR).</t>
        </is>
      </c>
    </row>
    <row r="17" ht="14" customHeight="1">
      <c r="B17" s="57" t="inlineStr">
        <is>
          <t>3. Pipeline — update opportunity Stages; mark Closed-Won / Closed-Lost (add a Lost Reason for losses).</t>
        </is>
      </c>
    </row>
    <row r="18" ht="14" customHeight="1">
      <c r="B18" s="57" t="inlineStr">
        <is>
          <t>4. Operations_Data — update installs scheduled/completed, drops, splices, tickets, outages, avg days to install.</t>
        </is>
      </c>
    </row>
    <row r="19" ht="14" customHeight="1">
      <c r="B19" s="57" t="inlineStr">
        <is>
          <t>5. Project_Data — update % Complete, Status, phase statuses, capital spent, and any new Blocker.</t>
        </is>
      </c>
    </row>
    <row r="20" ht="14" customHeight="1">
      <c r="B20" s="57" t="inlineStr">
        <is>
          <t>6. Risk_Register — review scores, owners, mitigations; close resolved risks; add new ones.</t>
        </is>
      </c>
    </row>
    <row r="21" ht="14" customHeight="1">
      <c r="B21" s="57" t="inlineStr">
        <is>
          <t>7. Board_Action Items — log any new decisions needed; update statuses.</t>
        </is>
      </c>
    </row>
    <row r="22" ht="14" customHeight="1">
      <c r="B22" s="57" t="inlineStr">
        <is>
          <t>8. Open Exec_Dashboard — confirm RYG health and the auto-generated summary read correctly.</t>
        </is>
      </c>
    </row>
    <row r="24">
      <c r="B24" s="56" t="inlineStr">
        <is>
          <t>MONTHLY COO REPORTING PROCESS  (≈45 minutes)</t>
        </is>
      </c>
    </row>
    <row r="25" ht="14" customHeight="1">
      <c r="B25" s="57" t="inlineStr">
        <is>
          <t>1. Complete the month in Financial_Data (Revenue, MRR, CapEx, OpEx, Labor, Contractor, Grant, Budget, Cash).</t>
        </is>
      </c>
    </row>
    <row r="26" ht="14" customHeight="1">
      <c r="B26" s="57" t="inlineStr">
        <is>
          <t>2. Complete Revenue_Detail rows for the month (revenue &amp; COGS by product) so margin-by-line is accurate.</t>
        </is>
      </c>
    </row>
    <row r="27" ht="14" customHeight="1">
      <c r="B27" s="57" t="inlineStr">
        <is>
          <t>3. Update Grant_Data with drawdown status changes (Submitted / Approved / Partially Paid / Paid).</t>
        </is>
      </c>
    </row>
    <row r="28" ht="14" customHeight="1">
      <c r="B28" s="57" t="inlineStr">
        <is>
          <t>4. Set Exec_Dashboard C5 to the closed month. Review all four dashboards.</t>
        </is>
      </c>
    </row>
    <row r="29" ht="14" customHeight="1">
      <c r="B29" s="57" t="inlineStr">
        <is>
          <t>5. Open Board_Report — Section 1 (Executive Summary) and the financial/customer/ops tables auto-populate.</t>
        </is>
      </c>
    </row>
    <row r="30" ht="14" customHeight="1">
      <c r="B30" s="57" t="inlineStr">
        <is>
          <t>6. Edit the qualitative cells in Section 2 (Going Well / Behind / Needs Attention) to reflect the month's narrative.</t>
        </is>
      </c>
    </row>
    <row r="31" ht="14" customHeight="1">
      <c r="B31" s="57" t="inlineStr">
        <is>
          <t>7. Print/PDF the Board_Report tab for distribution (set print area to the Board_Report sheet).</t>
        </is>
      </c>
    </row>
    <row r="33">
      <c r="B33" s="56" t="inlineStr">
        <is>
          <t>QUARTERLY BOARD REPORTING PROCESS</t>
        </is>
      </c>
    </row>
    <row r="34" ht="14" customHeight="1">
      <c r="B34" s="57" t="inlineStr">
        <is>
          <t>1. Run the monthly process for the quarter-end month (this gives YTD figures through the quarter).</t>
        </is>
      </c>
    </row>
    <row r="35" ht="14" customHeight="1">
      <c r="B35" s="57" t="inlineStr">
        <is>
          <t>2. On Board_Report, review Sections 3–8 (Financial, Customer &amp; Ops, Project Updates, Grant Summary, Risks, Decisions).</t>
        </is>
      </c>
    </row>
    <row r="36" ht="14" customHeight="1">
      <c r="B36" s="57" t="inlineStr">
        <is>
          <t>3. Refresh the narrative bullets in Section 2 for the quarter; confirm Decisions Needed reflects board-level asks.</t>
        </is>
      </c>
    </row>
    <row r="37" ht="14" customHeight="1">
      <c r="B37" s="57" t="inlineStr">
        <is>
          <t>4. Export Board_Report (and optionally each dashboard) to PDF: File ▸ Export ▸ PDF, or Print ▸ Save as PDF.</t>
        </is>
      </c>
    </row>
    <row r="38" ht="14" customHeight="1">
      <c r="B38" s="57" t="inlineStr">
        <is>
          <t>5. Pair with the Strategic Initiative / Risk registers for the full board package.</t>
        </is>
      </c>
    </row>
    <row r="40">
      <c r="B40" s="56" t="inlineStr">
        <is>
          <t>READING THE HEALTH COLORS</t>
        </is>
      </c>
    </row>
    <row r="41" ht="14" customHeight="1">
      <c r="B41" s="57" t="inlineStr">
        <is>
          <t>• GREEN = on/above target.  YELLOW = watch / within tolerance.  RED = off target, needs action.</t>
        </is>
      </c>
    </row>
    <row r="42" ht="14" customHeight="1">
      <c r="B42" s="57" t="inlineStr">
        <is>
          <t>• Thresholds are documented in Data_Dictionary and encoded in each KPI card's status formula.</t>
        </is>
      </c>
    </row>
    <row r="43" ht="14" customHeight="1">
      <c r="B43" s="57" t="inlineStr">
        <is>
          <t>• To change a threshold, edit the IF() formula in the small status cell beneath the KPI value.</t>
        </is>
      </c>
    </row>
    <row r="45">
      <c r="B45" s="56" t="inlineStr">
        <is>
          <t>ADDING ROWS / NEW MONTHS</t>
        </is>
      </c>
    </row>
    <row r="46" ht="14" customHeight="1">
      <c r="B46" s="57" t="inlineStr">
        <is>
          <t>• Input tabs are Excel Tables — click the last row and press Tab, or type under the table; it expands automatically.</t>
        </is>
      </c>
    </row>
    <row r="47" ht="14" customHeight="1">
      <c r="B47" s="57" t="inlineStr">
        <is>
          <t>• Rollup formulas read rows 4–1003 on each input tab, so newly added rows are picked up with no formula edits.</t>
        </is>
      </c>
    </row>
    <row r="48" ht="14" customHeight="1">
      <c r="B48" s="57" t="inlineStr">
        <is>
          <t>• When you start a new fiscal year, copy the workbook, clear the input rows, and reset Sales_Targets &amp; budgets.</t>
        </is>
      </c>
    </row>
  </sheetData>
  <mergeCells count="1">
    <mergeCell ref="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6000"/>
    <outlinePr summaryBelow="1" summaryRight="1"/>
    <pageSetUpPr/>
  </sheetPr>
  <dimension ref="B1:B34"/>
  <sheetViews>
    <sheetView showGridLines="0"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4" customHeight="1">
      <c r="B1" s="53" t="inlineStr">
        <is>
          <t>ASSUMPTIONS  &amp;  RECOMMENDATIONS FOR FUTURE AUTOMATION</t>
        </is>
      </c>
    </row>
    <row r="3">
      <c r="B3" s="58" t="inlineStr">
        <is>
          <t>ASSUMPTIONS USED IN THE BUILD</t>
        </is>
      </c>
    </row>
    <row r="4" ht="14" customHeight="1">
      <c r="B4" s="57" t="inlineStr">
        <is>
          <t>• Company profile: a regional fiber/FTTH ISP operating across southeastern NC counties (Robeson, Hoke,</t>
        </is>
      </c>
    </row>
    <row r="5" ht="14" customHeight="1">
      <c r="B5" s="57" t="inlineStr">
        <is>
          <t xml:space="preserve">   Cumberland, Scotland, Bladen, Columbus), part-funded by BEAD / CAB / ARPA / State / RDOF capital programs.</t>
        </is>
      </c>
    </row>
    <row r="6" ht="14" customHeight="1">
      <c r="B6" s="57" t="inlineStr">
        <is>
          <t>• Fiscal year shown is Jul-2025 → Jun-2026 (12 months). Current reporting month defaults to Jun-2026.</t>
        </is>
      </c>
    </row>
    <row r="7" ht="14" customHeight="1">
      <c r="B7" s="57" t="inlineStr">
        <is>
          <t>• Sample data is illustrative and seeded for realism; replace with your actuals. All formulas remain valid.</t>
        </is>
      </c>
    </row>
    <row r="8" ht="14" customHeight="1">
      <c r="B8" s="57" t="inlineStr">
        <is>
          <t>• 'Revenue' = total billed (recurring MRR + non-recurring install/equipment). 'OpEx' excludes capitalized build.</t>
        </is>
      </c>
    </row>
    <row r="9" ht="14" customHeight="1">
      <c r="B9" s="57" t="inlineStr">
        <is>
          <t>• 'CapEx' = capitalized construction. Contractor cost is shown separately for cost-per-install/home math.</t>
        </is>
      </c>
    </row>
    <row r="10" ht="14" customHeight="1">
      <c r="B10" s="57" t="inlineStr">
        <is>
          <t>• Cost per Install ≈ Contractor cost ÷ installs completed (a directional unit-economics proxy, not fully-loaded).</t>
        </is>
      </c>
    </row>
    <row r="11" ht="14" customHeight="1">
      <c r="B11" s="57" t="inlineStr">
        <is>
          <t>• Cost per Home Passed ≈ CapEx ÷ homes passed added that month (directional; not all CapEx is plant).</t>
        </is>
      </c>
    </row>
    <row r="12" ht="14" customHeight="1">
      <c r="B12" s="57" t="inlineStr">
        <is>
          <t>• Install backlog = YTD installs scheduled − YTD installs completed (a running open-order proxy).</t>
        </is>
      </c>
    </row>
    <row r="13" ht="14" customHeight="1">
      <c r="B13" s="57" t="inlineStr">
        <is>
          <t>• Churn = monthly disconnects ÷ prior-month customers (simple logo churn, not revenue churn).</t>
        </is>
      </c>
    </row>
    <row r="14" ht="14" customHeight="1">
      <c r="B14" s="57" t="inlineStr">
        <is>
          <t>• Risk score = Likelihood × Impact (1–5 each); RED ≥ 15, YELLOW ≥ 8, else GREEN.</t>
        </is>
      </c>
    </row>
    <row r="15" ht="14" customHeight="1">
      <c r="B15" s="57" t="inlineStr">
        <is>
          <t>• RYG thresholds (churn, ARPU, days-to-install, margin, cash, etc.) are starting defaults — tune to your plan.</t>
        </is>
      </c>
    </row>
    <row r="16" ht="14" customHeight="1">
      <c r="B16" s="57" t="inlineStr">
        <is>
          <t>• 90-day cash forecast is a simple run-rate projection (3× forecast revenue + outstanding grants − 3× cash outflows).</t>
        </is>
      </c>
    </row>
    <row r="17" ht="14" customHeight="1">
      <c r="B17" s="57" t="inlineStr">
        <is>
          <t>• Trouble-ticket categories on the Ops dashboard are an editable helper block (no category field in the raw feed).</t>
        </is>
      </c>
    </row>
    <row r="19">
      <c r="B19" s="58" t="inlineStr">
        <is>
          <t>WHAT WOULD MATERIALLY CHANGE THE DESIGN (confirm with COO)</t>
        </is>
      </c>
    </row>
    <row r="20" ht="14" customHeight="1">
      <c r="B20" s="57" t="inlineStr">
        <is>
          <t>• If revenue is recognized on a deferred/GAAP basis rather than billed, the Financial tab needs a recognition schedule.</t>
        </is>
      </c>
    </row>
    <row r="21" ht="14" customHeight="1">
      <c r="B21" s="57" t="inlineStr">
        <is>
          <t>• If you track subscribers by service tier/speed, add a tier dimension to Customer_Data &amp; Revenue_Detail.</t>
        </is>
      </c>
    </row>
    <row r="22" ht="14" customHeight="1">
      <c r="B22" s="57" t="inlineStr">
        <is>
          <t>• If grant drawdowns are milestone-based with clawback risk, add a milestone schedule tab feeding the cash forecast.</t>
        </is>
      </c>
    </row>
    <row r="23" ht="14" customHeight="1">
      <c r="B23" s="57" t="inlineStr">
        <is>
          <t>• If multiple legal entities/markets roll up, add an Entity column and a consolidation layer.</t>
        </is>
      </c>
    </row>
    <row r="25">
      <c r="B25" s="58" t="inlineStr">
        <is>
          <t>RECOMMENDATIONS FOR FUTURE AUTOMATION</t>
        </is>
      </c>
    </row>
    <row r="26" ht="14" customHeight="1">
      <c r="B26" s="57" t="inlineStr">
        <is>
          <t>1. Connect input tabs to source systems: billing/CRM (customers, MRR, churn), OSS/field service (installs, tickets),</t>
        </is>
      </c>
    </row>
    <row r="27" ht="14" customHeight="1">
      <c r="B27" s="57" t="inlineStr">
        <is>
          <t xml:space="preserve">   GIS/construction (homes passed, footage), and accounting (financials) via Power Query for scheduled refresh.</t>
        </is>
      </c>
    </row>
    <row r="28" ht="14" customHeight="1">
      <c r="B28" s="57" t="inlineStr">
        <is>
          <t>2. Move to Power BI / Looker Studio for distribution: keep this workbook as the data model, publish dashboards online.</t>
        </is>
      </c>
    </row>
    <row r="29" ht="14" customHeight="1">
      <c r="B29" s="57" t="inlineStr">
        <is>
          <t>3. Add a true subscriber ledger (one row per subscriber event) and derive cohorts, revenue churn, and LTV.</t>
        </is>
      </c>
    </row>
    <row r="30" ht="14" customHeight="1">
      <c r="B30" s="57" t="inlineStr">
        <is>
          <t>4. Automate grant drawdown tracking against milestones with reimbursement-aging and cash-timing alerts.</t>
        </is>
      </c>
    </row>
    <row r="31" ht="14" customHeight="1">
      <c r="B31" s="57" t="inlineStr">
        <is>
          <t>5. Add DORA-style operational SLAs (install SLA %, MTTR for outages) and contractor scorecards with auto-grading.</t>
        </is>
      </c>
    </row>
    <row r="32" ht="14" customHeight="1">
      <c r="B32" s="57" t="inlineStr">
        <is>
          <t>6. Schedule a monthly snapshot (Power Automate) that saves a dated PDF of Board_Report to a board folder.</t>
        </is>
      </c>
    </row>
    <row r="33" ht="14" customHeight="1">
      <c r="B33" s="57" t="inlineStr">
        <is>
          <t>7. Layer a rolling 13-week cash-flow model for treasury, fed by the same Financial &amp; Grant inputs.</t>
        </is>
      </c>
    </row>
    <row r="34" ht="14" customHeight="1">
      <c r="B34" s="57" t="inlineStr">
        <is>
          <t>8. Add data-validation guards / input forms to prevent staff entry errors at scale.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Month</t>
        </is>
      </c>
      <c r="B1" s="59" t="inlineStr">
        <is>
          <t>Period</t>
        </is>
      </c>
      <c r="C1" s="59" t="inlineStr">
        <is>
          <t>New Sales</t>
        </is>
      </c>
      <c r="D1" s="59" t="inlineStr">
        <is>
          <t>Disconnects</t>
        </is>
      </c>
      <c r="E1" s="59" t="inlineStr">
        <is>
          <t>Net Adds</t>
        </is>
      </c>
      <c r="F1" s="59" t="inlineStr">
        <is>
          <t>Total Customers</t>
        </is>
      </c>
      <c r="G1" s="59" t="inlineStr">
        <is>
          <t>Homes Passed</t>
        </is>
      </c>
      <c r="H1" s="59" t="inlineStr">
        <is>
          <t>Take Rate</t>
        </is>
      </c>
      <c r="I1" s="59" t="inlineStr">
        <is>
          <t>Churn</t>
        </is>
      </c>
      <c r="J1" s="59" t="inlineStr">
        <is>
          <t>Revenue</t>
        </is>
      </c>
      <c r="K1" s="59" t="inlineStr">
        <is>
          <t>MRR</t>
        </is>
      </c>
      <c r="L1" s="59" t="inlineStr">
        <is>
          <t>ARPU</t>
        </is>
      </c>
      <c r="M1" s="59" t="inlineStr">
        <is>
          <t>CapEx</t>
        </is>
      </c>
      <c r="N1" s="59" t="inlineStr">
        <is>
          <t>OpEx</t>
        </is>
      </c>
      <c r="O1" s="59" t="inlineStr">
        <is>
          <t>Contractor</t>
        </is>
      </c>
      <c r="P1" s="59" t="inlineStr">
        <is>
          <t>Grant Reimb</t>
        </is>
      </c>
      <c r="Q1" s="59" t="inlineStr">
        <is>
          <t>Installs Completed</t>
        </is>
      </c>
      <c r="R1" s="59" t="inlineStr">
        <is>
          <t>Installs Scheduled</t>
        </is>
      </c>
      <c r="S1" s="59" t="inlineStr">
        <is>
          <t>Install Backlog</t>
        </is>
      </c>
      <c r="T1" s="59" t="inlineStr">
        <is>
          <t>Avg Days Install</t>
        </is>
      </c>
      <c r="U1" s="59" t="inlineStr">
        <is>
          <t>Trouble Tickets</t>
        </is>
      </c>
      <c r="V1" s="59" t="inlineStr">
        <is>
          <t>Repeat Tickets</t>
        </is>
      </c>
      <c r="W1" s="59" t="inlineStr">
        <is>
          <t>Activations</t>
        </is>
      </c>
      <c r="X1" s="59" t="inlineStr">
        <is>
          <t>Footage Built</t>
        </is>
      </c>
      <c r="Y1" s="59" t="inlineStr">
        <is>
          <t>Budget Revenue</t>
        </is>
      </c>
      <c r="Z1" s="59" t="inlineStr">
        <is>
          <t>Budget OpEx</t>
        </is>
      </c>
      <c r="AA1" s="59" t="inlineStr">
        <is>
          <t>Cost / Install</t>
        </is>
      </c>
      <c r="AB1" s="59" t="inlineStr">
        <is>
          <t>Cost / Home Passed</t>
        </is>
      </c>
      <c r="AC1" s="59" t="inlineStr">
        <is>
          <t>Margin %</t>
        </is>
      </c>
      <c r="AD1" s="59" t="inlineStr">
        <is>
          <t>Rev vs Budget</t>
        </is>
      </c>
      <c r="AE1" s="59" t="inlineStr">
        <is>
          <t>Homes Passed Added</t>
        </is>
      </c>
    </row>
    <row r="2">
      <c r="A2" s="60">
        <f>Customer_Data!A4</f>
        <v/>
      </c>
      <c r="B2" s="60">
        <f>Customer_Data!B4</f>
        <v/>
      </c>
      <c r="C2" s="60">
        <f>Customer_Data!D4</f>
        <v/>
      </c>
      <c r="D2" s="60">
        <f>Customer_Data!E4</f>
        <v/>
      </c>
      <c r="E2" s="60">
        <f>C2-D2</f>
        <v/>
      </c>
      <c r="F2" s="60">
        <f>Customer_Data!C4</f>
        <v/>
      </c>
      <c r="G2" s="60">
        <f>Customer_Data!F4</f>
        <v/>
      </c>
      <c r="H2" s="36">
        <f>IF(G2=0,0,F2/G2)</f>
        <v/>
      </c>
      <c r="I2" s="36">
        <f>IF(2=2,0,IF(F1=0,0,D2/F1))</f>
        <v/>
      </c>
      <c r="J2" s="35">
        <f>Financial_Data!C4</f>
        <v/>
      </c>
      <c r="K2" s="35">
        <f>Financial_Data!D4</f>
        <v/>
      </c>
      <c r="L2" s="61">
        <f>IF(F2=0,0,K2/F2)</f>
        <v/>
      </c>
      <c r="M2" s="35">
        <f>Financial_Data!E4</f>
        <v/>
      </c>
      <c r="N2" s="35">
        <f>Financial_Data!F4</f>
        <v/>
      </c>
      <c r="O2" s="35">
        <f>Financial_Data!H4</f>
        <v/>
      </c>
      <c r="P2" s="35">
        <f>Financial_Data!I4</f>
        <v/>
      </c>
      <c r="Q2" s="60">
        <f>Operations_Data!G4</f>
        <v/>
      </c>
      <c r="R2" s="60">
        <f>Operations_Data!F4</f>
        <v/>
      </c>
      <c r="S2" s="60">
        <f>IF(2=2,R2-Q2,S1+R2-Q2)</f>
        <v/>
      </c>
      <c r="T2" s="34">
        <f>Operations_Data!H4</f>
        <v/>
      </c>
      <c r="U2" s="60">
        <f>Operations_Data!I4</f>
        <v/>
      </c>
      <c r="V2" s="60">
        <f>Operations_Data!J4</f>
        <v/>
      </c>
      <c r="W2" s="60">
        <f>Operations_Data!L4</f>
        <v/>
      </c>
      <c r="X2" s="60">
        <f>Operations_Data!D4</f>
        <v/>
      </c>
      <c r="Y2" s="35">
        <f>Financial_Data!J4</f>
        <v/>
      </c>
      <c r="Z2" s="35">
        <f>Financial_Data!K4</f>
        <v/>
      </c>
      <c r="AA2" s="35">
        <f>IF(Q2=0,0,O2/Q2)</f>
        <v/>
      </c>
      <c r="AB2" s="35">
        <f>IF(AE2=0,0,M2/AE2)</f>
        <v/>
      </c>
      <c r="AC2" s="36">
        <f>IF(J2=0,0,(J2-(N2+O2))/J2)</f>
        <v/>
      </c>
      <c r="AD2" s="35">
        <f>J2-Y2</f>
        <v/>
      </c>
      <c r="AE2" s="60">
        <f>Operations_Data!C4</f>
        <v/>
      </c>
    </row>
    <row r="3">
      <c r="A3" s="60">
        <f>Customer_Data!A5</f>
        <v/>
      </c>
      <c r="B3" s="60">
        <f>Customer_Data!B5</f>
        <v/>
      </c>
      <c r="C3" s="60">
        <f>Customer_Data!D5</f>
        <v/>
      </c>
      <c r="D3" s="60">
        <f>Customer_Data!E5</f>
        <v/>
      </c>
      <c r="E3" s="60">
        <f>C3-D3</f>
        <v/>
      </c>
      <c r="F3" s="60">
        <f>Customer_Data!C5</f>
        <v/>
      </c>
      <c r="G3" s="60">
        <f>Customer_Data!F5</f>
        <v/>
      </c>
      <c r="H3" s="36">
        <f>IF(G3=0,0,F3/G3)</f>
        <v/>
      </c>
      <c r="I3" s="36">
        <f>IF(3=2,0,IF(F2=0,0,D3/F2))</f>
        <v/>
      </c>
      <c r="J3" s="35">
        <f>Financial_Data!C5</f>
        <v/>
      </c>
      <c r="K3" s="35">
        <f>Financial_Data!D5</f>
        <v/>
      </c>
      <c r="L3" s="61">
        <f>IF(F3=0,0,K3/F3)</f>
        <v/>
      </c>
      <c r="M3" s="35">
        <f>Financial_Data!E5</f>
        <v/>
      </c>
      <c r="N3" s="35">
        <f>Financial_Data!F5</f>
        <v/>
      </c>
      <c r="O3" s="35">
        <f>Financial_Data!H5</f>
        <v/>
      </c>
      <c r="P3" s="35">
        <f>Financial_Data!I5</f>
        <v/>
      </c>
      <c r="Q3" s="60">
        <f>Operations_Data!G5</f>
        <v/>
      </c>
      <c r="R3" s="60">
        <f>Operations_Data!F5</f>
        <v/>
      </c>
      <c r="S3" s="60">
        <f>IF(3=2,R3-Q3,S2+R3-Q3)</f>
        <v/>
      </c>
      <c r="T3" s="34">
        <f>Operations_Data!H5</f>
        <v/>
      </c>
      <c r="U3" s="60">
        <f>Operations_Data!I5</f>
        <v/>
      </c>
      <c r="V3" s="60">
        <f>Operations_Data!J5</f>
        <v/>
      </c>
      <c r="W3" s="60">
        <f>Operations_Data!L5</f>
        <v/>
      </c>
      <c r="X3" s="60">
        <f>Operations_Data!D5</f>
        <v/>
      </c>
      <c r="Y3" s="35">
        <f>Financial_Data!J5</f>
        <v/>
      </c>
      <c r="Z3" s="35">
        <f>Financial_Data!K5</f>
        <v/>
      </c>
      <c r="AA3" s="35">
        <f>IF(Q3=0,0,O3/Q3)</f>
        <v/>
      </c>
      <c r="AB3" s="35">
        <f>IF(AE3=0,0,M3/AE3)</f>
        <v/>
      </c>
      <c r="AC3" s="36">
        <f>IF(J3=0,0,(J3-(N3+O3))/J3)</f>
        <v/>
      </c>
      <c r="AD3" s="35">
        <f>J3-Y3</f>
        <v/>
      </c>
      <c r="AE3" s="60">
        <f>Operations_Data!C5</f>
        <v/>
      </c>
    </row>
    <row r="4">
      <c r="A4" s="60">
        <f>Customer_Data!A6</f>
        <v/>
      </c>
      <c r="B4" s="60">
        <f>Customer_Data!B6</f>
        <v/>
      </c>
      <c r="C4" s="60">
        <f>Customer_Data!D6</f>
        <v/>
      </c>
      <c r="D4" s="60">
        <f>Customer_Data!E6</f>
        <v/>
      </c>
      <c r="E4" s="60">
        <f>C4-D4</f>
        <v/>
      </c>
      <c r="F4" s="60">
        <f>Customer_Data!C6</f>
        <v/>
      </c>
      <c r="G4" s="60">
        <f>Customer_Data!F6</f>
        <v/>
      </c>
      <c r="H4" s="36">
        <f>IF(G4=0,0,F4/G4)</f>
        <v/>
      </c>
      <c r="I4" s="36">
        <f>IF(4=2,0,IF(F3=0,0,D4/F3))</f>
        <v/>
      </c>
      <c r="J4" s="35">
        <f>Financial_Data!C6</f>
        <v/>
      </c>
      <c r="K4" s="35">
        <f>Financial_Data!D6</f>
        <v/>
      </c>
      <c r="L4" s="61">
        <f>IF(F4=0,0,K4/F4)</f>
        <v/>
      </c>
      <c r="M4" s="35">
        <f>Financial_Data!E6</f>
        <v/>
      </c>
      <c r="N4" s="35">
        <f>Financial_Data!F6</f>
        <v/>
      </c>
      <c r="O4" s="35">
        <f>Financial_Data!H6</f>
        <v/>
      </c>
      <c r="P4" s="35">
        <f>Financial_Data!I6</f>
        <v/>
      </c>
      <c r="Q4" s="60">
        <f>Operations_Data!G6</f>
        <v/>
      </c>
      <c r="R4" s="60">
        <f>Operations_Data!F6</f>
        <v/>
      </c>
      <c r="S4" s="60">
        <f>IF(4=2,R4-Q4,S3+R4-Q4)</f>
        <v/>
      </c>
      <c r="T4" s="34">
        <f>Operations_Data!H6</f>
        <v/>
      </c>
      <c r="U4" s="60">
        <f>Operations_Data!I6</f>
        <v/>
      </c>
      <c r="V4" s="60">
        <f>Operations_Data!J6</f>
        <v/>
      </c>
      <c r="W4" s="60">
        <f>Operations_Data!L6</f>
        <v/>
      </c>
      <c r="X4" s="60">
        <f>Operations_Data!D6</f>
        <v/>
      </c>
      <c r="Y4" s="35">
        <f>Financial_Data!J6</f>
        <v/>
      </c>
      <c r="Z4" s="35">
        <f>Financial_Data!K6</f>
        <v/>
      </c>
      <c r="AA4" s="35">
        <f>IF(Q4=0,0,O4/Q4)</f>
        <v/>
      </c>
      <c r="AB4" s="35">
        <f>IF(AE4=0,0,M4/AE4)</f>
        <v/>
      </c>
      <c r="AC4" s="36">
        <f>IF(J4=0,0,(J4-(N4+O4))/J4)</f>
        <v/>
      </c>
      <c r="AD4" s="35">
        <f>J4-Y4</f>
        <v/>
      </c>
      <c r="AE4" s="60">
        <f>Operations_Data!C6</f>
        <v/>
      </c>
    </row>
    <row r="5">
      <c r="A5" s="60">
        <f>Customer_Data!A7</f>
        <v/>
      </c>
      <c r="B5" s="60">
        <f>Customer_Data!B7</f>
        <v/>
      </c>
      <c r="C5" s="60">
        <f>Customer_Data!D7</f>
        <v/>
      </c>
      <c r="D5" s="60">
        <f>Customer_Data!E7</f>
        <v/>
      </c>
      <c r="E5" s="60">
        <f>C5-D5</f>
        <v/>
      </c>
      <c r="F5" s="60">
        <f>Customer_Data!C7</f>
        <v/>
      </c>
      <c r="G5" s="60">
        <f>Customer_Data!F7</f>
        <v/>
      </c>
      <c r="H5" s="36">
        <f>IF(G5=0,0,F5/G5)</f>
        <v/>
      </c>
      <c r="I5" s="36">
        <f>IF(5=2,0,IF(F4=0,0,D5/F4))</f>
        <v/>
      </c>
      <c r="J5" s="35">
        <f>Financial_Data!C7</f>
        <v/>
      </c>
      <c r="K5" s="35">
        <f>Financial_Data!D7</f>
        <v/>
      </c>
      <c r="L5" s="61">
        <f>IF(F5=0,0,K5/F5)</f>
        <v/>
      </c>
      <c r="M5" s="35">
        <f>Financial_Data!E7</f>
        <v/>
      </c>
      <c r="N5" s="35">
        <f>Financial_Data!F7</f>
        <v/>
      </c>
      <c r="O5" s="35">
        <f>Financial_Data!H7</f>
        <v/>
      </c>
      <c r="P5" s="35">
        <f>Financial_Data!I7</f>
        <v/>
      </c>
      <c r="Q5" s="60">
        <f>Operations_Data!G7</f>
        <v/>
      </c>
      <c r="R5" s="60">
        <f>Operations_Data!F7</f>
        <v/>
      </c>
      <c r="S5" s="60">
        <f>IF(5=2,R5-Q5,S4+R5-Q5)</f>
        <v/>
      </c>
      <c r="T5" s="34">
        <f>Operations_Data!H7</f>
        <v/>
      </c>
      <c r="U5" s="60">
        <f>Operations_Data!I7</f>
        <v/>
      </c>
      <c r="V5" s="60">
        <f>Operations_Data!J7</f>
        <v/>
      </c>
      <c r="W5" s="60">
        <f>Operations_Data!L7</f>
        <v/>
      </c>
      <c r="X5" s="60">
        <f>Operations_Data!D7</f>
        <v/>
      </c>
      <c r="Y5" s="35">
        <f>Financial_Data!J7</f>
        <v/>
      </c>
      <c r="Z5" s="35">
        <f>Financial_Data!K7</f>
        <v/>
      </c>
      <c r="AA5" s="35">
        <f>IF(Q5=0,0,O5/Q5)</f>
        <v/>
      </c>
      <c r="AB5" s="35">
        <f>IF(AE5=0,0,M5/AE5)</f>
        <v/>
      </c>
      <c r="AC5" s="36">
        <f>IF(J5=0,0,(J5-(N5+O5))/J5)</f>
        <v/>
      </c>
      <c r="AD5" s="35">
        <f>J5-Y5</f>
        <v/>
      </c>
      <c r="AE5" s="60">
        <f>Operations_Data!C7</f>
        <v/>
      </c>
    </row>
    <row r="6">
      <c r="A6" s="60">
        <f>Customer_Data!A8</f>
        <v/>
      </c>
      <c r="B6" s="60">
        <f>Customer_Data!B8</f>
        <v/>
      </c>
      <c r="C6" s="60">
        <f>Customer_Data!D8</f>
        <v/>
      </c>
      <c r="D6" s="60">
        <f>Customer_Data!E8</f>
        <v/>
      </c>
      <c r="E6" s="60">
        <f>C6-D6</f>
        <v/>
      </c>
      <c r="F6" s="60">
        <f>Customer_Data!C8</f>
        <v/>
      </c>
      <c r="G6" s="60">
        <f>Customer_Data!F8</f>
        <v/>
      </c>
      <c r="H6" s="36">
        <f>IF(G6=0,0,F6/G6)</f>
        <v/>
      </c>
      <c r="I6" s="36">
        <f>IF(6=2,0,IF(F5=0,0,D6/F5))</f>
        <v/>
      </c>
      <c r="J6" s="35">
        <f>Financial_Data!C8</f>
        <v/>
      </c>
      <c r="K6" s="35">
        <f>Financial_Data!D8</f>
        <v/>
      </c>
      <c r="L6" s="61">
        <f>IF(F6=0,0,K6/F6)</f>
        <v/>
      </c>
      <c r="M6" s="35">
        <f>Financial_Data!E8</f>
        <v/>
      </c>
      <c r="N6" s="35">
        <f>Financial_Data!F8</f>
        <v/>
      </c>
      <c r="O6" s="35">
        <f>Financial_Data!H8</f>
        <v/>
      </c>
      <c r="P6" s="35">
        <f>Financial_Data!I8</f>
        <v/>
      </c>
      <c r="Q6" s="60">
        <f>Operations_Data!G8</f>
        <v/>
      </c>
      <c r="R6" s="60">
        <f>Operations_Data!F8</f>
        <v/>
      </c>
      <c r="S6" s="60">
        <f>IF(6=2,R6-Q6,S5+R6-Q6)</f>
        <v/>
      </c>
      <c r="T6" s="34">
        <f>Operations_Data!H8</f>
        <v/>
      </c>
      <c r="U6" s="60">
        <f>Operations_Data!I8</f>
        <v/>
      </c>
      <c r="V6" s="60">
        <f>Operations_Data!J8</f>
        <v/>
      </c>
      <c r="W6" s="60">
        <f>Operations_Data!L8</f>
        <v/>
      </c>
      <c r="X6" s="60">
        <f>Operations_Data!D8</f>
        <v/>
      </c>
      <c r="Y6" s="35">
        <f>Financial_Data!J8</f>
        <v/>
      </c>
      <c r="Z6" s="35">
        <f>Financial_Data!K8</f>
        <v/>
      </c>
      <c r="AA6" s="35">
        <f>IF(Q6=0,0,O6/Q6)</f>
        <v/>
      </c>
      <c r="AB6" s="35">
        <f>IF(AE6=0,0,M6/AE6)</f>
        <v/>
      </c>
      <c r="AC6" s="36">
        <f>IF(J6=0,0,(J6-(N6+O6))/J6)</f>
        <v/>
      </c>
      <c r="AD6" s="35">
        <f>J6-Y6</f>
        <v/>
      </c>
      <c r="AE6" s="60">
        <f>Operations_Data!C8</f>
        <v/>
      </c>
    </row>
    <row r="7">
      <c r="A7" s="60">
        <f>Customer_Data!A9</f>
        <v/>
      </c>
      <c r="B7" s="60">
        <f>Customer_Data!B9</f>
        <v/>
      </c>
      <c r="C7" s="60">
        <f>Customer_Data!D9</f>
        <v/>
      </c>
      <c r="D7" s="60">
        <f>Customer_Data!E9</f>
        <v/>
      </c>
      <c r="E7" s="60">
        <f>C7-D7</f>
        <v/>
      </c>
      <c r="F7" s="60">
        <f>Customer_Data!C9</f>
        <v/>
      </c>
      <c r="G7" s="60">
        <f>Customer_Data!F9</f>
        <v/>
      </c>
      <c r="H7" s="36">
        <f>IF(G7=0,0,F7/G7)</f>
        <v/>
      </c>
      <c r="I7" s="36">
        <f>IF(7=2,0,IF(F6=0,0,D7/F6))</f>
        <v/>
      </c>
      <c r="J7" s="35">
        <f>Financial_Data!C9</f>
        <v/>
      </c>
      <c r="K7" s="35">
        <f>Financial_Data!D9</f>
        <v/>
      </c>
      <c r="L7" s="61">
        <f>IF(F7=0,0,K7/F7)</f>
        <v/>
      </c>
      <c r="M7" s="35">
        <f>Financial_Data!E9</f>
        <v/>
      </c>
      <c r="N7" s="35">
        <f>Financial_Data!F9</f>
        <v/>
      </c>
      <c r="O7" s="35">
        <f>Financial_Data!H9</f>
        <v/>
      </c>
      <c r="P7" s="35">
        <f>Financial_Data!I9</f>
        <v/>
      </c>
      <c r="Q7" s="60">
        <f>Operations_Data!G9</f>
        <v/>
      </c>
      <c r="R7" s="60">
        <f>Operations_Data!F9</f>
        <v/>
      </c>
      <c r="S7" s="60">
        <f>IF(7=2,R7-Q7,S6+R7-Q7)</f>
        <v/>
      </c>
      <c r="T7" s="34">
        <f>Operations_Data!H9</f>
        <v/>
      </c>
      <c r="U7" s="60">
        <f>Operations_Data!I9</f>
        <v/>
      </c>
      <c r="V7" s="60">
        <f>Operations_Data!J9</f>
        <v/>
      </c>
      <c r="W7" s="60">
        <f>Operations_Data!L9</f>
        <v/>
      </c>
      <c r="X7" s="60">
        <f>Operations_Data!D9</f>
        <v/>
      </c>
      <c r="Y7" s="35">
        <f>Financial_Data!J9</f>
        <v/>
      </c>
      <c r="Z7" s="35">
        <f>Financial_Data!K9</f>
        <v/>
      </c>
      <c r="AA7" s="35">
        <f>IF(Q7=0,0,O7/Q7)</f>
        <v/>
      </c>
      <c r="AB7" s="35">
        <f>IF(AE7=0,0,M7/AE7)</f>
        <v/>
      </c>
      <c r="AC7" s="36">
        <f>IF(J7=0,0,(J7-(N7+O7))/J7)</f>
        <v/>
      </c>
      <c r="AD7" s="35">
        <f>J7-Y7</f>
        <v/>
      </c>
      <c r="AE7" s="60">
        <f>Operations_Data!C9</f>
        <v/>
      </c>
    </row>
    <row r="8">
      <c r="A8" s="60">
        <f>Customer_Data!A10</f>
        <v/>
      </c>
      <c r="B8" s="60">
        <f>Customer_Data!B10</f>
        <v/>
      </c>
      <c r="C8" s="60">
        <f>Customer_Data!D10</f>
        <v/>
      </c>
      <c r="D8" s="60">
        <f>Customer_Data!E10</f>
        <v/>
      </c>
      <c r="E8" s="60">
        <f>C8-D8</f>
        <v/>
      </c>
      <c r="F8" s="60">
        <f>Customer_Data!C10</f>
        <v/>
      </c>
      <c r="G8" s="60">
        <f>Customer_Data!F10</f>
        <v/>
      </c>
      <c r="H8" s="36">
        <f>IF(G8=0,0,F8/G8)</f>
        <v/>
      </c>
      <c r="I8" s="36">
        <f>IF(8=2,0,IF(F7=0,0,D8/F7))</f>
        <v/>
      </c>
      <c r="J8" s="35">
        <f>Financial_Data!C10</f>
        <v/>
      </c>
      <c r="K8" s="35">
        <f>Financial_Data!D10</f>
        <v/>
      </c>
      <c r="L8" s="61">
        <f>IF(F8=0,0,K8/F8)</f>
        <v/>
      </c>
      <c r="M8" s="35">
        <f>Financial_Data!E10</f>
        <v/>
      </c>
      <c r="N8" s="35">
        <f>Financial_Data!F10</f>
        <v/>
      </c>
      <c r="O8" s="35">
        <f>Financial_Data!H10</f>
        <v/>
      </c>
      <c r="P8" s="35">
        <f>Financial_Data!I10</f>
        <v/>
      </c>
      <c r="Q8" s="60">
        <f>Operations_Data!G10</f>
        <v/>
      </c>
      <c r="R8" s="60">
        <f>Operations_Data!F10</f>
        <v/>
      </c>
      <c r="S8" s="60">
        <f>IF(8=2,R8-Q8,S7+R8-Q8)</f>
        <v/>
      </c>
      <c r="T8" s="34">
        <f>Operations_Data!H10</f>
        <v/>
      </c>
      <c r="U8" s="60">
        <f>Operations_Data!I10</f>
        <v/>
      </c>
      <c r="V8" s="60">
        <f>Operations_Data!J10</f>
        <v/>
      </c>
      <c r="W8" s="60">
        <f>Operations_Data!L10</f>
        <v/>
      </c>
      <c r="X8" s="60">
        <f>Operations_Data!D10</f>
        <v/>
      </c>
      <c r="Y8" s="35">
        <f>Financial_Data!J10</f>
        <v/>
      </c>
      <c r="Z8" s="35">
        <f>Financial_Data!K10</f>
        <v/>
      </c>
      <c r="AA8" s="35">
        <f>IF(Q8=0,0,O8/Q8)</f>
        <v/>
      </c>
      <c r="AB8" s="35">
        <f>IF(AE8=0,0,M8/AE8)</f>
        <v/>
      </c>
      <c r="AC8" s="36">
        <f>IF(J8=0,0,(J8-(N8+O8))/J8)</f>
        <v/>
      </c>
      <c r="AD8" s="35">
        <f>J8-Y8</f>
        <v/>
      </c>
      <c r="AE8" s="60">
        <f>Operations_Data!C10</f>
        <v/>
      </c>
    </row>
    <row r="9">
      <c r="A9" s="60">
        <f>Customer_Data!A11</f>
        <v/>
      </c>
      <c r="B9" s="60">
        <f>Customer_Data!B11</f>
        <v/>
      </c>
      <c r="C9" s="60">
        <f>Customer_Data!D11</f>
        <v/>
      </c>
      <c r="D9" s="60">
        <f>Customer_Data!E11</f>
        <v/>
      </c>
      <c r="E9" s="60">
        <f>C9-D9</f>
        <v/>
      </c>
      <c r="F9" s="60">
        <f>Customer_Data!C11</f>
        <v/>
      </c>
      <c r="G9" s="60">
        <f>Customer_Data!F11</f>
        <v/>
      </c>
      <c r="H9" s="36">
        <f>IF(G9=0,0,F9/G9)</f>
        <v/>
      </c>
      <c r="I9" s="36">
        <f>IF(9=2,0,IF(F8=0,0,D9/F8))</f>
        <v/>
      </c>
      <c r="J9" s="35">
        <f>Financial_Data!C11</f>
        <v/>
      </c>
      <c r="K9" s="35">
        <f>Financial_Data!D11</f>
        <v/>
      </c>
      <c r="L9" s="61">
        <f>IF(F9=0,0,K9/F9)</f>
        <v/>
      </c>
      <c r="M9" s="35">
        <f>Financial_Data!E11</f>
        <v/>
      </c>
      <c r="N9" s="35">
        <f>Financial_Data!F11</f>
        <v/>
      </c>
      <c r="O9" s="35">
        <f>Financial_Data!H11</f>
        <v/>
      </c>
      <c r="P9" s="35">
        <f>Financial_Data!I11</f>
        <v/>
      </c>
      <c r="Q9" s="60">
        <f>Operations_Data!G11</f>
        <v/>
      </c>
      <c r="R9" s="60">
        <f>Operations_Data!F11</f>
        <v/>
      </c>
      <c r="S9" s="60">
        <f>IF(9=2,R9-Q9,S8+R9-Q9)</f>
        <v/>
      </c>
      <c r="T9" s="34">
        <f>Operations_Data!H11</f>
        <v/>
      </c>
      <c r="U9" s="60">
        <f>Operations_Data!I11</f>
        <v/>
      </c>
      <c r="V9" s="60">
        <f>Operations_Data!J11</f>
        <v/>
      </c>
      <c r="W9" s="60">
        <f>Operations_Data!L11</f>
        <v/>
      </c>
      <c r="X9" s="60">
        <f>Operations_Data!D11</f>
        <v/>
      </c>
      <c r="Y9" s="35">
        <f>Financial_Data!J11</f>
        <v/>
      </c>
      <c r="Z9" s="35">
        <f>Financial_Data!K11</f>
        <v/>
      </c>
      <c r="AA9" s="35">
        <f>IF(Q9=0,0,O9/Q9)</f>
        <v/>
      </c>
      <c r="AB9" s="35">
        <f>IF(AE9=0,0,M9/AE9)</f>
        <v/>
      </c>
      <c r="AC9" s="36">
        <f>IF(J9=0,0,(J9-(N9+O9))/J9)</f>
        <v/>
      </c>
      <c r="AD9" s="35">
        <f>J9-Y9</f>
        <v/>
      </c>
      <c r="AE9" s="60">
        <f>Operations_Data!C11</f>
        <v/>
      </c>
    </row>
    <row r="10">
      <c r="A10" s="60">
        <f>Customer_Data!A12</f>
        <v/>
      </c>
      <c r="B10" s="60">
        <f>Customer_Data!B12</f>
        <v/>
      </c>
      <c r="C10" s="60">
        <f>Customer_Data!D12</f>
        <v/>
      </c>
      <c r="D10" s="60">
        <f>Customer_Data!E12</f>
        <v/>
      </c>
      <c r="E10" s="60">
        <f>C10-D10</f>
        <v/>
      </c>
      <c r="F10" s="60">
        <f>Customer_Data!C12</f>
        <v/>
      </c>
      <c r="G10" s="60">
        <f>Customer_Data!F12</f>
        <v/>
      </c>
      <c r="H10" s="36">
        <f>IF(G10=0,0,F10/G10)</f>
        <v/>
      </c>
      <c r="I10" s="36">
        <f>IF(10=2,0,IF(F9=0,0,D10/F9))</f>
        <v/>
      </c>
      <c r="J10" s="35">
        <f>Financial_Data!C12</f>
        <v/>
      </c>
      <c r="K10" s="35">
        <f>Financial_Data!D12</f>
        <v/>
      </c>
      <c r="L10" s="61">
        <f>IF(F10=0,0,K10/F10)</f>
        <v/>
      </c>
      <c r="M10" s="35">
        <f>Financial_Data!E12</f>
        <v/>
      </c>
      <c r="N10" s="35">
        <f>Financial_Data!F12</f>
        <v/>
      </c>
      <c r="O10" s="35">
        <f>Financial_Data!H12</f>
        <v/>
      </c>
      <c r="P10" s="35">
        <f>Financial_Data!I12</f>
        <v/>
      </c>
      <c r="Q10" s="60">
        <f>Operations_Data!G12</f>
        <v/>
      </c>
      <c r="R10" s="60">
        <f>Operations_Data!F12</f>
        <v/>
      </c>
      <c r="S10" s="60">
        <f>IF(10=2,R10-Q10,S9+R10-Q10)</f>
        <v/>
      </c>
      <c r="T10" s="34">
        <f>Operations_Data!H12</f>
        <v/>
      </c>
      <c r="U10" s="60">
        <f>Operations_Data!I12</f>
        <v/>
      </c>
      <c r="V10" s="60">
        <f>Operations_Data!J12</f>
        <v/>
      </c>
      <c r="W10" s="60">
        <f>Operations_Data!L12</f>
        <v/>
      </c>
      <c r="X10" s="60">
        <f>Operations_Data!D12</f>
        <v/>
      </c>
      <c r="Y10" s="35">
        <f>Financial_Data!J12</f>
        <v/>
      </c>
      <c r="Z10" s="35">
        <f>Financial_Data!K12</f>
        <v/>
      </c>
      <c r="AA10" s="35">
        <f>IF(Q10=0,0,O10/Q10)</f>
        <v/>
      </c>
      <c r="AB10" s="35">
        <f>IF(AE10=0,0,M10/AE10)</f>
        <v/>
      </c>
      <c r="AC10" s="36">
        <f>IF(J10=0,0,(J10-(N10+O10))/J10)</f>
        <v/>
      </c>
      <c r="AD10" s="35">
        <f>J10-Y10</f>
        <v/>
      </c>
      <c r="AE10" s="60">
        <f>Operations_Data!C12</f>
        <v/>
      </c>
    </row>
    <row r="11">
      <c r="A11" s="60">
        <f>Customer_Data!A13</f>
        <v/>
      </c>
      <c r="B11" s="60">
        <f>Customer_Data!B13</f>
        <v/>
      </c>
      <c r="C11" s="60">
        <f>Customer_Data!D13</f>
        <v/>
      </c>
      <c r="D11" s="60">
        <f>Customer_Data!E13</f>
        <v/>
      </c>
      <c r="E11" s="60">
        <f>C11-D11</f>
        <v/>
      </c>
      <c r="F11" s="60">
        <f>Customer_Data!C13</f>
        <v/>
      </c>
      <c r="G11" s="60">
        <f>Customer_Data!F13</f>
        <v/>
      </c>
      <c r="H11" s="36">
        <f>IF(G11=0,0,F11/G11)</f>
        <v/>
      </c>
      <c r="I11" s="36">
        <f>IF(11=2,0,IF(F10=0,0,D11/F10))</f>
        <v/>
      </c>
      <c r="J11" s="35">
        <f>Financial_Data!C13</f>
        <v/>
      </c>
      <c r="K11" s="35">
        <f>Financial_Data!D13</f>
        <v/>
      </c>
      <c r="L11" s="61">
        <f>IF(F11=0,0,K11/F11)</f>
        <v/>
      </c>
      <c r="M11" s="35">
        <f>Financial_Data!E13</f>
        <v/>
      </c>
      <c r="N11" s="35">
        <f>Financial_Data!F13</f>
        <v/>
      </c>
      <c r="O11" s="35">
        <f>Financial_Data!H13</f>
        <v/>
      </c>
      <c r="P11" s="35">
        <f>Financial_Data!I13</f>
        <v/>
      </c>
      <c r="Q11" s="60">
        <f>Operations_Data!G13</f>
        <v/>
      </c>
      <c r="R11" s="60">
        <f>Operations_Data!F13</f>
        <v/>
      </c>
      <c r="S11" s="60">
        <f>IF(11=2,R11-Q11,S10+R11-Q11)</f>
        <v/>
      </c>
      <c r="T11" s="34">
        <f>Operations_Data!H13</f>
        <v/>
      </c>
      <c r="U11" s="60">
        <f>Operations_Data!I13</f>
        <v/>
      </c>
      <c r="V11" s="60">
        <f>Operations_Data!J13</f>
        <v/>
      </c>
      <c r="W11" s="60">
        <f>Operations_Data!L13</f>
        <v/>
      </c>
      <c r="X11" s="60">
        <f>Operations_Data!D13</f>
        <v/>
      </c>
      <c r="Y11" s="35">
        <f>Financial_Data!J13</f>
        <v/>
      </c>
      <c r="Z11" s="35">
        <f>Financial_Data!K13</f>
        <v/>
      </c>
      <c r="AA11" s="35">
        <f>IF(Q11=0,0,O11/Q11)</f>
        <v/>
      </c>
      <c r="AB11" s="35">
        <f>IF(AE11=0,0,M11/AE11)</f>
        <v/>
      </c>
      <c r="AC11" s="36">
        <f>IF(J11=0,0,(J11-(N11+O11))/J11)</f>
        <v/>
      </c>
      <c r="AD11" s="35">
        <f>J11-Y11</f>
        <v/>
      </c>
      <c r="AE11" s="60">
        <f>Operations_Data!C13</f>
        <v/>
      </c>
    </row>
    <row r="12">
      <c r="A12" s="60">
        <f>Customer_Data!A14</f>
        <v/>
      </c>
      <c r="B12" s="60">
        <f>Customer_Data!B14</f>
        <v/>
      </c>
      <c r="C12" s="60">
        <f>Customer_Data!D14</f>
        <v/>
      </c>
      <c r="D12" s="60">
        <f>Customer_Data!E14</f>
        <v/>
      </c>
      <c r="E12" s="60">
        <f>C12-D12</f>
        <v/>
      </c>
      <c r="F12" s="60">
        <f>Customer_Data!C14</f>
        <v/>
      </c>
      <c r="G12" s="60">
        <f>Customer_Data!F14</f>
        <v/>
      </c>
      <c r="H12" s="36">
        <f>IF(G12=0,0,F12/G12)</f>
        <v/>
      </c>
      <c r="I12" s="36">
        <f>IF(12=2,0,IF(F11=0,0,D12/F11))</f>
        <v/>
      </c>
      <c r="J12" s="35">
        <f>Financial_Data!C14</f>
        <v/>
      </c>
      <c r="K12" s="35">
        <f>Financial_Data!D14</f>
        <v/>
      </c>
      <c r="L12" s="61">
        <f>IF(F12=0,0,K12/F12)</f>
        <v/>
      </c>
      <c r="M12" s="35">
        <f>Financial_Data!E14</f>
        <v/>
      </c>
      <c r="N12" s="35">
        <f>Financial_Data!F14</f>
        <v/>
      </c>
      <c r="O12" s="35">
        <f>Financial_Data!H14</f>
        <v/>
      </c>
      <c r="P12" s="35">
        <f>Financial_Data!I14</f>
        <v/>
      </c>
      <c r="Q12" s="60">
        <f>Operations_Data!G14</f>
        <v/>
      </c>
      <c r="R12" s="60">
        <f>Operations_Data!F14</f>
        <v/>
      </c>
      <c r="S12" s="60">
        <f>IF(12=2,R12-Q12,S11+R12-Q12)</f>
        <v/>
      </c>
      <c r="T12" s="34">
        <f>Operations_Data!H14</f>
        <v/>
      </c>
      <c r="U12" s="60">
        <f>Operations_Data!I14</f>
        <v/>
      </c>
      <c r="V12" s="60">
        <f>Operations_Data!J14</f>
        <v/>
      </c>
      <c r="W12" s="60">
        <f>Operations_Data!L14</f>
        <v/>
      </c>
      <c r="X12" s="60">
        <f>Operations_Data!D14</f>
        <v/>
      </c>
      <c r="Y12" s="35">
        <f>Financial_Data!J14</f>
        <v/>
      </c>
      <c r="Z12" s="35">
        <f>Financial_Data!K14</f>
        <v/>
      </c>
      <c r="AA12" s="35">
        <f>IF(Q12=0,0,O12/Q12)</f>
        <v/>
      </c>
      <c r="AB12" s="35">
        <f>IF(AE12=0,0,M12/AE12)</f>
        <v/>
      </c>
      <c r="AC12" s="36">
        <f>IF(J12=0,0,(J12-(N12+O12))/J12)</f>
        <v/>
      </c>
      <c r="AD12" s="35">
        <f>J12-Y12</f>
        <v/>
      </c>
      <c r="AE12" s="60">
        <f>Operations_Data!C14</f>
        <v/>
      </c>
    </row>
    <row r="13">
      <c r="A13" s="60">
        <f>Customer_Data!A15</f>
        <v/>
      </c>
      <c r="B13" s="60">
        <f>Customer_Data!B15</f>
        <v/>
      </c>
      <c r="C13" s="60">
        <f>Customer_Data!D15</f>
        <v/>
      </c>
      <c r="D13" s="60">
        <f>Customer_Data!E15</f>
        <v/>
      </c>
      <c r="E13" s="60">
        <f>C13-D13</f>
        <v/>
      </c>
      <c r="F13" s="60">
        <f>Customer_Data!C15</f>
        <v/>
      </c>
      <c r="G13" s="60">
        <f>Customer_Data!F15</f>
        <v/>
      </c>
      <c r="H13" s="36">
        <f>IF(G13=0,0,F13/G13)</f>
        <v/>
      </c>
      <c r="I13" s="36">
        <f>IF(13=2,0,IF(F12=0,0,D13/F12))</f>
        <v/>
      </c>
      <c r="J13" s="35">
        <f>Financial_Data!C15</f>
        <v/>
      </c>
      <c r="K13" s="35">
        <f>Financial_Data!D15</f>
        <v/>
      </c>
      <c r="L13" s="61">
        <f>IF(F13=0,0,K13/F13)</f>
        <v/>
      </c>
      <c r="M13" s="35">
        <f>Financial_Data!E15</f>
        <v/>
      </c>
      <c r="N13" s="35">
        <f>Financial_Data!F15</f>
        <v/>
      </c>
      <c r="O13" s="35">
        <f>Financial_Data!H15</f>
        <v/>
      </c>
      <c r="P13" s="35">
        <f>Financial_Data!I15</f>
        <v/>
      </c>
      <c r="Q13" s="60">
        <f>Operations_Data!G15</f>
        <v/>
      </c>
      <c r="R13" s="60">
        <f>Operations_Data!F15</f>
        <v/>
      </c>
      <c r="S13" s="60">
        <f>IF(13=2,R13-Q13,S12+R13-Q13)</f>
        <v/>
      </c>
      <c r="T13" s="34">
        <f>Operations_Data!H15</f>
        <v/>
      </c>
      <c r="U13" s="60">
        <f>Operations_Data!I15</f>
        <v/>
      </c>
      <c r="V13" s="60">
        <f>Operations_Data!J15</f>
        <v/>
      </c>
      <c r="W13" s="60">
        <f>Operations_Data!L15</f>
        <v/>
      </c>
      <c r="X13" s="60">
        <f>Operations_Data!D15</f>
        <v/>
      </c>
      <c r="Y13" s="35">
        <f>Financial_Data!J15</f>
        <v/>
      </c>
      <c r="Z13" s="35">
        <f>Financial_Data!K15</f>
        <v/>
      </c>
      <c r="AA13" s="35">
        <f>IF(Q13=0,0,O13/Q13)</f>
        <v/>
      </c>
      <c r="AB13" s="35">
        <f>IF(AE13=0,0,M13/AE13)</f>
        <v/>
      </c>
      <c r="AC13" s="36">
        <f>IF(J13=0,0,(J13-(N13+O13))/J13)</f>
        <v/>
      </c>
      <c r="AD13" s="35">
        <f>J13-Y13</f>
        <v/>
      </c>
      <c r="AE13" s="60">
        <f>Operations_Data!C15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3" t="inlineStr">
        <is>
          <t>Months</t>
        </is>
      </c>
      <c r="B1" s="3" t="inlineStr">
        <is>
          <t>Counties</t>
        </is>
      </c>
      <c r="C1" s="3" t="inlineStr">
        <is>
          <t>Segments</t>
        </is>
      </c>
      <c r="D1" s="3" t="inlineStr">
        <is>
          <t>Channels</t>
        </is>
      </c>
      <c r="E1" s="3" t="inlineStr">
        <is>
          <t>Campaigns</t>
        </is>
      </c>
      <c r="F1" s="3" t="inlineStr">
        <is>
          <t>Reps</t>
        </is>
      </c>
      <c r="G1" s="3" t="inlineStr">
        <is>
          <t>Products</t>
        </is>
      </c>
      <c r="H1" s="3" t="inlineStr">
        <is>
          <t>Pipeline Stage</t>
        </is>
      </c>
      <c r="I1" s="3" t="inlineStr">
        <is>
          <t>Opp Type</t>
        </is>
      </c>
      <c r="J1" s="3" t="inlineStr">
        <is>
          <t>Lost Reason</t>
        </is>
      </c>
      <c r="K1" s="3" t="inlineStr">
        <is>
          <t>Project Status</t>
        </is>
      </c>
      <c r="L1" s="3" t="inlineStr">
        <is>
          <t>Build Phase Status</t>
        </is>
      </c>
      <c r="M1" s="3" t="inlineStr">
        <is>
          <t>Grant Program</t>
        </is>
      </c>
      <c r="N1" s="3" t="inlineStr">
        <is>
          <t>Grant Status</t>
        </is>
      </c>
      <c r="O1" s="3" t="inlineStr">
        <is>
          <t>Risk Likelihood</t>
        </is>
      </c>
      <c r="P1" s="3" t="inlineStr">
        <is>
          <t>Risk Impact</t>
        </is>
      </c>
      <c r="Q1" s="3" t="inlineStr">
        <is>
          <t>Risk Status</t>
        </is>
      </c>
      <c r="R1" s="3" t="inlineStr">
        <is>
          <t>Risk Category</t>
        </is>
      </c>
      <c r="S1" s="3" t="inlineStr">
        <is>
          <t>Action Status</t>
        </is>
      </c>
      <c r="T1" s="3" t="inlineStr">
        <is>
          <t>Priority</t>
        </is>
      </c>
      <c r="U1" s="3" t="inlineStr">
        <is>
          <t>Yes/No</t>
        </is>
      </c>
      <c r="V1" s="3" t="inlineStr">
        <is>
          <t>RYG</t>
        </is>
      </c>
    </row>
    <row r="2">
      <c r="A2" t="inlineStr">
        <is>
          <t>Jul-2025</t>
        </is>
      </c>
      <c r="B2" t="inlineStr">
        <is>
          <t>Robeson</t>
        </is>
      </c>
      <c r="C2" t="inlineStr">
        <is>
          <t>Residential</t>
        </is>
      </c>
      <c r="D2" t="inlineStr">
        <is>
          <t>Door-to-Door</t>
        </is>
      </c>
      <c r="E2" t="inlineStr">
        <is>
          <t>Spring Fiber Push</t>
        </is>
      </c>
      <c r="F2" t="inlineStr">
        <is>
          <t>Maria Lopez</t>
        </is>
      </c>
      <c r="G2" t="inlineStr">
        <is>
          <t>Residential Internet</t>
        </is>
      </c>
      <c r="H2" t="inlineStr">
        <is>
          <t>Prospect</t>
        </is>
      </c>
      <c r="I2" t="inlineStr">
        <is>
          <t>Standard</t>
        </is>
      </c>
      <c r="J2" t="inlineStr">
        <is>
          <t>Price</t>
        </is>
      </c>
      <c r="K2" t="inlineStr">
        <is>
          <t>On Track</t>
        </is>
      </c>
      <c r="L2" t="inlineStr">
        <is>
          <t>Not Started</t>
        </is>
      </c>
      <c r="M2" t="inlineStr">
        <is>
          <t>BEAD</t>
        </is>
      </c>
      <c r="N2" t="inlineStr">
        <is>
          <t>Not Submitted</t>
        </is>
      </c>
      <c r="O2" t="n">
        <v>1</v>
      </c>
      <c r="P2" t="n">
        <v>1</v>
      </c>
      <c r="Q2" t="inlineStr">
        <is>
          <t>Open</t>
        </is>
      </c>
      <c r="R2" t="inlineStr">
        <is>
          <t>Construction</t>
        </is>
      </c>
      <c r="S2" t="inlineStr">
        <is>
          <t>Not Started</t>
        </is>
      </c>
      <c r="T2" t="inlineStr">
        <is>
          <t>Low</t>
        </is>
      </c>
      <c r="U2" t="inlineStr">
        <is>
          <t>Yes</t>
        </is>
      </c>
      <c r="V2" t="inlineStr">
        <is>
          <t>Green</t>
        </is>
      </c>
    </row>
    <row r="3">
      <c r="A3" t="inlineStr">
        <is>
          <t>Aug-2025</t>
        </is>
      </c>
      <c r="B3" t="inlineStr">
        <is>
          <t>Hoke</t>
        </is>
      </c>
      <c r="C3" t="inlineStr">
        <is>
          <t>Business</t>
        </is>
      </c>
      <c r="D3" t="inlineStr">
        <is>
          <t>Inbound Call</t>
        </is>
      </c>
      <c r="E3" t="inlineStr">
        <is>
          <t>BEAD Awareness</t>
        </is>
      </c>
      <c r="F3" t="inlineStr">
        <is>
          <t>James Carter</t>
        </is>
      </c>
      <c r="G3" t="inlineStr">
        <is>
          <t>Business Internet</t>
        </is>
      </c>
      <c r="H3" t="inlineStr">
        <is>
          <t>Qualified</t>
        </is>
      </c>
      <c r="I3" t="inlineStr">
        <is>
          <t>HOA/Developer</t>
        </is>
      </c>
      <c r="J3" t="inlineStr">
        <is>
          <t>Competitor Fiber</t>
        </is>
      </c>
      <c r="K3" t="inlineStr">
        <is>
          <t>At Risk</t>
        </is>
      </c>
      <c r="L3" t="inlineStr">
        <is>
          <t>In Progress</t>
        </is>
      </c>
      <c r="M3" t="inlineStr">
        <is>
          <t>CAB</t>
        </is>
      </c>
      <c r="N3" t="inlineStr">
        <is>
          <t>Submitted</t>
        </is>
      </c>
      <c r="O3" t="n">
        <v>2</v>
      </c>
      <c r="P3" t="n">
        <v>2</v>
      </c>
      <c r="Q3" t="inlineStr">
        <is>
          <t>Mitigating</t>
        </is>
      </c>
      <c r="R3" t="inlineStr">
        <is>
          <t>Financial</t>
        </is>
      </c>
      <c r="S3" t="inlineStr">
        <is>
          <t>In Progress</t>
        </is>
      </c>
      <c r="T3" t="inlineStr">
        <is>
          <t>Medium</t>
        </is>
      </c>
      <c r="U3" t="inlineStr">
        <is>
          <t>No</t>
        </is>
      </c>
      <c r="V3" t="inlineStr">
        <is>
          <t>Yellow</t>
        </is>
      </c>
    </row>
    <row r="4">
      <c r="A4" t="inlineStr">
        <is>
          <t>Sep-2025</t>
        </is>
      </c>
      <c r="B4" t="inlineStr">
        <is>
          <t>Cumberland</t>
        </is>
      </c>
      <c r="C4" t="inlineStr">
        <is>
          <t>Enterprise</t>
        </is>
      </c>
      <c r="D4" t="inlineStr">
        <is>
          <t>Website</t>
        </is>
      </c>
      <c r="E4" t="inlineStr">
        <is>
          <t>Referral Rewards</t>
        </is>
      </c>
      <c r="F4" t="inlineStr">
        <is>
          <t>Tanya Hunt</t>
        </is>
      </c>
      <c r="G4" t="inlineStr">
        <is>
          <t>Enterprise / DIA</t>
        </is>
      </c>
      <c r="H4" t="inlineStr">
        <is>
          <t>Proposal</t>
        </is>
      </c>
      <c r="I4" t="inlineStr">
        <is>
          <t>Bulk Agreement</t>
        </is>
      </c>
      <c r="J4" t="inlineStr">
        <is>
          <t>No Coverage Yet</t>
        </is>
      </c>
      <c r="K4" t="inlineStr">
        <is>
          <t>Behind</t>
        </is>
      </c>
      <c r="L4" t="inlineStr">
        <is>
          <t>Complete</t>
        </is>
      </c>
      <c r="M4" t="inlineStr">
        <is>
          <t>ARPA</t>
        </is>
      </c>
      <c r="N4" t="inlineStr">
        <is>
          <t>Under Review</t>
        </is>
      </c>
      <c r="O4" t="n">
        <v>3</v>
      </c>
      <c r="P4" t="n">
        <v>3</v>
      </c>
      <c r="Q4" t="inlineStr">
        <is>
          <t>Monitoring</t>
        </is>
      </c>
      <c r="R4" t="inlineStr">
        <is>
          <t>Regulatory</t>
        </is>
      </c>
      <c r="S4" t="inlineStr">
        <is>
          <t>Blocked</t>
        </is>
      </c>
      <c r="T4" t="inlineStr">
        <is>
          <t>High</t>
        </is>
      </c>
      <c r="V4" t="inlineStr">
        <is>
          <t>Red</t>
        </is>
      </c>
    </row>
    <row r="5">
      <c r="A5" t="inlineStr">
        <is>
          <t>Oct-2025</t>
        </is>
      </c>
      <c r="B5" t="inlineStr">
        <is>
          <t>Scotland</t>
        </is>
      </c>
      <c r="D5" t="inlineStr">
        <is>
          <t>Referral</t>
        </is>
      </c>
      <c r="E5" t="inlineStr">
        <is>
          <t>Business Connect</t>
        </is>
      </c>
      <c r="F5" t="inlineStr">
        <is>
          <t>Derek Oxendine</t>
        </is>
      </c>
      <c r="G5" t="inlineStr">
        <is>
          <t>Managed WiFi</t>
        </is>
      </c>
      <c r="H5" t="inlineStr">
        <is>
          <t>Negotiation</t>
        </is>
      </c>
      <c r="I5" t="inlineStr">
        <is>
          <t>Enterprise/DIA</t>
        </is>
      </c>
      <c r="J5" t="inlineStr">
        <is>
          <t>Timing</t>
        </is>
      </c>
      <c r="K5" t="inlineStr">
        <is>
          <t>Complete</t>
        </is>
      </c>
      <c r="M5" t="inlineStr">
        <is>
          <t>State Grant</t>
        </is>
      </c>
      <c r="N5" t="inlineStr">
        <is>
          <t>Approved</t>
        </is>
      </c>
      <c r="O5" t="n">
        <v>4</v>
      </c>
      <c r="P5" t="n">
        <v>4</v>
      </c>
      <c r="Q5" t="inlineStr">
        <is>
          <t>Closed</t>
        </is>
      </c>
      <c r="R5" t="inlineStr">
        <is>
          <t>Supply Chain</t>
        </is>
      </c>
      <c r="S5" t="inlineStr">
        <is>
          <t>Complete</t>
        </is>
      </c>
      <c r="T5" t="inlineStr">
        <is>
          <t>Critical</t>
        </is>
      </c>
    </row>
    <row r="6">
      <c r="A6" t="inlineStr">
        <is>
          <t>Nov-2025</t>
        </is>
      </c>
      <c r="B6" t="inlineStr">
        <is>
          <t>Bladen</t>
        </is>
      </c>
      <c r="D6" t="inlineStr">
        <is>
          <t>Event</t>
        </is>
      </c>
      <c r="E6" t="inlineStr">
        <is>
          <t>HOA Direct</t>
        </is>
      </c>
      <c r="F6" t="inlineStr">
        <is>
          <t>Sarah Locklear</t>
        </is>
      </c>
      <c r="G6" t="inlineStr">
        <is>
          <t>Voice</t>
        </is>
      </c>
      <c r="H6" t="inlineStr">
        <is>
          <t>Closed-Won</t>
        </is>
      </c>
      <c r="J6" t="inlineStr">
        <is>
          <t>Credit/Install Fee</t>
        </is>
      </c>
      <c r="M6" t="inlineStr">
        <is>
          <t>RDOF</t>
        </is>
      </c>
      <c r="N6" t="inlineStr">
        <is>
          <t>Partially Paid</t>
        </is>
      </c>
      <c r="O6" t="n">
        <v>5</v>
      </c>
      <c r="P6" t="n">
        <v>5</v>
      </c>
      <c r="R6" t="inlineStr">
        <is>
          <t>Staffing</t>
        </is>
      </c>
    </row>
    <row r="7">
      <c r="A7" t="inlineStr">
        <is>
          <t>Dec-2025</t>
        </is>
      </c>
      <c r="B7" t="inlineStr">
        <is>
          <t>Columbus</t>
        </is>
      </c>
      <c r="D7" t="inlineStr">
        <is>
          <t>HOA/Developer</t>
        </is>
      </c>
      <c r="G7" t="inlineStr">
        <is>
          <t>Construction / Other</t>
        </is>
      </c>
      <c r="H7" t="inlineStr">
        <is>
          <t>Closed-Lost</t>
        </is>
      </c>
      <c r="J7" t="inlineStr">
        <is>
          <t>Lost Contact</t>
        </is>
      </c>
      <c r="N7" t="inlineStr">
        <is>
          <t>Paid</t>
        </is>
      </c>
      <c r="R7" t="inlineStr">
        <is>
          <t>Market</t>
        </is>
      </c>
    </row>
    <row r="8">
      <c r="A8" t="inlineStr">
        <is>
          <t>Jan-2026</t>
        </is>
      </c>
      <c r="N8" t="inlineStr">
        <is>
          <t>Denied</t>
        </is>
      </c>
      <c r="R8" t="inlineStr">
        <is>
          <t>Grant/Compliance</t>
        </is>
      </c>
    </row>
    <row r="9">
      <c r="A9" t="inlineStr">
        <is>
          <t>Feb-2026</t>
        </is>
      </c>
    </row>
    <row r="10">
      <c r="A10" t="inlineStr">
        <is>
          <t>Mar-2026</t>
        </is>
      </c>
    </row>
    <row r="11">
      <c r="A11" t="inlineStr">
        <is>
          <t>Apr-2026</t>
        </is>
      </c>
    </row>
    <row r="12">
      <c r="A12" t="inlineStr">
        <is>
          <t>May-2026</t>
        </is>
      </c>
    </row>
    <row r="13">
      <c r="A13" t="inlineStr">
        <is>
          <t>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2026-06-13T13:55:06Z</dcterms:created>
  <dcterms:modified xsi:type="dcterms:W3CDTF">2026-06-13T13:55:06Z</dcterms:modified>
</cp:coreProperties>
</file>