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ario Selector" sheetId="4" state="visible" r:id="rId4"/>
    <sheet xmlns:r="http://schemas.openxmlformats.org/officeDocument/2006/relationships" name="Subscriber Forecast" sheetId="5" state="visible" r:id="rId5"/>
    <sheet xmlns:r="http://schemas.openxmlformats.org/officeDocument/2006/relationships" name="Revenue Model" sheetId="6" state="visible" r:id="rId6"/>
    <sheet xmlns:r="http://schemas.openxmlformats.org/officeDocument/2006/relationships" name="Operating Expenses" sheetId="7" state="visible" r:id="rId7"/>
    <sheet xmlns:r="http://schemas.openxmlformats.org/officeDocument/2006/relationships" name="Current Staffing" sheetId="8" state="visible" r:id="rId8"/>
    <sheet xmlns:r="http://schemas.openxmlformats.org/officeDocument/2006/relationships" name="Five-Year Staffing Plan" sheetId="9" state="visible" r:id="rId9"/>
    <sheet xmlns:r="http://schemas.openxmlformats.org/officeDocument/2006/relationships" name="Fully Loaded Labor Cost" sheetId="10" state="visible" r:id="rId10"/>
    <sheet xmlns:r="http://schemas.openxmlformats.org/officeDocument/2006/relationships" name="Capital Plan" sheetId="11" state="visible" r:id="rId11"/>
    <sheet xmlns:r="http://schemas.openxmlformats.org/officeDocument/2006/relationships" name="Equipment Refresh" sheetId="12" state="visible" r:id="rId12"/>
    <sheet xmlns:r="http://schemas.openxmlformats.org/officeDocument/2006/relationships" name="Project ROI" sheetId="13" state="visible" r:id="rId13"/>
    <sheet xmlns:r="http://schemas.openxmlformats.org/officeDocument/2006/relationships" name="Income Statement" sheetId="14" state="visible" r:id="rId14"/>
    <sheet xmlns:r="http://schemas.openxmlformats.org/officeDocument/2006/relationships" name="Cash Flow" sheetId="15" state="visible" r:id="rId15"/>
    <sheet xmlns:r="http://schemas.openxmlformats.org/officeDocument/2006/relationships" name="KPI Dashboard" sheetId="16" state="visible" r:id="rId16"/>
    <sheet xmlns:r="http://schemas.openxmlformats.org/officeDocument/2006/relationships" name="Sensitivity Analysis" sheetId="17" state="visible" r:id="rId17"/>
    <sheet xmlns:r="http://schemas.openxmlformats.org/officeDocument/2006/relationships" name="Risk Register" sheetId="18" state="visible" r:id="rId18"/>
  </sheets>
  <definedNames>
    <definedName name="SCEN">'Scenario Selector'!$C$5</definedName>
    <definedName name="REFRESH_OUT">'Scenario Selector'!$C$6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;($#,##0)"/>
    <numFmt numFmtId="167" formatCode="0.00&quot;x&quot;"/>
    <numFmt numFmtId="168" formatCode="#,##0;(#,##0)"/>
    <numFmt numFmtId="169" formatCode="0.000"/>
    <numFmt numFmtId="170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F3B4D"/>
      <sz val="16"/>
    </font>
    <font>
      <name val="Calibri"/>
      <i val="1"/>
      <color rgb="00808080"/>
      <sz val="9"/>
    </font>
    <font>
      <name val="Calibri"/>
      <b val="1"/>
      <color rgb="001F3B4D"/>
      <sz val="10"/>
    </font>
    <font>
      <b val="1"/>
      <color rgb="001F4E78"/>
      <sz val="12"/>
    </font>
    <font>
      <name val="Calibri"/>
      <color rgb="00000000"/>
      <sz val="10"/>
    </font>
    <font>
      <b val="1"/>
      <color rgb="001F4E78"/>
    </font>
    <font>
      <name val="Calibri"/>
      <b val="1"/>
      <color rgb="00FFFFFF"/>
      <sz val="11"/>
    </font>
    <font>
      <name val="Calibri"/>
      <color rgb="001F4E78"/>
      <sz val="10"/>
    </font>
    <font>
      <name val="Calibri"/>
      <b val="1"/>
      <color rgb="001F4E78"/>
      <sz val="10"/>
    </font>
    <font>
      <color rgb="00C55A11"/>
      <sz val="10"/>
    </font>
    <font>
      <b val="1"/>
      <color rgb="001F4E78"/>
      <sz val="14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B4D"/>
      </patternFill>
    </fill>
    <fill>
      <patternFill patternType="solid">
        <fgColor rgb="00F2F6FA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C9DA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3" fillId="0" borderId="1" pivotButton="0" quotePrefix="0" xfId="0"/>
    <xf numFmtId="0" fontId="9" fillId="6" borderId="1" applyAlignment="1" pivotButton="0" quotePrefix="0" xfId="0">
      <alignment horizontal="center" vertical="center"/>
    </xf>
    <xf numFmtId="0" fontId="3" fillId="7" borderId="1" pivotButton="0" quotePrefix="0" xfId="0"/>
    <xf numFmtId="166" fontId="11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168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6" fillId="2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166" fontId="8" fillId="2" borderId="1" applyAlignment="1" pivotButton="0" quotePrefix="0" xfId="0">
      <alignment horizontal="right" vertical="center"/>
    </xf>
    <xf numFmtId="167" fontId="8" fillId="2" borderId="1" applyAlignment="1" pivotButton="0" quotePrefix="0" xfId="0">
      <alignment horizontal="right" vertical="center"/>
    </xf>
    <xf numFmtId="0" fontId="3" fillId="4" borderId="1" pivotButton="0" quotePrefix="0" xfId="0"/>
    <xf numFmtId="0" fontId="5" fillId="4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pivotButton="0" quotePrefix="0" xfId="0"/>
    <xf numFmtId="3" fontId="9" fillId="6" borderId="1" applyAlignment="1" pivotButton="0" quotePrefix="0" xfId="0">
      <alignment horizontal="right" vertical="center"/>
    </xf>
    <xf numFmtId="0" fontId="9" fillId="8" borderId="1" pivotButton="0" quotePrefix="0" xfId="0"/>
    <xf numFmtId="3" fontId="9" fillId="8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right" vertical="center"/>
    </xf>
    <xf numFmtId="168" fontId="9" fillId="8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3" fillId="4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top" wrapText="1"/>
    </xf>
    <xf numFmtId="166" fontId="9" fillId="8" borderId="1" applyAlignment="1" pivotButton="0" quotePrefix="0" xfId="0">
      <alignment horizontal="right" vertical="center"/>
    </xf>
    <xf numFmtId="10" fontId="8" fillId="2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8" fontId="8" fillId="2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center" vertical="center"/>
    </xf>
    <xf numFmtId="170" fontId="5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0" fontId="5" fillId="0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($)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Dashboard'!$C$17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Dashboard'!$D$17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Dashboard'!$E$17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Dashboard'!$F$17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($)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Dashboard'!$C$18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Dashboard'!$D$18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Dashboard'!$E$18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Dashboard'!$F$18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Ending Subscribers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Dashboard'!$C$19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Dashboard'!$D$19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Dashboard'!$E$19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Dashboard'!$F$19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Dashboard'!$C$20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Dashboard'!$D$20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Dashboard'!$E$20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Dashboard'!$F$20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Deployed ($)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Dashboard'!$C$21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Dashboard'!$D$21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Dashboard'!$E$21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Dashboard'!$F$21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'Executive Dashboard'!$C$16:$G$16</f>
            </numRef>
          </cat>
          <val>
            <numRef>
              <f>'Executive Dashboard'!$G$21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Cost per Subscriber ($)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Dashboard'!$C$22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Dashboard'!$D$22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Dashboard'!$E$22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Dashboard'!$F$22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Dashboard'!$C$16:$G$16</f>
            </numRef>
          </cat>
          <val>
            <numRef>
              <f>'Executive Dashboard'!$G$22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$/sub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45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3</row>
      <rowOff>0</rowOff>
    </from>
    <ext cx="45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18</row>
      <rowOff>0</rowOff>
    </from>
    <ext cx="450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33</row>
      <rowOff>0</rowOff>
    </from>
    <ext cx="450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33</row>
      <rowOff>0</rowOff>
    </from>
    <ext cx="450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8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1" ht="24" customHeight="1">
      <c r="B1" s="1" t="inlineStr">
        <is>
          <t>RIVR Tech Five-Year Financial Model — Instructions</t>
        </is>
      </c>
    </row>
    <row r="2">
      <c r="B2" s="2" t="inlineStr">
        <is>
          <t>LREMC Technologies, LLC d/b/a RIVR Tech  ·  FY2027–FY2031  ·  Prepared 2026-07-21</t>
        </is>
      </c>
    </row>
    <row r="4">
      <c r="B4" s="3" t="inlineStr">
        <is>
          <t>How to use this model</t>
        </is>
      </c>
    </row>
    <row r="5">
      <c r="B5" s="4" t="inlineStr">
        <is>
          <t>1. Go to the 'Scenario Selector' tab and choose Base / Conservative / Aggressive from the drop-down.</t>
        </is>
      </c>
    </row>
    <row r="6">
      <c r="B6" s="4" t="inlineStr">
        <is>
          <t>2. Choose the refresh treatment: 'Inside $10M' (base model) or 'Outside $10M' (adjustable model, +$400K/yr).</t>
        </is>
      </c>
    </row>
    <row r="7">
      <c r="B7" s="4" t="inlineStr">
        <is>
          <t>3. Every downstream tab recomputes automatically from the Assumptions (CHOOSE-driven).</t>
        </is>
      </c>
    </row>
    <row r="8">
      <c r="B8" s="4" t="inlineStr">
        <is>
          <t>4. Edit any BLUE input cell. Do not overwrite black formula cells.</t>
        </is>
      </c>
    </row>
    <row r="9">
      <c r="B9" s="4" t="inlineStr"/>
    </row>
    <row r="10">
      <c r="B10" s="3" t="inlineStr">
        <is>
          <t>Color legend</t>
        </is>
      </c>
    </row>
    <row r="11">
      <c r="B11" s="5" t="inlineStr">
        <is>
          <t xml:space="preserve">  BLUE fill  = management input / assumption (editable)</t>
        </is>
      </c>
    </row>
    <row r="12">
      <c r="B12" s="6" t="inlineStr">
        <is>
          <t xml:space="preserve">  ORANGE fill = placeholder pending actual company data (editable)</t>
        </is>
      </c>
    </row>
    <row r="13">
      <c r="B13" s="7" t="inlineStr">
        <is>
          <t xml:space="preserve">  GREEN fill = key calculated output</t>
        </is>
      </c>
    </row>
    <row r="14">
      <c r="B14" s="4" t="inlineStr">
        <is>
          <t xml:space="preserve">  WHITE/grey = formula (do not edit directly)</t>
        </is>
      </c>
    </row>
    <row r="15">
      <c r="B15" s="4" t="inlineStr"/>
    </row>
    <row r="16">
      <c r="B16" s="3" t="inlineStr">
        <is>
          <t>Data-classification tags (Assumptions tab)</t>
        </is>
      </c>
    </row>
    <row r="17">
      <c r="B17" s="4" t="inlineStr">
        <is>
          <t xml:space="preserve">  A = Actual supplied input   S = Management assumption   P = Placeholder   T = Recommended target</t>
        </is>
      </c>
    </row>
    <row r="18">
      <c r="B18" s="4" t="inlineStr"/>
    </row>
    <row r="19">
      <c r="B19" s="3" t="inlineStr">
        <is>
          <t>Supplied ACTUALS (not independently audited)</t>
        </is>
      </c>
    </row>
    <row r="20">
      <c r="B20" s="4" t="inlineStr">
        <is>
          <t xml:space="preserve">  Internet subs (Jun-2026): 4,686   Voice subs: 502   Residential ARPU: $74   Business ARPU: $149</t>
        </is>
      </c>
    </row>
    <row r="21">
      <c r="B21" s="4" t="inlineStr">
        <is>
          <t xml:space="preserve">  Capital: $10.0M/yr, $50.0M/5yr   Equipment refresh: $400K/yr, $2.0M/5yr</t>
        </is>
      </c>
    </row>
    <row r="22">
      <c r="B22" s="4" t="inlineStr">
        <is>
          <t xml:space="preserve">  Staffing: 15 filled + 3 open = 18 authorized</t>
        </is>
      </c>
    </row>
    <row r="23">
      <c r="B23" s="4" t="inlineStr"/>
    </row>
    <row r="24">
      <c r="B24" s="3" t="inlineStr">
        <is>
          <t>Tabs</t>
        </is>
      </c>
    </row>
    <row r="25">
      <c r="B25" s="4" t="inlineStr">
        <is>
          <t xml:space="preserve">  Executive Dashboard · Assumptions · Scenario Selector · Subscriber Forecast · Revenue Model ·</t>
        </is>
      </c>
    </row>
    <row r="26">
      <c r="B26" s="4" t="inlineStr">
        <is>
          <t xml:space="preserve">  Operating Expenses · Current Staffing · Five-Year Staffing Plan · Fully Loaded Labor Cost ·</t>
        </is>
      </c>
    </row>
    <row r="27">
      <c r="B27" s="4" t="inlineStr">
        <is>
          <t xml:space="preserve">  Capital Plan · Equipment Refresh · Project ROI · Income Statement · Cash Flow · KPI Dashboard ·</t>
        </is>
      </c>
    </row>
    <row r="28">
      <c r="B28" s="4" t="inlineStr">
        <is>
          <t xml:space="preserve">  Sensitivity Analysis · Risk Register</t>
        </is>
      </c>
    </row>
    <row r="29">
      <c r="B29" s="4" t="inlineStr"/>
    </row>
    <row r="30">
      <c r="B30" s="3" t="inlineStr">
        <is>
          <t>Error / balance checks</t>
        </is>
      </c>
    </row>
    <row r="31">
      <c r="B31" s="4" t="inlineStr">
        <is>
          <t xml:space="preserve">  Subscriber Forecast: monthly Dec ties to annual Year-1 (check cell = 0).</t>
        </is>
      </c>
    </row>
    <row r="32">
      <c r="B32" s="4" t="inlineStr">
        <is>
          <t xml:space="preserve">  Capital Plan: allocation = $10.0M and refresh 5-yr = $2.0M (check cells = 0).</t>
        </is>
      </c>
    </row>
    <row r="33">
      <c r="B33" s="4" t="inlineStr">
        <is>
          <t xml:space="preserve">  Equipment Refresh: each year = $400K (check cell = 0).</t>
        </is>
      </c>
    </row>
    <row r="34">
      <c r="B34" s="4" t="inlineStr">
        <is>
          <t xml:space="preserve">  Current Staffing: Filled=15, Open=3, Authorized=18 (check cells = 0).</t>
        </is>
      </c>
    </row>
    <row r="35">
      <c r="B35" s="4" t="inlineStr"/>
    </row>
    <row r="36">
      <c r="B36" s="2" t="inlineStr">
        <is>
          <t>IMPORTANT: This model uses management assumptions and placeholders where actual RIVR Tech source</t>
        </is>
      </c>
    </row>
    <row r="37">
      <c r="B37" s="2" t="inlineStr">
        <is>
          <t>data was unavailable. Replace placeholders (orange) with actuals before board reliance. See the</t>
        </is>
      </c>
    </row>
    <row r="38">
      <c r="B38" s="2" t="inlineStr">
        <is>
          <t>Source-Data Inventory &amp; Assumption Log accompanying this workbook.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3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B1" s="1" t="inlineStr">
        <is>
          <t>Executive Dashboard — RIVR Tech Five-Year Plan</t>
        </is>
      </c>
    </row>
    <row r="2">
      <c r="B2" s="2" t="inlineStr">
        <is>
          <t>Live view of the active scenario. Change scenario on 'Scenario Selector'. Charts refresh on recalculation.</t>
        </is>
      </c>
    </row>
    <row r="3">
      <c r="B3" s="8" t="inlineStr">
        <is>
          <t>Active scenario:</t>
        </is>
      </c>
      <c r="C3" s="9">
        <f>'Scenario Selector'!C4</f>
        <v/>
      </c>
    </row>
    <row r="5">
      <c r="B5" s="10" t="inlineStr">
        <is>
          <t>2031 Revenue</t>
        </is>
      </c>
      <c r="D5" s="10" t="inlineStr">
        <is>
          <t>2031 EBITDA</t>
        </is>
      </c>
      <c r="F5" s="10" t="inlineStr">
        <is>
          <t>2031 EBITDA margin</t>
        </is>
      </c>
    </row>
    <row r="6">
      <c r="B6" s="11">
        <f>'Revenue Model'!G17</f>
        <v/>
      </c>
      <c r="D6" s="11">
        <f>'Income Statement'!G7</f>
        <v/>
      </c>
      <c r="F6" s="12">
        <f>'Income Statement'!G7/'Revenue Model'!G17</f>
        <v/>
      </c>
    </row>
    <row r="8">
      <c r="B8" s="10" t="inlineStr">
        <is>
          <t>2031 Ending subs</t>
        </is>
      </c>
      <c r="D8" s="10" t="inlineStr">
        <is>
          <t>5-Yr capital deployed</t>
        </is>
      </c>
      <c r="F8" s="10" t="inlineStr">
        <is>
          <t>Peak cumulative cash need</t>
        </is>
      </c>
    </row>
    <row r="9">
      <c r="B9" s="13">
        <f>'Subscriber Forecast'!G49</f>
        <v/>
      </c>
      <c r="D9" s="11">
        <f>'Capital Plan'!J21</f>
        <v/>
      </c>
      <c r="F9" s="11">
        <f>MIN('Cash Flow'!C8:G8)</f>
        <v/>
      </c>
    </row>
    <row r="11">
      <c r="B11" s="10" t="inlineStr">
        <is>
          <t>2031 Headcount</t>
        </is>
      </c>
      <c r="D11" s="10" t="inlineStr">
        <is>
          <t>2031 Take rate</t>
        </is>
      </c>
      <c r="F11" s="10" t="inlineStr">
        <is>
          <t>5-Yr revenue</t>
        </is>
      </c>
    </row>
    <row r="12">
      <c r="B12" s="13">
        <f>Assumptions!I41</f>
        <v/>
      </c>
      <c r="D12" s="12">
        <f>'Subscriber Forecast'!G49/((Assumptions!E25+SUM(Assumptions!E27:I27))+(Assumptions!E26+SUM(Assumptions!E28:I28)))</f>
        <v/>
      </c>
      <c r="F12" s="11">
        <f>'Revenue Model'!H17</f>
        <v/>
      </c>
    </row>
    <row r="16">
      <c r="B16" s="10" t="inlineStr">
        <is>
          <t>Chart data (live)</t>
        </is>
      </c>
      <c r="C16" s="14" t="n">
        <v>2027</v>
      </c>
      <c r="D16" s="14" t="n">
        <v>2028</v>
      </c>
      <c r="E16" s="14" t="n">
        <v>2029</v>
      </c>
      <c r="F16" s="14" t="n">
        <v>2030</v>
      </c>
      <c r="G16" s="14" t="n">
        <v>2031</v>
      </c>
    </row>
    <row r="17">
      <c r="B17" s="15" t="inlineStr">
        <is>
          <t>Total revenue</t>
        </is>
      </c>
      <c r="C17" s="16">
        <f>'Revenue Model'!C17</f>
        <v/>
      </c>
      <c r="D17" s="16">
        <f>'Revenue Model'!D17</f>
        <v/>
      </c>
      <c r="E17" s="16">
        <f>'Revenue Model'!E17</f>
        <v/>
      </c>
      <c r="F17" s="16">
        <f>'Revenue Model'!F17</f>
        <v/>
      </c>
      <c r="G17" s="16">
        <f>'Revenue Model'!G17</f>
        <v/>
      </c>
    </row>
    <row r="18">
      <c r="B18" s="15" t="inlineStr">
        <is>
          <t>EBITDA</t>
        </is>
      </c>
      <c r="C18" s="16">
        <f>'Income Statement'!C7</f>
        <v/>
      </c>
      <c r="D18" s="16">
        <f>'Income Statement'!D7</f>
        <v/>
      </c>
      <c r="E18" s="16">
        <f>'Income Statement'!E7</f>
        <v/>
      </c>
      <c r="F18" s="16">
        <f>'Income Statement'!F7</f>
        <v/>
      </c>
      <c r="G18" s="16">
        <f>'Income Statement'!G7</f>
        <v/>
      </c>
    </row>
    <row r="19">
      <c r="B19" s="15" t="inlineStr">
        <is>
          <t>Ending subscribers</t>
        </is>
      </c>
      <c r="C19" s="17">
        <f>'Subscriber Forecast'!C49</f>
        <v/>
      </c>
      <c r="D19" s="17">
        <f>'Subscriber Forecast'!D49</f>
        <v/>
      </c>
      <c r="E19" s="17">
        <f>'Subscriber Forecast'!E49</f>
        <v/>
      </c>
      <c r="F19" s="17">
        <f>'Subscriber Forecast'!F49</f>
        <v/>
      </c>
      <c r="G19" s="17">
        <f>'Subscriber Forecast'!G49</f>
        <v/>
      </c>
    </row>
    <row r="20">
      <c r="B20" s="15" t="inlineStr">
        <is>
          <t>Headcount</t>
        </is>
      </c>
      <c r="C20" s="17">
        <f>Assumptions!E41</f>
        <v/>
      </c>
      <c r="D20" s="17">
        <f>Assumptions!F41</f>
        <v/>
      </c>
      <c r="E20" s="17">
        <f>Assumptions!G41</f>
        <v/>
      </c>
      <c r="F20" s="17">
        <f>Assumptions!H41</f>
        <v/>
      </c>
      <c r="G20" s="17">
        <f>Assumptions!I41</f>
        <v/>
      </c>
    </row>
    <row r="21">
      <c r="B21" s="15" t="inlineStr">
        <is>
          <t>Capital deployed</t>
        </is>
      </c>
      <c r="C21" s="16">
        <f>'Capital Plan'!E24</f>
        <v/>
      </c>
      <c r="D21" s="16">
        <f>'Capital Plan'!F24</f>
        <v/>
      </c>
      <c r="E21" s="16">
        <f>'Capital Plan'!G24</f>
        <v/>
      </c>
      <c r="F21" s="16">
        <f>'Capital Plan'!H24</f>
        <v/>
      </c>
      <c r="G21" s="16">
        <f>'Capital Plan'!I24</f>
        <v/>
      </c>
    </row>
    <row r="22">
      <c r="B22" s="15" t="inlineStr">
        <is>
          <t>Operating cost / subscriber</t>
        </is>
      </c>
      <c r="C22" s="18">
        <f>'Operating Expenses'!E31/(('Subscriber Forecast'!C50+'Subscriber Forecast'!C49)/2)</f>
        <v/>
      </c>
      <c r="D22" s="18">
        <f>'Operating Expenses'!F31/(('Subscriber Forecast'!D50+'Subscriber Forecast'!D49)/2)</f>
        <v/>
      </c>
      <c r="E22" s="18">
        <f>'Operating Expenses'!G31/(('Subscriber Forecast'!E50+'Subscriber Forecast'!E49)/2)</f>
        <v/>
      </c>
      <c r="F22" s="18">
        <f>'Operating Expenses'!H31/(('Subscriber Forecast'!F50+'Subscriber Forecast'!F49)/2)</f>
        <v/>
      </c>
      <c r="G22" s="18">
        <f>'Operating Expenses'!I31/(('Subscriber Forecast'!G50+'Subscriber Forecast'!G49)/2)</f>
        <v/>
      </c>
    </row>
    <row r="23">
      <c r="B23" s="15" t="inlineStr">
        <is>
          <t>EBITDA margin</t>
        </is>
      </c>
      <c r="C23" s="19">
        <f>'Income Statement'!C7/'Revenue Model'!C17</f>
        <v/>
      </c>
      <c r="D23" s="19">
        <f>'Income Statement'!D7/'Revenue Model'!D17</f>
        <v/>
      </c>
      <c r="E23" s="19">
        <f>'Income Statement'!E7/'Revenue Model'!E17</f>
        <v/>
      </c>
      <c r="F23" s="19">
        <f>'Income Statement'!F7/'Revenue Model'!F17</f>
        <v/>
      </c>
      <c r="G23" s="19">
        <f>'Income Statement'!G7/'Revenue Model'!G17</f>
        <v/>
      </c>
    </row>
  </sheetData>
  <mergeCells count="2">
    <mergeCell ref="B1:J1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4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9" customWidth="1" min="3" max="3"/>
    <col width="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B1" s="1" t="inlineStr">
        <is>
          <t>Model Assumptions — ACTIVE (selected scenario)</t>
        </is>
      </c>
    </row>
    <row r="2">
      <c r="B2" s="2" t="inlineStr">
        <is>
          <t>Blue = management input (edit on Scenario Selector). These Active cells feed every downstream tab. Tags: A=Actual, S=Assumption, P=Placeholder, T=Target.</t>
        </is>
      </c>
    </row>
    <row r="4" ht="20" customHeight="1">
      <c r="B4" s="20" t="inlineStr">
        <is>
          <t>Assumption</t>
        </is>
      </c>
      <c r="C4" s="20" t="inlineStr">
        <is>
          <t>Unit</t>
        </is>
      </c>
      <c r="D4" s="20" t="inlineStr">
        <is>
          <t>Tag</t>
        </is>
      </c>
      <c r="E4" s="20" t="inlineStr">
        <is>
          <t>2027</t>
        </is>
      </c>
      <c r="F4" s="20" t="inlineStr">
        <is>
          <t>2028</t>
        </is>
      </c>
      <c r="G4" s="20" t="inlineStr">
        <is>
          <t>2029</t>
        </is>
      </c>
      <c r="H4" s="20" t="inlineStr">
        <is>
          <t>2030</t>
        </is>
      </c>
      <c r="I4" s="20" t="inlineStr">
        <is>
          <t>2031</t>
        </is>
      </c>
    </row>
    <row r="5">
      <c r="B5" s="15" t="inlineStr">
        <is>
          <t>Residential opening subs (Jan-2027)</t>
        </is>
      </c>
      <c r="C5" s="21" t="inlineStr">
        <is>
          <t>subs</t>
        </is>
      </c>
      <c r="D5" s="22" t="inlineStr">
        <is>
          <t>S</t>
        </is>
      </c>
      <c r="E5" s="23">
        <f>CHOOSE(SCEN,'Scenario Selector'!D10,'Scenario Selector'!I10,'Scenario Selector'!N10)</f>
        <v/>
      </c>
      <c r="F5" s="23">
        <f>CHOOSE(SCEN,'Scenario Selector'!D10,'Scenario Selector'!I10,'Scenario Selector'!N10)</f>
        <v/>
      </c>
      <c r="G5" s="23">
        <f>CHOOSE(SCEN,'Scenario Selector'!D10,'Scenario Selector'!I10,'Scenario Selector'!N10)</f>
        <v/>
      </c>
      <c r="H5" s="23">
        <f>CHOOSE(SCEN,'Scenario Selector'!D10,'Scenario Selector'!I10,'Scenario Selector'!N10)</f>
        <v/>
      </c>
      <c r="I5" s="23">
        <f>CHOOSE(SCEN,'Scenario Selector'!D10,'Scenario Selector'!I10,'Scenario Selector'!N10)</f>
        <v/>
      </c>
    </row>
    <row r="6">
      <c r="B6" s="15" t="inlineStr">
        <is>
          <t>Business opening subs</t>
        </is>
      </c>
      <c r="C6" s="21" t="inlineStr">
        <is>
          <t>subs</t>
        </is>
      </c>
      <c r="D6" s="22" t="inlineStr">
        <is>
          <t>S</t>
        </is>
      </c>
      <c r="E6" s="23">
        <f>CHOOSE(SCEN,'Scenario Selector'!D11,'Scenario Selector'!I11,'Scenario Selector'!N11)</f>
        <v/>
      </c>
      <c r="F6" s="23">
        <f>CHOOSE(SCEN,'Scenario Selector'!D11,'Scenario Selector'!I11,'Scenario Selector'!N11)</f>
        <v/>
      </c>
      <c r="G6" s="23">
        <f>CHOOSE(SCEN,'Scenario Selector'!D11,'Scenario Selector'!I11,'Scenario Selector'!N11)</f>
        <v/>
      </c>
      <c r="H6" s="23">
        <f>CHOOSE(SCEN,'Scenario Selector'!D11,'Scenario Selector'!I11,'Scenario Selector'!N11)</f>
        <v/>
      </c>
      <c r="I6" s="23">
        <f>CHOOSE(SCEN,'Scenario Selector'!D11,'Scenario Selector'!I11,'Scenario Selector'!N11)</f>
        <v/>
      </c>
    </row>
    <row r="7">
      <c r="B7" s="15" t="inlineStr">
        <is>
          <t>Enterprise/DIA opening subs</t>
        </is>
      </c>
      <c r="C7" s="21" t="inlineStr">
        <is>
          <t>subs</t>
        </is>
      </c>
      <c r="D7" s="22" t="inlineStr">
        <is>
          <t>S</t>
        </is>
      </c>
      <c r="E7" s="23">
        <f>CHOOSE(SCEN,'Scenario Selector'!D12,'Scenario Selector'!I12,'Scenario Selector'!N12)</f>
        <v/>
      </c>
      <c r="F7" s="23">
        <f>CHOOSE(SCEN,'Scenario Selector'!D12,'Scenario Selector'!I12,'Scenario Selector'!N12)</f>
        <v/>
      </c>
      <c r="G7" s="23">
        <f>CHOOSE(SCEN,'Scenario Selector'!D12,'Scenario Selector'!I12,'Scenario Selector'!N12)</f>
        <v/>
      </c>
      <c r="H7" s="23">
        <f>CHOOSE(SCEN,'Scenario Selector'!D12,'Scenario Selector'!I12,'Scenario Selector'!N12)</f>
        <v/>
      </c>
      <c r="I7" s="23">
        <f>CHOOSE(SCEN,'Scenario Selector'!D12,'Scenario Selector'!I12,'Scenario Selector'!N12)</f>
        <v/>
      </c>
    </row>
    <row r="8">
      <c r="B8" s="15" t="inlineStr">
        <is>
          <t>Voice opening subs</t>
        </is>
      </c>
      <c r="C8" s="21" t="inlineStr">
        <is>
          <t>subs</t>
        </is>
      </c>
      <c r="D8" s="22" t="inlineStr">
        <is>
          <t>S</t>
        </is>
      </c>
      <c r="E8" s="23">
        <f>CHOOSE(SCEN,'Scenario Selector'!D13,'Scenario Selector'!I13,'Scenario Selector'!N13)</f>
        <v/>
      </c>
      <c r="F8" s="23">
        <f>CHOOSE(SCEN,'Scenario Selector'!D13,'Scenario Selector'!I13,'Scenario Selector'!N13)</f>
        <v/>
      </c>
      <c r="G8" s="23">
        <f>CHOOSE(SCEN,'Scenario Selector'!D13,'Scenario Selector'!I13,'Scenario Selector'!N13)</f>
        <v/>
      </c>
      <c r="H8" s="23">
        <f>CHOOSE(SCEN,'Scenario Selector'!D13,'Scenario Selector'!I13,'Scenario Selector'!N13)</f>
        <v/>
      </c>
      <c r="I8" s="23">
        <f>CHOOSE(SCEN,'Scenario Selector'!D13,'Scenario Selector'!I13,'Scenario Selector'!N13)</f>
        <v/>
      </c>
    </row>
    <row r="9">
      <c r="B9" s="15" t="inlineStr">
        <is>
          <t>Residential gross adds</t>
        </is>
      </c>
      <c r="C9" s="21" t="inlineStr">
        <is>
          <t>subs/yr</t>
        </is>
      </c>
      <c r="D9" s="22" t="inlineStr">
        <is>
          <t>S</t>
        </is>
      </c>
      <c r="E9" s="23">
        <f>CHOOSE(SCEN,'Scenario Selector'!D14,'Scenario Selector'!I14,'Scenario Selector'!N14)</f>
        <v/>
      </c>
      <c r="F9" s="23">
        <f>CHOOSE(SCEN,'Scenario Selector'!E14,'Scenario Selector'!J14,'Scenario Selector'!O14)</f>
        <v/>
      </c>
      <c r="G9" s="23">
        <f>CHOOSE(SCEN,'Scenario Selector'!F14,'Scenario Selector'!K14,'Scenario Selector'!P14)</f>
        <v/>
      </c>
      <c r="H9" s="23">
        <f>CHOOSE(SCEN,'Scenario Selector'!G14,'Scenario Selector'!L14,'Scenario Selector'!Q14)</f>
        <v/>
      </c>
      <c r="I9" s="23">
        <f>CHOOSE(SCEN,'Scenario Selector'!H14,'Scenario Selector'!M14,'Scenario Selector'!R14)</f>
        <v/>
      </c>
    </row>
    <row r="10">
      <c r="B10" s="15" t="inlineStr">
        <is>
          <t>Business gross adds</t>
        </is>
      </c>
      <c r="C10" s="21" t="inlineStr">
        <is>
          <t>subs/yr</t>
        </is>
      </c>
      <c r="D10" s="22" t="inlineStr">
        <is>
          <t>S</t>
        </is>
      </c>
      <c r="E10" s="23">
        <f>CHOOSE(SCEN,'Scenario Selector'!D15,'Scenario Selector'!I15,'Scenario Selector'!N15)</f>
        <v/>
      </c>
      <c r="F10" s="23">
        <f>CHOOSE(SCEN,'Scenario Selector'!E15,'Scenario Selector'!J15,'Scenario Selector'!O15)</f>
        <v/>
      </c>
      <c r="G10" s="23">
        <f>CHOOSE(SCEN,'Scenario Selector'!F15,'Scenario Selector'!K15,'Scenario Selector'!P15)</f>
        <v/>
      </c>
      <c r="H10" s="23">
        <f>CHOOSE(SCEN,'Scenario Selector'!G15,'Scenario Selector'!L15,'Scenario Selector'!Q15)</f>
        <v/>
      </c>
      <c r="I10" s="23">
        <f>CHOOSE(SCEN,'Scenario Selector'!H15,'Scenario Selector'!M15,'Scenario Selector'!R15)</f>
        <v/>
      </c>
    </row>
    <row r="11">
      <c r="B11" s="15" t="inlineStr">
        <is>
          <t>Enterprise gross adds</t>
        </is>
      </c>
      <c r="C11" s="21" t="inlineStr">
        <is>
          <t>subs/yr</t>
        </is>
      </c>
      <c r="D11" s="22" t="inlineStr">
        <is>
          <t>S</t>
        </is>
      </c>
      <c r="E11" s="23">
        <f>CHOOSE(SCEN,'Scenario Selector'!D16,'Scenario Selector'!I16,'Scenario Selector'!N16)</f>
        <v/>
      </c>
      <c r="F11" s="23">
        <f>CHOOSE(SCEN,'Scenario Selector'!E16,'Scenario Selector'!J16,'Scenario Selector'!O16)</f>
        <v/>
      </c>
      <c r="G11" s="23">
        <f>CHOOSE(SCEN,'Scenario Selector'!F16,'Scenario Selector'!K16,'Scenario Selector'!P16)</f>
        <v/>
      </c>
      <c r="H11" s="23">
        <f>CHOOSE(SCEN,'Scenario Selector'!G16,'Scenario Selector'!L16,'Scenario Selector'!Q16)</f>
        <v/>
      </c>
      <c r="I11" s="23">
        <f>CHOOSE(SCEN,'Scenario Selector'!H16,'Scenario Selector'!M16,'Scenario Selector'!R16)</f>
        <v/>
      </c>
    </row>
    <row r="12">
      <c r="B12" s="15" t="inlineStr">
        <is>
          <t>Voice gross adds</t>
        </is>
      </c>
      <c r="C12" s="21" t="inlineStr">
        <is>
          <t>subs/yr</t>
        </is>
      </c>
      <c r="D12" s="22" t="inlineStr">
        <is>
          <t>S</t>
        </is>
      </c>
      <c r="E12" s="23">
        <f>CHOOSE(SCEN,'Scenario Selector'!D17,'Scenario Selector'!I17,'Scenario Selector'!N17)</f>
        <v/>
      </c>
      <c r="F12" s="23">
        <f>CHOOSE(SCEN,'Scenario Selector'!E17,'Scenario Selector'!J17,'Scenario Selector'!O17)</f>
        <v/>
      </c>
      <c r="G12" s="23">
        <f>CHOOSE(SCEN,'Scenario Selector'!F17,'Scenario Selector'!K17,'Scenario Selector'!P17)</f>
        <v/>
      </c>
      <c r="H12" s="23">
        <f>CHOOSE(SCEN,'Scenario Selector'!G17,'Scenario Selector'!L17,'Scenario Selector'!Q17)</f>
        <v/>
      </c>
      <c r="I12" s="23">
        <f>CHOOSE(SCEN,'Scenario Selector'!H17,'Scenario Selector'!M17,'Scenario Selector'!R17)</f>
        <v/>
      </c>
    </row>
    <row r="13">
      <c r="B13" s="15" t="inlineStr">
        <is>
          <t>Residential churn (annual)</t>
        </is>
      </c>
      <c r="C13" s="21" t="inlineStr">
        <is>
          <t>%</t>
        </is>
      </c>
      <c r="D13" s="22" t="inlineStr">
        <is>
          <t>S</t>
        </is>
      </c>
      <c r="E13" s="24">
        <f>CHOOSE(SCEN,'Scenario Selector'!D18,'Scenario Selector'!I18,'Scenario Selector'!N18)</f>
        <v/>
      </c>
      <c r="F13" s="24">
        <f>CHOOSE(SCEN,'Scenario Selector'!D18,'Scenario Selector'!I18,'Scenario Selector'!N18)</f>
        <v/>
      </c>
      <c r="G13" s="24">
        <f>CHOOSE(SCEN,'Scenario Selector'!D18,'Scenario Selector'!I18,'Scenario Selector'!N18)</f>
        <v/>
      </c>
      <c r="H13" s="24">
        <f>CHOOSE(SCEN,'Scenario Selector'!D18,'Scenario Selector'!I18,'Scenario Selector'!N18)</f>
        <v/>
      </c>
      <c r="I13" s="24">
        <f>CHOOSE(SCEN,'Scenario Selector'!D18,'Scenario Selector'!I18,'Scenario Selector'!N18)</f>
        <v/>
      </c>
    </row>
    <row r="14">
      <c r="B14" s="15" t="inlineStr">
        <is>
          <t>Business churn (annual)</t>
        </is>
      </c>
      <c r="C14" s="21" t="inlineStr">
        <is>
          <t>%</t>
        </is>
      </c>
      <c r="D14" s="22" t="inlineStr">
        <is>
          <t>S</t>
        </is>
      </c>
      <c r="E14" s="24">
        <f>CHOOSE(SCEN,'Scenario Selector'!D19,'Scenario Selector'!I19,'Scenario Selector'!N19)</f>
        <v/>
      </c>
      <c r="F14" s="24">
        <f>CHOOSE(SCEN,'Scenario Selector'!D19,'Scenario Selector'!I19,'Scenario Selector'!N19)</f>
        <v/>
      </c>
      <c r="G14" s="24">
        <f>CHOOSE(SCEN,'Scenario Selector'!D19,'Scenario Selector'!I19,'Scenario Selector'!N19)</f>
        <v/>
      </c>
      <c r="H14" s="24">
        <f>CHOOSE(SCEN,'Scenario Selector'!D19,'Scenario Selector'!I19,'Scenario Selector'!N19)</f>
        <v/>
      </c>
      <c r="I14" s="24">
        <f>CHOOSE(SCEN,'Scenario Selector'!D19,'Scenario Selector'!I19,'Scenario Selector'!N19)</f>
        <v/>
      </c>
    </row>
    <row r="15">
      <c r="B15" s="15" t="inlineStr">
        <is>
          <t>Enterprise churn (annual)</t>
        </is>
      </c>
      <c r="C15" s="21" t="inlineStr">
        <is>
          <t>%</t>
        </is>
      </c>
      <c r="D15" s="22" t="inlineStr">
        <is>
          <t>S</t>
        </is>
      </c>
      <c r="E15" s="24">
        <f>CHOOSE(SCEN,'Scenario Selector'!D20,'Scenario Selector'!I20,'Scenario Selector'!N20)</f>
        <v/>
      </c>
      <c r="F15" s="24">
        <f>CHOOSE(SCEN,'Scenario Selector'!D20,'Scenario Selector'!I20,'Scenario Selector'!N20)</f>
        <v/>
      </c>
      <c r="G15" s="24">
        <f>CHOOSE(SCEN,'Scenario Selector'!D20,'Scenario Selector'!I20,'Scenario Selector'!N20)</f>
        <v/>
      </c>
      <c r="H15" s="24">
        <f>CHOOSE(SCEN,'Scenario Selector'!D20,'Scenario Selector'!I20,'Scenario Selector'!N20)</f>
        <v/>
      </c>
      <c r="I15" s="24">
        <f>CHOOSE(SCEN,'Scenario Selector'!D20,'Scenario Selector'!I20,'Scenario Selector'!N20)</f>
        <v/>
      </c>
    </row>
    <row r="16">
      <c r="B16" s="15" t="inlineStr">
        <is>
          <t>Voice churn (annual)</t>
        </is>
      </c>
      <c r="C16" s="21" t="inlineStr">
        <is>
          <t>%</t>
        </is>
      </c>
      <c r="D16" s="22" t="inlineStr">
        <is>
          <t>S</t>
        </is>
      </c>
      <c r="E16" s="24">
        <f>CHOOSE(SCEN,'Scenario Selector'!D21,'Scenario Selector'!I21,'Scenario Selector'!N21)</f>
        <v/>
      </c>
      <c r="F16" s="24">
        <f>CHOOSE(SCEN,'Scenario Selector'!D21,'Scenario Selector'!I21,'Scenario Selector'!N21)</f>
        <v/>
      </c>
      <c r="G16" s="24">
        <f>CHOOSE(SCEN,'Scenario Selector'!D21,'Scenario Selector'!I21,'Scenario Selector'!N21)</f>
        <v/>
      </c>
      <c r="H16" s="24">
        <f>CHOOSE(SCEN,'Scenario Selector'!D21,'Scenario Selector'!I21,'Scenario Selector'!N21)</f>
        <v/>
      </c>
      <c r="I16" s="24">
        <f>CHOOSE(SCEN,'Scenario Selector'!D21,'Scenario Selector'!I21,'Scenario Selector'!N21)</f>
        <v/>
      </c>
    </row>
    <row r="17">
      <c r="B17" s="15" t="inlineStr">
        <is>
          <t>Residential ARPU (start)</t>
        </is>
      </c>
      <c r="C17" s="21" t="inlineStr">
        <is>
          <t>$/mo</t>
        </is>
      </c>
      <c r="D17" s="22" t="inlineStr">
        <is>
          <t>A</t>
        </is>
      </c>
      <c r="E17" s="25">
        <f>CHOOSE(SCEN,'Scenario Selector'!D22,'Scenario Selector'!I22,'Scenario Selector'!N22)</f>
        <v/>
      </c>
      <c r="F17" s="25">
        <f>CHOOSE(SCEN,'Scenario Selector'!D22,'Scenario Selector'!I22,'Scenario Selector'!N22)</f>
        <v/>
      </c>
      <c r="G17" s="25">
        <f>CHOOSE(SCEN,'Scenario Selector'!D22,'Scenario Selector'!I22,'Scenario Selector'!N22)</f>
        <v/>
      </c>
      <c r="H17" s="25">
        <f>CHOOSE(SCEN,'Scenario Selector'!D22,'Scenario Selector'!I22,'Scenario Selector'!N22)</f>
        <v/>
      </c>
      <c r="I17" s="25">
        <f>CHOOSE(SCEN,'Scenario Selector'!D22,'Scenario Selector'!I22,'Scenario Selector'!N22)</f>
        <v/>
      </c>
    </row>
    <row r="18">
      <c r="B18" s="15" t="inlineStr">
        <is>
          <t>Residential ARPU growth</t>
        </is>
      </c>
      <c r="C18" s="21" t="inlineStr">
        <is>
          <t>%</t>
        </is>
      </c>
      <c r="D18" s="22" t="inlineStr">
        <is>
          <t>S</t>
        </is>
      </c>
      <c r="E18" s="24">
        <f>CHOOSE(SCEN,'Scenario Selector'!D23,'Scenario Selector'!I23,'Scenario Selector'!N23)</f>
        <v/>
      </c>
      <c r="F18" s="24">
        <f>CHOOSE(SCEN,'Scenario Selector'!D23,'Scenario Selector'!I23,'Scenario Selector'!N23)</f>
        <v/>
      </c>
      <c r="G18" s="24">
        <f>CHOOSE(SCEN,'Scenario Selector'!D23,'Scenario Selector'!I23,'Scenario Selector'!N23)</f>
        <v/>
      </c>
      <c r="H18" s="24">
        <f>CHOOSE(SCEN,'Scenario Selector'!D23,'Scenario Selector'!I23,'Scenario Selector'!N23)</f>
        <v/>
      </c>
      <c r="I18" s="24">
        <f>CHOOSE(SCEN,'Scenario Selector'!D23,'Scenario Selector'!I23,'Scenario Selector'!N23)</f>
        <v/>
      </c>
    </row>
    <row r="19">
      <c r="B19" s="15" t="inlineStr">
        <is>
          <t>Business ARPU (start)</t>
        </is>
      </c>
      <c r="C19" s="21" t="inlineStr">
        <is>
          <t>$/mo</t>
        </is>
      </c>
      <c r="D19" s="22" t="inlineStr">
        <is>
          <t>A</t>
        </is>
      </c>
      <c r="E19" s="25">
        <f>CHOOSE(SCEN,'Scenario Selector'!D24,'Scenario Selector'!I24,'Scenario Selector'!N24)</f>
        <v/>
      </c>
      <c r="F19" s="25">
        <f>CHOOSE(SCEN,'Scenario Selector'!D24,'Scenario Selector'!I24,'Scenario Selector'!N24)</f>
        <v/>
      </c>
      <c r="G19" s="25">
        <f>CHOOSE(SCEN,'Scenario Selector'!D24,'Scenario Selector'!I24,'Scenario Selector'!N24)</f>
        <v/>
      </c>
      <c r="H19" s="25">
        <f>CHOOSE(SCEN,'Scenario Selector'!D24,'Scenario Selector'!I24,'Scenario Selector'!N24)</f>
        <v/>
      </c>
      <c r="I19" s="25">
        <f>CHOOSE(SCEN,'Scenario Selector'!D24,'Scenario Selector'!I24,'Scenario Selector'!N24)</f>
        <v/>
      </c>
    </row>
    <row r="20">
      <c r="B20" s="15" t="inlineStr">
        <is>
          <t>Business ARPU growth</t>
        </is>
      </c>
      <c r="C20" s="21" t="inlineStr">
        <is>
          <t>%</t>
        </is>
      </c>
      <c r="D20" s="22" t="inlineStr">
        <is>
          <t>S</t>
        </is>
      </c>
      <c r="E20" s="24">
        <f>CHOOSE(SCEN,'Scenario Selector'!D25,'Scenario Selector'!I25,'Scenario Selector'!N25)</f>
        <v/>
      </c>
      <c r="F20" s="24">
        <f>CHOOSE(SCEN,'Scenario Selector'!D25,'Scenario Selector'!I25,'Scenario Selector'!N25)</f>
        <v/>
      </c>
      <c r="G20" s="24">
        <f>CHOOSE(SCEN,'Scenario Selector'!D25,'Scenario Selector'!I25,'Scenario Selector'!N25)</f>
        <v/>
      </c>
      <c r="H20" s="24">
        <f>CHOOSE(SCEN,'Scenario Selector'!D25,'Scenario Selector'!I25,'Scenario Selector'!N25)</f>
        <v/>
      </c>
      <c r="I20" s="24">
        <f>CHOOSE(SCEN,'Scenario Selector'!D25,'Scenario Selector'!I25,'Scenario Selector'!N25)</f>
        <v/>
      </c>
    </row>
    <row r="21">
      <c r="B21" s="15" t="inlineStr">
        <is>
          <t>Enterprise ARPU (start)</t>
        </is>
      </c>
      <c r="C21" s="21" t="inlineStr">
        <is>
          <t>$/mo</t>
        </is>
      </c>
      <c r="D21" s="26" t="inlineStr">
        <is>
          <t>P</t>
        </is>
      </c>
      <c r="E21" s="25">
        <f>CHOOSE(SCEN,'Scenario Selector'!D26,'Scenario Selector'!I26,'Scenario Selector'!N26)</f>
        <v/>
      </c>
      <c r="F21" s="25">
        <f>CHOOSE(SCEN,'Scenario Selector'!D26,'Scenario Selector'!I26,'Scenario Selector'!N26)</f>
        <v/>
      </c>
      <c r="G21" s="25">
        <f>CHOOSE(SCEN,'Scenario Selector'!D26,'Scenario Selector'!I26,'Scenario Selector'!N26)</f>
        <v/>
      </c>
      <c r="H21" s="25">
        <f>CHOOSE(SCEN,'Scenario Selector'!D26,'Scenario Selector'!I26,'Scenario Selector'!N26)</f>
        <v/>
      </c>
      <c r="I21" s="25">
        <f>CHOOSE(SCEN,'Scenario Selector'!D26,'Scenario Selector'!I26,'Scenario Selector'!N26)</f>
        <v/>
      </c>
    </row>
    <row r="22">
      <c r="B22" s="15" t="inlineStr">
        <is>
          <t>Enterprise ARPU growth</t>
        </is>
      </c>
      <c r="C22" s="21" t="inlineStr">
        <is>
          <t>%</t>
        </is>
      </c>
      <c r="D22" s="22" t="inlineStr">
        <is>
          <t>S</t>
        </is>
      </c>
      <c r="E22" s="24">
        <f>CHOOSE(SCEN,'Scenario Selector'!D27,'Scenario Selector'!I27,'Scenario Selector'!N27)</f>
        <v/>
      </c>
      <c r="F22" s="24">
        <f>CHOOSE(SCEN,'Scenario Selector'!D27,'Scenario Selector'!I27,'Scenario Selector'!N27)</f>
        <v/>
      </c>
      <c r="G22" s="24">
        <f>CHOOSE(SCEN,'Scenario Selector'!D27,'Scenario Selector'!I27,'Scenario Selector'!N27)</f>
        <v/>
      </c>
      <c r="H22" s="24">
        <f>CHOOSE(SCEN,'Scenario Selector'!D27,'Scenario Selector'!I27,'Scenario Selector'!N27)</f>
        <v/>
      </c>
      <c r="I22" s="24">
        <f>CHOOSE(SCEN,'Scenario Selector'!D27,'Scenario Selector'!I27,'Scenario Selector'!N27)</f>
        <v/>
      </c>
    </row>
    <row r="23">
      <c r="B23" s="15" t="inlineStr">
        <is>
          <t>Voice ARPU (start)</t>
        </is>
      </c>
      <c r="C23" s="21" t="inlineStr">
        <is>
          <t>$/mo</t>
        </is>
      </c>
      <c r="D23" s="26" t="inlineStr">
        <is>
          <t>P</t>
        </is>
      </c>
      <c r="E23" s="25">
        <f>CHOOSE(SCEN,'Scenario Selector'!D28,'Scenario Selector'!I28,'Scenario Selector'!N28)</f>
        <v/>
      </c>
      <c r="F23" s="25">
        <f>CHOOSE(SCEN,'Scenario Selector'!D28,'Scenario Selector'!I28,'Scenario Selector'!N28)</f>
        <v/>
      </c>
      <c r="G23" s="25">
        <f>CHOOSE(SCEN,'Scenario Selector'!D28,'Scenario Selector'!I28,'Scenario Selector'!N28)</f>
        <v/>
      </c>
      <c r="H23" s="25">
        <f>CHOOSE(SCEN,'Scenario Selector'!D28,'Scenario Selector'!I28,'Scenario Selector'!N28)</f>
        <v/>
      </c>
      <c r="I23" s="25">
        <f>CHOOSE(SCEN,'Scenario Selector'!D28,'Scenario Selector'!I28,'Scenario Selector'!N28)</f>
        <v/>
      </c>
    </row>
    <row r="24">
      <c r="B24" s="15" t="inlineStr">
        <is>
          <t>Voice ARPU growth</t>
        </is>
      </c>
      <c r="C24" s="21" t="inlineStr">
        <is>
          <t>%</t>
        </is>
      </c>
      <c r="D24" s="22" t="inlineStr">
        <is>
          <t>S</t>
        </is>
      </c>
      <c r="E24" s="24">
        <f>CHOOSE(SCEN,'Scenario Selector'!D29,'Scenario Selector'!I29,'Scenario Selector'!N29)</f>
        <v/>
      </c>
      <c r="F24" s="24">
        <f>CHOOSE(SCEN,'Scenario Selector'!D29,'Scenario Selector'!I29,'Scenario Selector'!N29)</f>
        <v/>
      </c>
      <c r="G24" s="24">
        <f>CHOOSE(SCEN,'Scenario Selector'!D29,'Scenario Selector'!I29,'Scenario Selector'!N29)</f>
        <v/>
      </c>
      <c r="H24" s="24">
        <f>CHOOSE(SCEN,'Scenario Selector'!D29,'Scenario Selector'!I29,'Scenario Selector'!N29)</f>
        <v/>
      </c>
      <c r="I24" s="24">
        <f>CHOOSE(SCEN,'Scenario Selector'!D29,'Scenario Selector'!I29,'Scenario Selector'!N29)</f>
        <v/>
      </c>
    </row>
    <row r="25">
      <c r="B25" s="15" t="inlineStr">
        <is>
          <t>Residential passings (opening)</t>
        </is>
      </c>
      <c r="C25" s="21" t="inlineStr">
        <is>
          <t>HP</t>
        </is>
      </c>
      <c r="D25" s="26" t="inlineStr">
        <is>
          <t>P</t>
        </is>
      </c>
      <c r="E25" s="23">
        <f>CHOOSE(SCEN,'Scenario Selector'!D30,'Scenario Selector'!I30,'Scenario Selector'!N30)</f>
        <v/>
      </c>
      <c r="F25" s="23">
        <f>CHOOSE(SCEN,'Scenario Selector'!D30,'Scenario Selector'!I30,'Scenario Selector'!N30)</f>
        <v/>
      </c>
      <c r="G25" s="23">
        <f>CHOOSE(SCEN,'Scenario Selector'!D30,'Scenario Selector'!I30,'Scenario Selector'!N30)</f>
        <v/>
      </c>
      <c r="H25" s="23">
        <f>CHOOSE(SCEN,'Scenario Selector'!D30,'Scenario Selector'!I30,'Scenario Selector'!N30)</f>
        <v/>
      </c>
      <c r="I25" s="23">
        <f>CHOOSE(SCEN,'Scenario Selector'!D30,'Scenario Selector'!I30,'Scenario Selector'!N30)</f>
        <v/>
      </c>
    </row>
    <row r="26">
      <c r="B26" s="15" t="inlineStr">
        <is>
          <t>Business passings (opening)</t>
        </is>
      </c>
      <c r="C26" s="21" t="inlineStr">
        <is>
          <t>BP</t>
        </is>
      </c>
      <c r="D26" s="26" t="inlineStr">
        <is>
          <t>P</t>
        </is>
      </c>
      <c r="E26" s="23">
        <f>CHOOSE(SCEN,'Scenario Selector'!D31,'Scenario Selector'!I31,'Scenario Selector'!N31)</f>
        <v/>
      </c>
      <c r="F26" s="23">
        <f>CHOOSE(SCEN,'Scenario Selector'!D31,'Scenario Selector'!I31,'Scenario Selector'!N31)</f>
        <v/>
      </c>
      <c r="G26" s="23">
        <f>CHOOSE(SCEN,'Scenario Selector'!D31,'Scenario Selector'!I31,'Scenario Selector'!N31)</f>
        <v/>
      </c>
      <c r="H26" s="23">
        <f>CHOOSE(SCEN,'Scenario Selector'!D31,'Scenario Selector'!I31,'Scenario Selector'!N31)</f>
        <v/>
      </c>
      <c r="I26" s="23">
        <f>CHOOSE(SCEN,'Scenario Selector'!D31,'Scenario Selector'!I31,'Scenario Selector'!N31)</f>
        <v/>
      </c>
    </row>
    <row r="27">
      <c r="B27" s="15" t="inlineStr">
        <is>
          <t>New residential passings</t>
        </is>
      </c>
      <c r="C27" s="21" t="inlineStr">
        <is>
          <t>HP/yr</t>
        </is>
      </c>
      <c r="D27" s="26" t="inlineStr">
        <is>
          <t>P</t>
        </is>
      </c>
      <c r="E27" s="23">
        <f>CHOOSE(SCEN,'Scenario Selector'!D32,'Scenario Selector'!I32,'Scenario Selector'!N32)</f>
        <v/>
      </c>
      <c r="F27" s="23">
        <f>CHOOSE(SCEN,'Scenario Selector'!E32,'Scenario Selector'!J32,'Scenario Selector'!O32)</f>
        <v/>
      </c>
      <c r="G27" s="23">
        <f>CHOOSE(SCEN,'Scenario Selector'!F32,'Scenario Selector'!K32,'Scenario Selector'!P32)</f>
        <v/>
      </c>
      <c r="H27" s="23">
        <f>CHOOSE(SCEN,'Scenario Selector'!G32,'Scenario Selector'!L32,'Scenario Selector'!Q32)</f>
        <v/>
      </c>
      <c r="I27" s="23">
        <f>CHOOSE(SCEN,'Scenario Selector'!H32,'Scenario Selector'!M32,'Scenario Selector'!R32)</f>
        <v/>
      </c>
    </row>
    <row r="28">
      <c r="B28" s="15" t="inlineStr">
        <is>
          <t>New business passings</t>
        </is>
      </c>
      <c r="C28" s="21" t="inlineStr">
        <is>
          <t>BP/yr</t>
        </is>
      </c>
      <c r="D28" s="26" t="inlineStr">
        <is>
          <t>P</t>
        </is>
      </c>
      <c r="E28" s="23">
        <f>CHOOSE(SCEN,'Scenario Selector'!D33,'Scenario Selector'!I33,'Scenario Selector'!N33)</f>
        <v/>
      </c>
      <c r="F28" s="23">
        <f>CHOOSE(SCEN,'Scenario Selector'!E33,'Scenario Selector'!J33,'Scenario Selector'!O33)</f>
        <v/>
      </c>
      <c r="G28" s="23">
        <f>CHOOSE(SCEN,'Scenario Selector'!F33,'Scenario Selector'!K33,'Scenario Selector'!P33)</f>
        <v/>
      </c>
      <c r="H28" s="23">
        <f>CHOOSE(SCEN,'Scenario Selector'!G33,'Scenario Selector'!L33,'Scenario Selector'!Q33)</f>
        <v/>
      </c>
      <c r="I28" s="23">
        <f>CHOOSE(SCEN,'Scenario Selector'!H33,'Scenario Selector'!M33,'Scenario Selector'!R33)</f>
        <v/>
      </c>
    </row>
    <row r="29">
      <c r="B29" s="15" t="inlineStr">
        <is>
          <t>Capital deployment fraction</t>
        </is>
      </c>
      <c r="C29" s="21" t="inlineStr">
        <is>
          <t>%</t>
        </is>
      </c>
      <c r="D29" s="22" t="inlineStr">
        <is>
          <t>S</t>
        </is>
      </c>
      <c r="E29" s="24">
        <f>CHOOSE(SCEN,'Scenario Selector'!D34,'Scenario Selector'!I34,'Scenario Selector'!N34)</f>
        <v/>
      </c>
      <c r="F29" s="24">
        <f>CHOOSE(SCEN,'Scenario Selector'!E34,'Scenario Selector'!J34,'Scenario Selector'!O34)</f>
        <v/>
      </c>
      <c r="G29" s="24">
        <f>CHOOSE(SCEN,'Scenario Selector'!F34,'Scenario Selector'!K34,'Scenario Selector'!P34)</f>
        <v/>
      </c>
      <c r="H29" s="24">
        <f>CHOOSE(SCEN,'Scenario Selector'!G34,'Scenario Selector'!L34,'Scenario Selector'!Q34)</f>
        <v/>
      </c>
      <c r="I29" s="24">
        <f>CHOOSE(SCEN,'Scenario Selector'!H34,'Scenario Selector'!M34,'Scenario Selector'!R34)</f>
        <v/>
      </c>
    </row>
    <row r="30">
      <c r="B30" s="15" t="inlineStr">
        <is>
          <t>Construction cost / passing</t>
        </is>
      </c>
      <c r="C30" s="21" t="inlineStr">
        <is>
          <t>$</t>
        </is>
      </c>
      <c r="D30" s="26" t="inlineStr">
        <is>
          <t>P</t>
        </is>
      </c>
      <c r="E30" s="27">
        <f>CHOOSE(SCEN,'Scenario Selector'!D35,'Scenario Selector'!I35,'Scenario Selector'!N35)</f>
        <v/>
      </c>
      <c r="F30" s="27">
        <f>CHOOSE(SCEN,'Scenario Selector'!D35,'Scenario Selector'!I35,'Scenario Selector'!N35)</f>
        <v/>
      </c>
      <c r="G30" s="27">
        <f>CHOOSE(SCEN,'Scenario Selector'!D35,'Scenario Selector'!I35,'Scenario Selector'!N35)</f>
        <v/>
      </c>
      <c r="H30" s="27">
        <f>CHOOSE(SCEN,'Scenario Selector'!D35,'Scenario Selector'!I35,'Scenario Selector'!N35)</f>
        <v/>
      </c>
      <c r="I30" s="27">
        <f>CHOOSE(SCEN,'Scenario Selector'!D35,'Scenario Selector'!I35,'Scenario Selector'!N35)</f>
        <v/>
      </c>
    </row>
    <row r="31">
      <c r="B31" s="15" t="inlineStr">
        <is>
          <t>Marketing per gross add</t>
        </is>
      </c>
      <c r="C31" s="21" t="inlineStr">
        <is>
          <t>$</t>
        </is>
      </c>
      <c r="D31" s="22" t="inlineStr">
        <is>
          <t>S</t>
        </is>
      </c>
      <c r="E31" s="27">
        <f>CHOOSE(SCEN,'Scenario Selector'!D36,'Scenario Selector'!I36,'Scenario Selector'!N36)</f>
        <v/>
      </c>
      <c r="F31" s="27">
        <f>CHOOSE(SCEN,'Scenario Selector'!D36,'Scenario Selector'!I36,'Scenario Selector'!N36)</f>
        <v/>
      </c>
      <c r="G31" s="27">
        <f>CHOOSE(SCEN,'Scenario Selector'!D36,'Scenario Selector'!I36,'Scenario Selector'!N36)</f>
        <v/>
      </c>
      <c r="H31" s="27">
        <f>CHOOSE(SCEN,'Scenario Selector'!D36,'Scenario Selector'!I36,'Scenario Selector'!N36)</f>
        <v/>
      </c>
      <c r="I31" s="27">
        <f>CHOOSE(SCEN,'Scenario Selector'!D36,'Scenario Selector'!I36,'Scenario Selector'!N36)</f>
        <v/>
      </c>
    </row>
    <row r="32">
      <c r="B32" s="15" t="inlineStr">
        <is>
          <t>OpEx inflation</t>
        </is>
      </c>
      <c r="C32" s="21" t="inlineStr">
        <is>
          <t>%</t>
        </is>
      </c>
      <c r="D32" s="22" t="inlineStr">
        <is>
          <t>S</t>
        </is>
      </c>
      <c r="E32" s="24">
        <f>CHOOSE(SCEN,'Scenario Selector'!D37,'Scenario Selector'!I37,'Scenario Selector'!N37)</f>
        <v/>
      </c>
      <c r="F32" s="24">
        <f>CHOOSE(SCEN,'Scenario Selector'!D37,'Scenario Selector'!I37,'Scenario Selector'!N37)</f>
        <v/>
      </c>
      <c r="G32" s="24">
        <f>CHOOSE(SCEN,'Scenario Selector'!D37,'Scenario Selector'!I37,'Scenario Selector'!N37)</f>
        <v/>
      </c>
      <c r="H32" s="24">
        <f>CHOOSE(SCEN,'Scenario Selector'!D37,'Scenario Selector'!I37,'Scenario Selector'!N37)</f>
        <v/>
      </c>
      <c r="I32" s="24">
        <f>CHOOSE(SCEN,'Scenario Selector'!D37,'Scenario Selector'!I37,'Scenario Selector'!N37)</f>
        <v/>
      </c>
    </row>
    <row r="33">
      <c r="B33" s="15" t="inlineStr">
        <is>
          <t>OpEx efficiency multiplier</t>
        </is>
      </c>
      <c r="C33" s="21" t="inlineStr">
        <is>
          <t>x</t>
        </is>
      </c>
      <c r="D33" s="22" t="inlineStr">
        <is>
          <t>S</t>
        </is>
      </c>
      <c r="E33" s="28">
        <f>CHOOSE(SCEN,'Scenario Selector'!D38,'Scenario Selector'!I38,'Scenario Selector'!N38)</f>
        <v/>
      </c>
      <c r="F33" s="28">
        <f>CHOOSE(SCEN,'Scenario Selector'!D38,'Scenario Selector'!I38,'Scenario Selector'!N38)</f>
        <v/>
      </c>
      <c r="G33" s="28">
        <f>CHOOSE(SCEN,'Scenario Selector'!D38,'Scenario Selector'!I38,'Scenario Selector'!N38)</f>
        <v/>
      </c>
      <c r="H33" s="28">
        <f>CHOOSE(SCEN,'Scenario Selector'!D38,'Scenario Selector'!I38,'Scenario Selector'!N38)</f>
        <v/>
      </c>
      <c r="I33" s="28">
        <f>CHOOSE(SCEN,'Scenario Selector'!D38,'Scenario Selector'!I38,'Scenario Selector'!N38)</f>
        <v/>
      </c>
    </row>
    <row r="34">
      <c r="B34" s="15" t="inlineStr">
        <is>
          <t>Managed Wi-Fi attach</t>
        </is>
      </c>
      <c r="C34" s="21" t="inlineStr">
        <is>
          <t>%</t>
        </is>
      </c>
      <c r="D34" s="22" t="inlineStr">
        <is>
          <t>S</t>
        </is>
      </c>
      <c r="E34" s="24">
        <f>CHOOSE(SCEN,'Scenario Selector'!D39,'Scenario Selector'!I39,'Scenario Selector'!N39)</f>
        <v/>
      </c>
      <c r="F34" s="24">
        <f>CHOOSE(SCEN,'Scenario Selector'!D39,'Scenario Selector'!I39,'Scenario Selector'!N39)</f>
        <v/>
      </c>
      <c r="G34" s="24">
        <f>CHOOSE(SCEN,'Scenario Selector'!D39,'Scenario Selector'!I39,'Scenario Selector'!N39)</f>
        <v/>
      </c>
      <c r="H34" s="24">
        <f>CHOOSE(SCEN,'Scenario Selector'!D39,'Scenario Selector'!I39,'Scenario Selector'!N39)</f>
        <v/>
      </c>
      <c r="I34" s="24">
        <f>CHOOSE(SCEN,'Scenario Selector'!D39,'Scenario Selector'!I39,'Scenario Selector'!N39)</f>
        <v/>
      </c>
    </row>
    <row r="35">
      <c r="B35" s="15" t="inlineStr">
        <is>
          <t>Managed Wi-Fi price</t>
        </is>
      </c>
      <c r="C35" s="21" t="inlineStr">
        <is>
          <t>$/mo</t>
        </is>
      </c>
      <c r="D35" s="26" t="inlineStr">
        <is>
          <t>P</t>
        </is>
      </c>
      <c r="E35" s="25">
        <f>CHOOSE(SCEN,'Scenario Selector'!D40,'Scenario Selector'!I40,'Scenario Selector'!N40)</f>
        <v/>
      </c>
      <c r="F35" s="25">
        <f>CHOOSE(SCEN,'Scenario Selector'!D40,'Scenario Selector'!I40,'Scenario Selector'!N40)</f>
        <v/>
      </c>
      <c r="G35" s="25">
        <f>CHOOSE(SCEN,'Scenario Selector'!D40,'Scenario Selector'!I40,'Scenario Selector'!N40)</f>
        <v/>
      </c>
      <c r="H35" s="25">
        <f>CHOOSE(SCEN,'Scenario Selector'!D40,'Scenario Selector'!I40,'Scenario Selector'!N40)</f>
        <v/>
      </c>
      <c r="I35" s="25">
        <f>CHOOSE(SCEN,'Scenario Selector'!D40,'Scenario Selector'!I40,'Scenario Selector'!N40)</f>
        <v/>
      </c>
    </row>
    <row r="36">
      <c r="B36" s="15" t="inlineStr">
        <is>
          <t>Static IP attach (biz)</t>
        </is>
      </c>
      <c r="C36" s="21" t="inlineStr">
        <is>
          <t>%</t>
        </is>
      </c>
      <c r="D36" s="22" t="inlineStr">
        <is>
          <t>S</t>
        </is>
      </c>
      <c r="E36" s="24">
        <f>CHOOSE(SCEN,'Scenario Selector'!D41,'Scenario Selector'!I41,'Scenario Selector'!N41)</f>
        <v/>
      </c>
      <c r="F36" s="24">
        <f>CHOOSE(SCEN,'Scenario Selector'!D41,'Scenario Selector'!I41,'Scenario Selector'!N41)</f>
        <v/>
      </c>
      <c r="G36" s="24">
        <f>CHOOSE(SCEN,'Scenario Selector'!D41,'Scenario Selector'!I41,'Scenario Selector'!N41)</f>
        <v/>
      </c>
      <c r="H36" s="24">
        <f>CHOOSE(SCEN,'Scenario Selector'!D41,'Scenario Selector'!I41,'Scenario Selector'!N41)</f>
        <v/>
      </c>
      <c r="I36" s="24">
        <f>CHOOSE(SCEN,'Scenario Selector'!D41,'Scenario Selector'!I41,'Scenario Selector'!N41)</f>
        <v/>
      </c>
    </row>
    <row r="37">
      <c r="B37" s="15" t="inlineStr">
        <is>
          <t>Static IP price</t>
        </is>
      </c>
      <c r="C37" s="21" t="inlineStr">
        <is>
          <t>$/mo</t>
        </is>
      </c>
      <c r="D37" s="26" t="inlineStr">
        <is>
          <t>P</t>
        </is>
      </c>
      <c r="E37" s="25">
        <f>CHOOSE(SCEN,'Scenario Selector'!D42,'Scenario Selector'!I42,'Scenario Selector'!N42)</f>
        <v/>
      </c>
      <c r="F37" s="25">
        <f>CHOOSE(SCEN,'Scenario Selector'!D42,'Scenario Selector'!I42,'Scenario Selector'!N42)</f>
        <v/>
      </c>
      <c r="G37" s="25">
        <f>CHOOSE(SCEN,'Scenario Selector'!D42,'Scenario Selector'!I42,'Scenario Selector'!N42)</f>
        <v/>
      </c>
      <c r="H37" s="25">
        <f>CHOOSE(SCEN,'Scenario Selector'!D42,'Scenario Selector'!I42,'Scenario Selector'!N42)</f>
        <v/>
      </c>
      <c r="I37" s="25">
        <f>CHOOSE(SCEN,'Scenario Selector'!D42,'Scenario Selector'!I42,'Scenario Selector'!N42)</f>
        <v/>
      </c>
    </row>
    <row r="38">
      <c r="B38" s="15" t="inlineStr">
        <is>
          <t>Residential install fee</t>
        </is>
      </c>
      <c r="C38" s="21" t="inlineStr">
        <is>
          <t>$</t>
        </is>
      </c>
      <c r="D38" s="22" t="inlineStr">
        <is>
          <t>S</t>
        </is>
      </c>
      <c r="E38" s="27">
        <f>CHOOSE(SCEN,'Scenario Selector'!D43,'Scenario Selector'!I43,'Scenario Selector'!N43)</f>
        <v/>
      </c>
      <c r="F38" s="27">
        <f>CHOOSE(SCEN,'Scenario Selector'!D43,'Scenario Selector'!I43,'Scenario Selector'!N43)</f>
        <v/>
      </c>
      <c r="G38" s="27">
        <f>CHOOSE(SCEN,'Scenario Selector'!D43,'Scenario Selector'!I43,'Scenario Selector'!N43)</f>
        <v/>
      </c>
      <c r="H38" s="27">
        <f>CHOOSE(SCEN,'Scenario Selector'!D43,'Scenario Selector'!I43,'Scenario Selector'!N43)</f>
        <v/>
      </c>
      <c r="I38" s="27">
        <f>CHOOSE(SCEN,'Scenario Selector'!D43,'Scenario Selector'!I43,'Scenario Selector'!N43)</f>
        <v/>
      </c>
    </row>
    <row r="39">
      <c r="B39" s="15" t="inlineStr">
        <is>
          <t>Business install fee</t>
        </is>
      </c>
      <c r="C39" s="21" t="inlineStr">
        <is>
          <t>$</t>
        </is>
      </c>
      <c r="D39" s="22" t="inlineStr">
        <is>
          <t>S</t>
        </is>
      </c>
      <c r="E39" s="27">
        <f>CHOOSE(SCEN,'Scenario Selector'!D44,'Scenario Selector'!I44,'Scenario Selector'!N44)</f>
        <v/>
      </c>
      <c r="F39" s="27">
        <f>CHOOSE(SCEN,'Scenario Selector'!D44,'Scenario Selector'!I44,'Scenario Selector'!N44)</f>
        <v/>
      </c>
      <c r="G39" s="27">
        <f>CHOOSE(SCEN,'Scenario Selector'!D44,'Scenario Selector'!I44,'Scenario Selector'!N44)</f>
        <v/>
      </c>
      <c r="H39" s="27">
        <f>CHOOSE(SCEN,'Scenario Selector'!D44,'Scenario Selector'!I44,'Scenario Selector'!N44)</f>
        <v/>
      </c>
      <c r="I39" s="27">
        <f>CHOOSE(SCEN,'Scenario Selector'!D44,'Scenario Selector'!I44,'Scenario Selector'!N44)</f>
        <v/>
      </c>
    </row>
    <row r="40">
      <c r="B40" s="15" t="inlineStr">
        <is>
          <t>Enterprise install fee</t>
        </is>
      </c>
      <c r="C40" s="21" t="inlineStr">
        <is>
          <t>$</t>
        </is>
      </c>
      <c r="D40" s="26" t="inlineStr">
        <is>
          <t>P</t>
        </is>
      </c>
      <c r="E40" s="27">
        <f>CHOOSE(SCEN,'Scenario Selector'!D45,'Scenario Selector'!I45,'Scenario Selector'!N45)</f>
        <v/>
      </c>
      <c r="F40" s="27">
        <f>CHOOSE(SCEN,'Scenario Selector'!D45,'Scenario Selector'!I45,'Scenario Selector'!N45)</f>
        <v/>
      </c>
      <c r="G40" s="27">
        <f>CHOOSE(SCEN,'Scenario Selector'!D45,'Scenario Selector'!I45,'Scenario Selector'!N45)</f>
        <v/>
      </c>
      <c r="H40" s="27">
        <f>CHOOSE(SCEN,'Scenario Selector'!D45,'Scenario Selector'!I45,'Scenario Selector'!N45)</f>
        <v/>
      </c>
      <c r="I40" s="27">
        <f>CHOOSE(SCEN,'Scenario Selector'!D45,'Scenario Selector'!I45,'Scenario Selector'!N45)</f>
        <v/>
      </c>
    </row>
    <row r="41">
      <c r="B41" s="15" t="inlineStr">
        <is>
          <t>Total headcount (EOY)</t>
        </is>
      </c>
      <c r="C41" s="21" t="inlineStr">
        <is>
          <t>FTE</t>
        </is>
      </c>
      <c r="D41" s="29" t="inlineStr">
        <is>
          <t>T</t>
        </is>
      </c>
      <c r="E41" s="23">
        <f>CHOOSE(SCEN,'Scenario Selector'!D46,'Scenario Selector'!I46,'Scenario Selector'!N46)</f>
        <v/>
      </c>
      <c r="F41" s="23">
        <f>CHOOSE(SCEN,'Scenario Selector'!E46,'Scenario Selector'!J46,'Scenario Selector'!O46)</f>
        <v/>
      </c>
      <c r="G41" s="23">
        <f>CHOOSE(SCEN,'Scenario Selector'!F46,'Scenario Selector'!K46,'Scenario Selector'!P46)</f>
        <v/>
      </c>
      <c r="H41" s="23">
        <f>CHOOSE(SCEN,'Scenario Selector'!G46,'Scenario Selector'!L46,'Scenario Selector'!Q46)</f>
        <v/>
      </c>
      <c r="I41" s="23">
        <f>CHOOSE(SCEN,'Scenario Selector'!H46,'Scenario Selector'!M46,'Scenario Selector'!R46)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46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4" customHeight="1">
      <c r="B1" s="1" t="inlineStr">
        <is>
          <t>Scenario Selector &amp; Driver Library</t>
        </is>
      </c>
    </row>
    <row r="2">
      <c r="B2" s="2" t="inlineStr">
        <is>
          <t>Pick the active scenario. All model tabs recompute from the Active column via CHOOSE().</t>
        </is>
      </c>
    </row>
    <row r="4">
      <c r="B4" s="8" t="inlineStr">
        <is>
          <t>ACTIVE SCENARIO →</t>
        </is>
      </c>
      <c r="C4" s="30" t="inlineStr">
        <is>
          <t>Base</t>
        </is>
      </c>
    </row>
    <row r="5">
      <c r="B5" s="31" t="inlineStr">
        <is>
          <t>Scenario index (1=Base 2=Cons 3=Aggr)</t>
        </is>
      </c>
      <c r="C5" s="14">
        <f>MATCH(C4,{"Base","Conservative","Aggressive"},0)</f>
        <v/>
      </c>
    </row>
    <row r="6">
      <c r="B6" s="8" t="inlineStr">
        <is>
          <t>Refresh treatment</t>
        </is>
      </c>
      <c r="C6" s="32" t="inlineStr">
        <is>
          <t>Inside $10M</t>
        </is>
      </c>
      <c r="E6" s="31" t="inlineStr">
        <is>
          <t>Base model = Inside. Adjustable model = Outside (+$400K/yr).</t>
        </is>
      </c>
    </row>
    <row r="9" ht="20" customHeight="1">
      <c r="B9" s="20" t="inlineStr">
        <is>
          <t>Driver</t>
        </is>
      </c>
      <c r="C9" s="20" t="inlineStr">
        <is>
          <t>Unit</t>
        </is>
      </c>
      <c r="D9" s="20" t="inlineStr">
        <is>
          <t>Base Y1</t>
        </is>
      </c>
      <c r="E9" s="20" t="inlineStr">
        <is>
          <t>Base Y2</t>
        </is>
      </c>
      <c r="F9" s="20" t="inlineStr">
        <is>
          <t>Base Y3</t>
        </is>
      </c>
      <c r="G9" s="20" t="inlineStr">
        <is>
          <t>Base Y4</t>
        </is>
      </c>
      <c r="H9" s="20" t="inlineStr">
        <is>
          <t>Base Y5</t>
        </is>
      </c>
      <c r="I9" s="20" t="inlineStr">
        <is>
          <t>Con Y1</t>
        </is>
      </c>
      <c r="J9" s="20" t="inlineStr">
        <is>
          <t>Con Y2</t>
        </is>
      </c>
      <c r="K9" s="20" t="inlineStr">
        <is>
          <t>Con Y3</t>
        </is>
      </c>
      <c r="L9" s="20" t="inlineStr">
        <is>
          <t>Con Y4</t>
        </is>
      </c>
      <c r="M9" s="20" t="inlineStr">
        <is>
          <t>Con Y5</t>
        </is>
      </c>
      <c r="N9" s="20" t="inlineStr">
        <is>
          <t>Agg Y1</t>
        </is>
      </c>
      <c r="O9" s="20" t="inlineStr">
        <is>
          <t>Agg Y2</t>
        </is>
      </c>
      <c r="P9" s="20" t="inlineStr">
        <is>
          <t>Agg Y3</t>
        </is>
      </c>
      <c r="Q9" s="20" t="inlineStr">
        <is>
          <t>Agg Y4</t>
        </is>
      </c>
      <c r="R9" s="20" t="inlineStr">
        <is>
          <t>Agg Y5</t>
        </is>
      </c>
    </row>
    <row r="10">
      <c r="B10" s="15" t="inlineStr">
        <is>
          <t>Residential opening subs (Jan-2027)</t>
        </is>
      </c>
      <c r="C10" s="21" t="inlineStr">
        <is>
          <t>subs</t>
        </is>
      </c>
      <c r="D10" s="33" t="n">
        <v>4450</v>
      </c>
      <c r="E10" s="33" t="n">
        <v>4450</v>
      </c>
      <c r="F10" s="33" t="n">
        <v>4450</v>
      </c>
      <c r="G10" s="33" t="n">
        <v>4450</v>
      </c>
      <c r="H10" s="33" t="n">
        <v>4450</v>
      </c>
      <c r="I10" s="33" t="n">
        <v>4450</v>
      </c>
      <c r="J10" s="33" t="n">
        <v>4450</v>
      </c>
      <c r="K10" s="33" t="n">
        <v>4450</v>
      </c>
      <c r="L10" s="33" t="n">
        <v>4450</v>
      </c>
      <c r="M10" s="33" t="n">
        <v>4450</v>
      </c>
      <c r="N10" s="33" t="n">
        <v>4450</v>
      </c>
      <c r="O10" s="33" t="n">
        <v>4450</v>
      </c>
      <c r="P10" s="33" t="n">
        <v>4450</v>
      </c>
      <c r="Q10" s="33" t="n">
        <v>4450</v>
      </c>
      <c r="R10" s="33" t="n">
        <v>4450</v>
      </c>
    </row>
    <row r="11">
      <c r="B11" s="15" t="inlineStr">
        <is>
          <t>Business opening subs</t>
        </is>
      </c>
      <c r="C11" s="21" t="inlineStr">
        <is>
          <t>subs</t>
        </is>
      </c>
      <c r="D11" s="33" t="n">
        <v>360</v>
      </c>
      <c r="E11" s="33" t="n">
        <v>360</v>
      </c>
      <c r="F11" s="33" t="n">
        <v>360</v>
      </c>
      <c r="G11" s="33" t="n">
        <v>360</v>
      </c>
      <c r="H11" s="33" t="n">
        <v>360</v>
      </c>
      <c r="I11" s="33" t="n">
        <v>360</v>
      </c>
      <c r="J11" s="33" t="n">
        <v>360</v>
      </c>
      <c r="K11" s="33" t="n">
        <v>360</v>
      </c>
      <c r="L11" s="33" t="n">
        <v>360</v>
      </c>
      <c r="M11" s="33" t="n">
        <v>360</v>
      </c>
      <c r="N11" s="33" t="n">
        <v>360</v>
      </c>
      <c r="O11" s="33" t="n">
        <v>360</v>
      </c>
      <c r="P11" s="33" t="n">
        <v>360</v>
      </c>
      <c r="Q11" s="33" t="n">
        <v>360</v>
      </c>
      <c r="R11" s="33" t="n">
        <v>360</v>
      </c>
    </row>
    <row r="12">
      <c r="B12" s="15" t="inlineStr">
        <is>
          <t>Enterprise/DIA opening subs</t>
        </is>
      </c>
      <c r="C12" s="21" t="inlineStr">
        <is>
          <t>subs</t>
        </is>
      </c>
      <c r="D12" s="33" t="n">
        <v>13</v>
      </c>
      <c r="E12" s="33" t="n">
        <v>13</v>
      </c>
      <c r="F12" s="33" t="n">
        <v>13</v>
      </c>
      <c r="G12" s="33" t="n">
        <v>13</v>
      </c>
      <c r="H12" s="33" t="n">
        <v>13</v>
      </c>
      <c r="I12" s="33" t="n">
        <v>13</v>
      </c>
      <c r="J12" s="33" t="n">
        <v>13</v>
      </c>
      <c r="K12" s="33" t="n">
        <v>13</v>
      </c>
      <c r="L12" s="33" t="n">
        <v>13</v>
      </c>
      <c r="M12" s="33" t="n">
        <v>13</v>
      </c>
      <c r="N12" s="33" t="n">
        <v>13</v>
      </c>
      <c r="O12" s="33" t="n">
        <v>13</v>
      </c>
      <c r="P12" s="33" t="n">
        <v>13</v>
      </c>
      <c r="Q12" s="33" t="n">
        <v>13</v>
      </c>
      <c r="R12" s="33" t="n">
        <v>13</v>
      </c>
    </row>
    <row r="13">
      <c r="B13" s="15" t="inlineStr">
        <is>
          <t>Voice opening subs</t>
        </is>
      </c>
      <c r="C13" s="21" t="inlineStr">
        <is>
          <t>subs</t>
        </is>
      </c>
      <c r="D13" s="33" t="n">
        <v>512</v>
      </c>
      <c r="E13" s="33" t="n">
        <v>512</v>
      </c>
      <c r="F13" s="33" t="n">
        <v>512</v>
      </c>
      <c r="G13" s="33" t="n">
        <v>512</v>
      </c>
      <c r="H13" s="33" t="n">
        <v>512</v>
      </c>
      <c r="I13" s="33" t="n">
        <v>512</v>
      </c>
      <c r="J13" s="33" t="n">
        <v>512</v>
      </c>
      <c r="K13" s="33" t="n">
        <v>512</v>
      </c>
      <c r="L13" s="33" t="n">
        <v>512</v>
      </c>
      <c r="M13" s="33" t="n">
        <v>512</v>
      </c>
      <c r="N13" s="33" t="n">
        <v>512</v>
      </c>
      <c r="O13" s="33" t="n">
        <v>512</v>
      </c>
      <c r="P13" s="33" t="n">
        <v>512</v>
      </c>
      <c r="Q13" s="33" t="n">
        <v>512</v>
      </c>
      <c r="R13" s="33" t="n">
        <v>512</v>
      </c>
    </row>
    <row r="14">
      <c r="B14" s="15" t="inlineStr">
        <is>
          <t>Residential gross adds</t>
        </is>
      </c>
      <c r="C14" s="21" t="inlineStr">
        <is>
          <t>subs/yr</t>
        </is>
      </c>
      <c r="D14" s="33" t="n">
        <v>1800</v>
      </c>
      <c r="E14" s="33" t="n">
        <v>2050</v>
      </c>
      <c r="F14" s="33" t="n">
        <v>2150</v>
      </c>
      <c r="G14" s="33" t="n">
        <v>2050</v>
      </c>
      <c r="H14" s="33" t="n">
        <v>1900</v>
      </c>
      <c r="I14" s="33" t="n">
        <v>1350</v>
      </c>
      <c r="J14" s="33" t="n">
        <v>1500</v>
      </c>
      <c r="K14" s="33" t="n">
        <v>1600</v>
      </c>
      <c r="L14" s="33" t="n">
        <v>1550</v>
      </c>
      <c r="M14" s="33" t="n">
        <v>1450</v>
      </c>
      <c r="N14" s="33" t="n">
        <v>2300</v>
      </c>
      <c r="O14" s="33" t="n">
        <v>2700</v>
      </c>
      <c r="P14" s="33" t="n">
        <v>2850</v>
      </c>
      <c r="Q14" s="33" t="n">
        <v>2750</v>
      </c>
      <c r="R14" s="33" t="n">
        <v>2550</v>
      </c>
    </row>
    <row r="15">
      <c r="B15" s="15" t="inlineStr">
        <is>
          <t>Business gross adds</t>
        </is>
      </c>
      <c r="C15" s="21" t="inlineStr">
        <is>
          <t>subs/yr</t>
        </is>
      </c>
      <c r="D15" s="33" t="n">
        <v>135</v>
      </c>
      <c r="E15" s="33" t="n">
        <v>160</v>
      </c>
      <c r="F15" s="33" t="n">
        <v>175</v>
      </c>
      <c r="G15" s="33" t="n">
        <v>175</v>
      </c>
      <c r="H15" s="33" t="n">
        <v>165</v>
      </c>
      <c r="I15" s="33" t="n">
        <v>100</v>
      </c>
      <c r="J15" s="33" t="n">
        <v>115</v>
      </c>
      <c r="K15" s="33" t="n">
        <v>125</v>
      </c>
      <c r="L15" s="33" t="n">
        <v>125</v>
      </c>
      <c r="M15" s="33" t="n">
        <v>120</v>
      </c>
      <c r="N15" s="33" t="n">
        <v>175</v>
      </c>
      <c r="O15" s="33" t="n">
        <v>205</v>
      </c>
      <c r="P15" s="33" t="n">
        <v>225</v>
      </c>
      <c r="Q15" s="33" t="n">
        <v>230</v>
      </c>
      <c r="R15" s="33" t="n">
        <v>215</v>
      </c>
    </row>
    <row r="16">
      <c r="B16" s="15" t="inlineStr">
        <is>
          <t>Enterprise gross adds</t>
        </is>
      </c>
      <c r="C16" s="21" t="inlineStr">
        <is>
          <t>subs/yr</t>
        </is>
      </c>
      <c r="D16" s="33" t="n">
        <v>6</v>
      </c>
      <c r="E16" s="33" t="n">
        <v>8</v>
      </c>
      <c r="F16" s="33" t="n">
        <v>9</v>
      </c>
      <c r="G16" s="33" t="n">
        <v>9</v>
      </c>
      <c r="H16" s="33" t="n">
        <v>8</v>
      </c>
      <c r="I16" s="33" t="n">
        <v>4</v>
      </c>
      <c r="J16" s="33" t="n">
        <v>5</v>
      </c>
      <c r="K16" s="33" t="n">
        <v>6</v>
      </c>
      <c r="L16" s="33" t="n">
        <v>6</v>
      </c>
      <c r="M16" s="33" t="n">
        <v>6</v>
      </c>
      <c r="N16" s="33" t="n">
        <v>8</v>
      </c>
      <c r="O16" s="33" t="n">
        <v>11</v>
      </c>
      <c r="P16" s="33" t="n">
        <v>12</v>
      </c>
      <c r="Q16" s="33" t="n">
        <v>13</v>
      </c>
      <c r="R16" s="33" t="n">
        <v>12</v>
      </c>
    </row>
    <row r="17">
      <c r="B17" s="15" t="inlineStr">
        <is>
          <t>Voice gross adds</t>
        </is>
      </c>
      <c r="C17" s="21" t="inlineStr">
        <is>
          <t>subs/yr</t>
        </is>
      </c>
      <c r="D17" s="33" t="n">
        <v>120</v>
      </c>
      <c r="E17" s="33" t="n">
        <v>130</v>
      </c>
      <c r="F17" s="33" t="n">
        <v>130</v>
      </c>
      <c r="G17" s="33" t="n">
        <v>120</v>
      </c>
      <c r="H17" s="33" t="n">
        <v>110</v>
      </c>
      <c r="I17" s="33" t="n">
        <v>95</v>
      </c>
      <c r="J17" s="33" t="n">
        <v>100</v>
      </c>
      <c r="K17" s="33" t="n">
        <v>100</v>
      </c>
      <c r="L17" s="33" t="n">
        <v>95</v>
      </c>
      <c r="M17" s="33" t="n">
        <v>85</v>
      </c>
      <c r="N17" s="33" t="n">
        <v>140</v>
      </c>
      <c r="O17" s="33" t="n">
        <v>150</v>
      </c>
      <c r="P17" s="33" t="n">
        <v>150</v>
      </c>
      <c r="Q17" s="33" t="n">
        <v>140</v>
      </c>
      <c r="R17" s="33" t="n">
        <v>130</v>
      </c>
    </row>
    <row r="18">
      <c r="B18" s="15" t="inlineStr">
        <is>
          <t>Residential churn (annual)</t>
        </is>
      </c>
      <c r="C18" s="21" t="inlineStr">
        <is>
          <t>%</t>
        </is>
      </c>
      <c r="D18" s="34" t="n">
        <v>0.11</v>
      </c>
      <c r="E18" s="34" t="n">
        <v>0.11</v>
      </c>
      <c r="F18" s="34" t="n">
        <v>0.11</v>
      </c>
      <c r="G18" s="34" t="n">
        <v>0.11</v>
      </c>
      <c r="H18" s="34" t="n">
        <v>0.11</v>
      </c>
      <c r="I18" s="34" t="n">
        <v>0.14</v>
      </c>
      <c r="J18" s="34" t="n">
        <v>0.14</v>
      </c>
      <c r="K18" s="34" t="n">
        <v>0.14</v>
      </c>
      <c r="L18" s="34" t="n">
        <v>0.14</v>
      </c>
      <c r="M18" s="34" t="n">
        <v>0.14</v>
      </c>
      <c r="N18" s="34" t="n">
        <v>0.09</v>
      </c>
      <c r="O18" s="34" t="n">
        <v>0.09</v>
      </c>
      <c r="P18" s="34" t="n">
        <v>0.09</v>
      </c>
      <c r="Q18" s="34" t="n">
        <v>0.09</v>
      </c>
      <c r="R18" s="34" t="n">
        <v>0.09</v>
      </c>
    </row>
    <row r="19">
      <c r="B19" s="15" t="inlineStr">
        <is>
          <t>Business churn (annual)</t>
        </is>
      </c>
      <c r="C19" s="21" t="inlineStr">
        <is>
          <t>%</t>
        </is>
      </c>
      <c r="D19" s="34" t="n">
        <v>0.08</v>
      </c>
      <c r="E19" s="34" t="n">
        <v>0.08</v>
      </c>
      <c r="F19" s="34" t="n">
        <v>0.08</v>
      </c>
      <c r="G19" s="34" t="n">
        <v>0.08</v>
      </c>
      <c r="H19" s="34" t="n">
        <v>0.08</v>
      </c>
      <c r="I19" s="34" t="n">
        <v>0.1</v>
      </c>
      <c r="J19" s="34" t="n">
        <v>0.1</v>
      </c>
      <c r="K19" s="34" t="n">
        <v>0.1</v>
      </c>
      <c r="L19" s="34" t="n">
        <v>0.1</v>
      </c>
      <c r="M19" s="34" t="n">
        <v>0.1</v>
      </c>
      <c r="N19" s="34" t="n">
        <v>0.065</v>
      </c>
      <c r="O19" s="34" t="n">
        <v>0.065</v>
      </c>
      <c r="P19" s="34" t="n">
        <v>0.065</v>
      </c>
      <c r="Q19" s="34" t="n">
        <v>0.065</v>
      </c>
      <c r="R19" s="34" t="n">
        <v>0.065</v>
      </c>
    </row>
    <row r="20">
      <c r="B20" s="15" t="inlineStr">
        <is>
          <t>Enterprise churn (annual)</t>
        </is>
      </c>
      <c r="C20" s="21" t="inlineStr">
        <is>
          <t>%</t>
        </is>
      </c>
      <c r="D20" s="34" t="n">
        <v>0.05</v>
      </c>
      <c r="E20" s="34" t="n">
        <v>0.05</v>
      </c>
      <c r="F20" s="34" t="n">
        <v>0.05</v>
      </c>
      <c r="G20" s="34" t="n">
        <v>0.05</v>
      </c>
      <c r="H20" s="34" t="n">
        <v>0.05</v>
      </c>
      <c r="I20" s="34" t="n">
        <v>0.07000000000000001</v>
      </c>
      <c r="J20" s="34" t="n">
        <v>0.07000000000000001</v>
      </c>
      <c r="K20" s="34" t="n">
        <v>0.07000000000000001</v>
      </c>
      <c r="L20" s="34" t="n">
        <v>0.07000000000000001</v>
      </c>
      <c r="M20" s="34" t="n">
        <v>0.07000000000000001</v>
      </c>
      <c r="N20" s="34" t="n">
        <v>0.04</v>
      </c>
      <c r="O20" s="34" t="n">
        <v>0.04</v>
      </c>
      <c r="P20" s="34" t="n">
        <v>0.04</v>
      </c>
      <c r="Q20" s="34" t="n">
        <v>0.04</v>
      </c>
      <c r="R20" s="34" t="n">
        <v>0.04</v>
      </c>
    </row>
    <row r="21">
      <c r="B21" s="15" t="inlineStr">
        <is>
          <t>Voice churn (annual)</t>
        </is>
      </c>
      <c r="C21" s="21" t="inlineStr">
        <is>
          <t>%</t>
        </is>
      </c>
      <c r="D21" s="34" t="n">
        <v>0.14</v>
      </c>
      <c r="E21" s="34" t="n">
        <v>0.14</v>
      </c>
      <c r="F21" s="34" t="n">
        <v>0.14</v>
      </c>
      <c r="G21" s="34" t="n">
        <v>0.14</v>
      </c>
      <c r="H21" s="34" t="n">
        <v>0.14</v>
      </c>
      <c r="I21" s="34" t="n">
        <v>0.17</v>
      </c>
      <c r="J21" s="34" t="n">
        <v>0.17</v>
      </c>
      <c r="K21" s="34" t="n">
        <v>0.17</v>
      </c>
      <c r="L21" s="34" t="n">
        <v>0.17</v>
      </c>
      <c r="M21" s="34" t="n">
        <v>0.17</v>
      </c>
      <c r="N21" s="34" t="n">
        <v>0.12</v>
      </c>
      <c r="O21" s="34" t="n">
        <v>0.12</v>
      </c>
      <c r="P21" s="34" t="n">
        <v>0.12</v>
      </c>
      <c r="Q21" s="34" t="n">
        <v>0.12</v>
      </c>
      <c r="R21" s="34" t="n">
        <v>0.12</v>
      </c>
    </row>
    <row r="22">
      <c r="B22" s="15" t="inlineStr">
        <is>
          <t>Residential ARPU (start)</t>
        </is>
      </c>
      <c r="C22" s="21" t="inlineStr">
        <is>
          <t>$/mo</t>
        </is>
      </c>
      <c r="D22" s="35" t="n">
        <v>74</v>
      </c>
      <c r="E22" s="35" t="n">
        <v>74</v>
      </c>
      <c r="F22" s="35" t="n">
        <v>74</v>
      </c>
      <c r="G22" s="35" t="n">
        <v>74</v>
      </c>
      <c r="H22" s="35" t="n">
        <v>74</v>
      </c>
      <c r="I22" s="35" t="n">
        <v>74</v>
      </c>
      <c r="J22" s="35" t="n">
        <v>74</v>
      </c>
      <c r="K22" s="35" t="n">
        <v>74</v>
      </c>
      <c r="L22" s="35" t="n">
        <v>74</v>
      </c>
      <c r="M22" s="35" t="n">
        <v>74</v>
      </c>
      <c r="N22" s="35" t="n">
        <v>74</v>
      </c>
      <c r="O22" s="35" t="n">
        <v>74</v>
      </c>
      <c r="P22" s="35" t="n">
        <v>74</v>
      </c>
      <c r="Q22" s="35" t="n">
        <v>74</v>
      </c>
      <c r="R22" s="35" t="n">
        <v>74</v>
      </c>
    </row>
    <row r="23">
      <c r="B23" s="15" t="inlineStr">
        <is>
          <t>Residential ARPU growth</t>
        </is>
      </c>
      <c r="C23" s="21" t="inlineStr">
        <is>
          <t>%</t>
        </is>
      </c>
      <c r="D23" s="34" t="n">
        <v>0.02</v>
      </c>
      <c r="E23" s="34" t="n">
        <v>0.02</v>
      </c>
      <c r="F23" s="34" t="n">
        <v>0.02</v>
      </c>
      <c r="G23" s="34" t="n">
        <v>0.02</v>
      </c>
      <c r="H23" s="34" t="n">
        <v>0.02</v>
      </c>
      <c r="I23" s="34" t="n">
        <v>0.01</v>
      </c>
      <c r="J23" s="34" t="n">
        <v>0.01</v>
      </c>
      <c r="K23" s="34" t="n">
        <v>0.01</v>
      </c>
      <c r="L23" s="34" t="n">
        <v>0.01</v>
      </c>
      <c r="M23" s="34" t="n">
        <v>0.01</v>
      </c>
      <c r="N23" s="34" t="n">
        <v>0.025</v>
      </c>
      <c r="O23" s="34" t="n">
        <v>0.025</v>
      </c>
      <c r="P23" s="34" t="n">
        <v>0.025</v>
      </c>
      <c r="Q23" s="34" t="n">
        <v>0.025</v>
      </c>
      <c r="R23" s="34" t="n">
        <v>0.025</v>
      </c>
    </row>
    <row r="24">
      <c r="B24" s="15" t="inlineStr">
        <is>
          <t>Business ARPU (start)</t>
        </is>
      </c>
      <c r="C24" s="21" t="inlineStr">
        <is>
          <t>$/mo</t>
        </is>
      </c>
      <c r="D24" s="35" t="n">
        <v>149</v>
      </c>
      <c r="E24" s="35" t="n">
        <v>149</v>
      </c>
      <c r="F24" s="35" t="n">
        <v>149</v>
      </c>
      <c r="G24" s="35" t="n">
        <v>149</v>
      </c>
      <c r="H24" s="35" t="n">
        <v>149</v>
      </c>
      <c r="I24" s="35" t="n">
        <v>149</v>
      </c>
      <c r="J24" s="35" t="n">
        <v>149</v>
      </c>
      <c r="K24" s="35" t="n">
        <v>149</v>
      </c>
      <c r="L24" s="35" t="n">
        <v>149</v>
      </c>
      <c r="M24" s="35" t="n">
        <v>149</v>
      </c>
      <c r="N24" s="35" t="n">
        <v>149</v>
      </c>
      <c r="O24" s="35" t="n">
        <v>149</v>
      </c>
      <c r="P24" s="35" t="n">
        <v>149</v>
      </c>
      <c r="Q24" s="35" t="n">
        <v>149</v>
      </c>
      <c r="R24" s="35" t="n">
        <v>149</v>
      </c>
    </row>
    <row r="25">
      <c r="B25" s="15" t="inlineStr">
        <is>
          <t>Business ARPU growth</t>
        </is>
      </c>
      <c r="C25" s="21" t="inlineStr">
        <is>
          <t>%</t>
        </is>
      </c>
      <c r="D25" s="34" t="n">
        <v>0.025</v>
      </c>
      <c r="E25" s="34" t="n">
        <v>0.025</v>
      </c>
      <c r="F25" s="34" t="n">
        <v>0.025</v>
      </c>
      <c r="G25" s="34" t="n">
        <v>0.025</v>
      </c>
      <c r="H25" s="34" t="n">
        <v>0.025</v>
      </c>
      <c r="I25" s="34" t="n">
        <v>0.015</v>
      </c>
      <c r="J25" s="34" t="n">
        <v>0.015</v>
      </c>
      <c r="K25" s="34" t="n">
        <v>0.015</v>
      </c>
      <c r="L25" s="34" t="n">
        <v>0.015</v>
      </c>
      <c r="M25" s="34" t="n">
        <v>0.015</v>
      </c>
      <c r="N25" s="34" t="n">
        <v>0.03</v>
      </c>
      <c r="O25" s="34" t="n">
        <v>0.03</v>
      </c>
      <c r="P25" s="34" t="n">
        <v>0.03</v>
      </c>
      <c r="Q25" s="34" t="n">
        <v>0.03</v>
      </c>
      <c r="R25" s="34" t="n">
        <v>0.03</v>
      </c>
    </row>
    <row r="26">
      <c r="B26" s="15" t="inlineStr">
        <is>
          <t>Enterprise ARPU (start)</t>
        </is>
      </c>
      <c r="C26" s="21" t="inlineStr">
        <is>
          <t>$/mo</t>
        </is>
      </c>
      <c r="D26" s="35" t="n">
        <v>850</v>
      </c>
      <c r="E26" s="35" t="n">
        <v>850</v>
      </c>
      <c r="F26" s="35" t="n">
        <v>850</v>
      </c>
      <c r="G26" s="35" t="n">
        <v>850</v>
      </c>
      <c r="H26" s="35" t="n">
        <v>850</v>
      </c>
      <c r="I26" s="35" t="n">
        <v>850</v>
      </c>
      <c r="J26" s="35" t="n">
        <v>850</v>
      </c>
      <c r="K26" s="35" t="n">
        <v>850</v>
      </c>
      <c r="L26" s="35" t="n">
        <v>850</v>
      </c>
      <c r="M26" s="35" t="n">
        <v>850</v>
      </c>
      <c r="N26" s="35" t="n">
        <v>850</v>
      </c>
      <c r="O26" s="35" t="n">
        <v>850</v>
      </c>
      <c r="P26" s="35" t="n">
        <v>850</v>
      </c>
      <c r="Q26" s="35" t="n">
        <v>850</v>
      </c>
      <c r="R26" s="35" t="n">
        <v>850</v>
      </c>
    </row>
    <row r="27">
      <c r="B27" s="15" t="inlineStr">
        <is>
          <t>Enterprise ARPU growth</t>
        </is>
      </c>
      <c r="C27" s="21" t="inlineStr">
        <is>
          <t>%</t>
        </is>
      </c>
      <c r="D27" s="34" t="n">
        <v>0.02</v>
      </c>
      <c r="E27" s="34" t="n">
        <v>0.02</v>
      </c>
      <c r="F27" s="34" t="n">
        <v>0.02</v>
      </c>
      <c r="G27" s="34" t="n">
        <v>0.02</v>
      </c>
      <c r="H27" s="34" t="n">
        <v>0.02</v>
      </c>
      <c r="I27" s="34" t="n">
        <v>0.02</v>
      </c>
      <c r="J27" s="34" t="n">
        <v>0.02</v>
      </c>
      <c r="K27" s="34" t="n">
        <v>0.02</v>
      </c>
      <c r="L27" s="34" t="n">
        <v>0.02</v>
      </c>
      <c r="M27" s="34" t="n">
        <v>0.02</v>
      </c>
      <c r="N27" s="34" t="n">
        <v>0.02</v>
      </c>
      <c r="O27" s="34" t="n">
        <v>0.02</v>
      </c>
      <c r="P27" s="34" t="n">
        <v>0.02</v>
      </c>
      <c r="Q27" s="34" t="n">
        <v>0.02</v>
      </c>
      <c r="R27" s="34" t="n">
        <v>0.02</v>
      </c>
    </row>
    <row r="28">
      <c r="B28" s="15" t="inlineStr">
        <is>
          <t>Voice ARPU (start)</t>
        </is>
      </c>
      <c r="C28" s="21" t="inlineStr">
        <is>
          <t>$/mo</t>
        </is>
      </c>
      <c r="D28" s="35" t="n">
        <v>32</v>
      </c>
      <c r="E28" s="35" t="n">
        <v>32</v>
      </c>
      <c r="F28" s="35" t="n">
        <v>32</v>
      </c>
      <c r="G28" s="35" t="n">
        <v>32</v>
      </c>
      <c r="H28" s="35" t="n">
        <v>32</v>
      </c>
      <c r="I28" s="35" t="n">
        <v>32</v>
      </c>
      <c r="J28" s="35" t="n">
        <v>32</v>
      </c>
      <c r="K28" s="35" t="n">
        <v>32</v>
      </c>
      <c r="L28" s="35" t="n">
        <v>32</v>
      </c>
      <c r="M28" s="35" t="n">
        <v>32</v>
      </c>
      <c r="N28" s="35" t="n">
        <v>32</v>
      </c>
      <c r="O28" s="35" t="n">
        <v>32</v>
      </c>
      <c r="P28" s="35" t="n">
        <v>32</v>
      </c>
      <c r="Q28" s="35" t="n">
        <v>32</v>
      </c>
      <c r="R28" s="35" t="n">
        <v>32</v>
      </c>
    </row>
    <row r="29">
      <c r="B29" s="15" t="inlineStr">
        <is>
          <t>Voice ARPU growth</t>
        </is>
      </c>
      <c r="C29" s="21" t="inlineStr">
        <is>
          <t>%</t>
        </is>
      </c>
      <c r="D29" s="34" t="n">
        <v>0.01</v>
      </c>
      <c r="E29" s="34" t="n">
        <v>0.01</v>
      </c>
      <c r="F29" s="34" t="n">
        <v>0.01</v>
      </c>
      <c r="G29" s="34" t="n">
        <v>0.01</v>
      </c>
      <c r="H29" s="34" t="n">
        <v>0.01</v>
      </c>
      <c r="I29" s="34" t="n">
        <v>0.01</v>
      </c>
      <c r="J29" s="34" t="n">
        <v>0.01</v>
      </c>
      <c r="K29" s="34" t="n">
        <v>0.01</v>
      </c>
      <c r="L29" s="34" t="n">
        <v>0.01</v>
      </c>
      <c r="M29" s="34" t="n">
        <v>0.01</v>
      </c>
      <c r="N29" s="34" t="n">
        <v>0.01</v>
      </c>
      <c r="O29" s="34" t="n">
        <v>0.01</v>
      </c>
      <c r="P29" s="34" t="n">
        <v>0.01</v>
      </c>
      <c r="Q29" s="34" t="n">
        <v>0.01</v>
      </c>
      <c r="R29" s="34" t="n">
        <v>0.01</v>
      </c>
    </row>
    <row r="30">
      <c r="B30" s="15" t="inlineStr">
        <is>
          <t>Residential passings (opening)</t>
        </is>
      </c>
      <c r="C30" s="21" t="inlineStr">
        <is>
          <t>HP</t>
        </is>
      </c>
      <c r="D30" s="33" t="n">
        <v>11000</v>
      </c>
      <c r="E30" s="33" t="n">
        <v>11000</v>
      </c>
      <c r="F30" s="33" t="n">
        <v>11000</v>
      </c>
      <c r="G30" s="33" t="n">
        <v>11000</v>
      </c>
      <c r="H30" s="33" t="n">
        <v>11000</v>
      </c>
      <c r="I30" s="33" t="n">
        <v>11000</v>
      </c>
      <c r="J30" s="33" t="n">
        <v>11000</v>
      </c>
      <c r="K30" s="33" t="n">
        <v>11000</v>
      </c>
      <c r="L30" s="33" t="n">
        <v>11000</v>
      </c>
      <c r="M30" s="33" t="n">
        <v>11000</v>
      </c>
      <c r="N30" s="33" t="n">
        <v>11000</v>
      </c>
      <c r="O30" s="33" t="n">
        <v>11000</v>
      </c>
      <c r="P30" s="33" t="n">
        <v>11000</v>
      </c>
      <c r="Q30" s="33" t="n">
        <v>11000</v>
      </c>
      <c r="R30" s="33" t="n">
        <v>11000</v>
      </c>
    </row>
    <row r="31">
      <c r="B31" s="15" t="inlineStr">
        <is>
          <t>Business passings (opening)</t>
        </is>
      </c>
      <c r="C31" s="21" t="inlineStr">
        <is>
          <t>BP</t>
        </is>
      </c>
      <c r="D31" s="33" t="n">
        <v>1250</v>
      </c>
      <c r="E31" s="33" t="n">
        <v>1250</v>
      </c>
      <c r="F31" s="33" t="n">
        <v>1250</v>
      </c>
      <c r="G31" s="33" t="n">
        <v>1250</v>
      </c>
      <c r="H31" s="33" t="n">
        <v>1250</v>
      </c>
      <c r="I31" s="33" t="n">
        <v>1250</v>
      </c>
      <c r="J31" s="33" t="n">
        <v>1250</v>
      </c>
      <c r="K31" s="33" t="n">
        <v>1250</v>
      </c>
      <c r="L31" s="33" t="n">
        <v>1250</v>
      </c>
      <c r="M31" s="33" t="n">
        <v>1250</v>
      </c>
      <c r="N31" s="33" t="n">
        <v>1250</v>
      </c>
      <c r="O31" s="33" t="n">
        <v>1250</v>
      </c>
      <c r="P31" s="33" t="n">
        <v>1250</v>
      </c>
      <c r="Q31" s="33" t="n">
        <v>1250</v>
      </c>
      <c r="R31" s="33" t="n">
        <v>1250</v>
      </c>
    </row>
    <row r="32">
      <c r="B32" s="15" t="inlineStr">
        <is>
          <t>New residential passings</t>
        </is>
      </c>
      <c r="C32" s="21" t="inlineStr">
        <is>
          <t>HP/yr</t>
        </is>
      </c>
      <c r="D32" s="33" t="n">
        <v>4500</v>
      </c>
      <c r="E32" s="33" t="n">
        <v>4200</v>
      </c>
      <c r="F32" s="33" t="n">
        <v>3900</v>
      </c>
      <c r="G32" s="33" t="n">
        <v>3600</v>
      </c>
      <c r="H32" s="33" t="n">
        <v>3300</v>
      </c>
      <c r="I32" s="33" t="n">
        <v>3600</v>
      </c>
      <c r="J32" s="33" t="n">
        <v>3400</v>
      </c>
      <c r="K32" s="33" t="n">
        <v>3200</v>
      </c>
      <c r="L32" s="33" t="n">
        <v>3000</v>
      </c>
      <c r="M32" s="33" t="n">
        <v>2800</v>
      </c>
      <c r="N32" s="33" t="n">
        <v>5400</v>
      </c>
      <c r="O32" s="33" t="n">
        <v>5100</v>
      </c>
      <c r="P32" s="33" t="n">
        <v>4700</v>
      </c>
      <c r="Q32" s="33" t="n">
        <v>4300</v>
      </c>
      <c r="R32" s="33" t="n">
        <v>3900</v>
      </c>
    </row>
    <row r="33">
      <c r="B33" s="15" t="inlineStr">
        <is>
          <t>New business passings</t>
        </is>
      </c>
      <c r="C33" s="21" t="inlineStr">
        <is>
          <t>BP/yr</t>
        </is>
      </c>
      <c r="D33" s="33" t="n">
        <v>300</v>
      </c>
      <c r="E33" s="33" t="n">
        <v>300</v>
      </c>
      <c r="F33" s="33" t="n">
        <v>275</v>
      </c>
      <c r="G33" s="33" t="n">
        <v>250</v>
      </c>
      <c r="H33" s="33" t="n">
        <v>225</v>
      </c>
      <c r="I33" s="33" t="n">
        <v>240</v>
      </c>
      <c r="J33" s="33" t="n">
        <v>240</v>
      </c>
      <c r="K33" s="33" t="n">
        <v>220</v>
      </c>
      <c r="L33" s="33" t="n">
        <v>200</v>
      </c>
      <c r="M33" s="33" t="n">
        <v>180</v>
      </c>
      <c r="N33" s="33" t="n">
        <v>360</v>
      </c>
      <c r="O33" s="33" t="n">
        <v>360</v>
      </c>
      <c r="P33" s="33" t="n">
        <v>330</v>
      </c>
      <c r="Q33" s="33" t="n">
        <v>300</v>
      </c>
      <c r="R33" s="33" t="n">
        <v>270</v>
      </c>
    </row>
    <row r="34">
      <c r="B34" s="15" t="inlineStr">
        <is>
          <t>Capital deployment fraction</t>
        </is>
      </c>
      <c r="C34" s="21" t="inlineStr">
        <is>
          <t>%</t>
        </is>
      </c>
      <c r="D34" s="34" t="n">
        <v>0.96</v>
      </c>
      <c r="E34" s="34" t="n">
        <v>0.98</v>
      </c>
      <c r="F34" s="34" t="n">
        <v>1</v>
      </c>
      <c r="G34" s="34" t="n">
        <v>0.98</v>
      </c>
      <c r="H34" s="34" t="n">
        <v>0.97</v>
      </c>
      <c r="I34" s="34" t="n">
        <v>0.85</v>
      </c>
      <c r="J34" s="34" t="n">
        <v>0.88</v>
      </c>
      <c r="K34" s="34" t="n">
        <v>0.9</v>
      </c>
      <c r="L34" s="34" t="n">
        <v>0.9</v>
      </c>
      <c r="M34" s="34" t="n">
        <v>0.9</v>
      </c>
      <c r="N34" s="34" t="n">
        <v>1</v>
      </c>
      <c r="O34" s="34" t="n">
        <v>1</v>
      </c>
      <c r="P34" s="34" t="n">
        <v>1</v>
      </c>
      <c r="Q34" s="34" t="n">
        <v>1</v>
      </c>
      <c r="R34" s="34" t="n">
        <v>1</v>
      </c>
    </row>
    <row r="35">
      <c r="B35" s="15" t="inlineStr">
        <is>
          <t>Construction cost / passing</t>
        </is>
      </c>
      <c r="C35" s="21" t="inlineStr">
        <is>
          <t>$</t>
        </is>
      </c>
      <c r="D35" s="36" t="n">
        <v>1200</v>
      </c>
      <c r="E35" s="36" t="n">
        <v>1200</v>
      </c>
      <c r="F35" s="36" t="n">
        <v>1200</v>
      </c>
      <c r="G35" s="36" t="n">
        <v>1200</v>
      </c>
      <c r="H35" s="36" t="n">
        <v>1200</v>
      </c>
      <c r="I35" s="36" t="n">
        <v>1400</v>
      </c>
      <c r="J35" s="36" t="n">
        <v>1400</v>
      </c>
      <c r="K35" s="36" t="n">
        <v>1400</v>
      </c>
      <c r="L35" s="36" t="n">
        <v>1400</v>
      </c>
      <c r="M35" s="36" t="n">
        <v>1400</v>
      </c>
      <c r="N35" s="36" t="n">
        <v>1100</v>
      </c>
      <c r="O35" s="36" t="n">
        <v>1100</v>
      </c>
      <c r="P35" s="36" t="n">
        <v>1100</v>
      </c>
      <c r="Q35" s="36" t="n">
        <v>1100</v>
      </c>
      <c r="R35" s="36" t="n">
        <v>1100</v>
      </c>
    </row>
    <row r="36">
      <c r="B36" s="15" t="inlineStr">
        <is>
          <t>Marketing per gross add</t>
        </is>
      </c>
      <c r="C36" s="21" t="inlineStr">
        <is>
          <t>$</t>
        </is>
      </c>
      <c r="D36" s="36" t="n">
        <v>145</v>
      </c>
      <c r="E36" s="36" t="n">
        <v>145</v>
      </c>
      <c r="F36" s="36" t="n">
        <v>145</v>
      </c>
      <c r="G36" s="36" t="n">
        <v>145</v>
      </c>
      <c r="H36" s="36" t="n">
        <v>145</v>
      </c>
      <c r="I36" s="36" t="n">
        <v>175</v>
      </c>
      <c r="J36" s="36" t="n">
        <v>175</v>
      </c>
      <c r="K36" s="36" t="n">
        <v>175</v>
      </c>
      <c r="L36" s="36" t="n">
        <v>175</v>
      </c>
      <c r="M36" s="36" t="n">
        <v>175</v>
      </c>
      <c r="N36" s="36" t="n">
        <v>210</v>
      </c>
      <c r="O36" s="36" t="n">
        <v>210</v>
      </c>
      <c r="P36" s="36" t="n">
        <v>210</v>
      </c>
      <c r="Q36" s="36" t="n">
        <v>210</v>
      </c>
      <c r="R36" s="36" t="n">
        <v>210</v>
      </c>
    </row>
    <row r="37">
      <c r="B37" s="15" t="inlineStr">
        <is>
          <t>OpEx inflation</t>
        </is>
      </c>
      <c r="C37" s="21" t="inlineStr">
        <is>
          <t>%</t>
        </is>
      </c>
      <c r="D37" s="34" t="n">
        <v>0.03</v>
      </c>
      <c r="E37" s="34" t="n">
        <v>0.03</v>
      </c>
      <c r="F37" s="34" t="n">
        <v>0.03</v>
      </c>
      <c r="G37" s="34" t="n">
        <v>0.03</v>
      </c>
      <c r="H37" s="34" t="n">
        <v>0.03</v>
      </c>
      <c r="I37" s="34" t="n">
        <v>0.04</v>
      </c>
      <c r="J37" s="34" t="n">
        <v>0.04</v>
      </c>
      <c r="K37" s="34" t="n">
        <v>0.04</v>
      </c>
      <c r="L37" s="34" t="n">
        <v>0.04</v>
      </c>
      <c r="M37" s="34" t="n">
        <v>0.04</v>
      </c>
      <c r="N37" s="34" t="n">
        <v>0.03</v>
      </c>
      <c r="O37" s="34" t="n">
        <v>0.03</v>
      </c>
      <c r="P37" s="34" t="n">
        <v>0.03</v>
      </c>
      <c r="Q37" s="34" t="n">
        <v>0.03</v>
      </c>
      <c r="R37" s="34" t="n">
        <v>0.03</v>
      </c>
    </row>
    <row r="38">
      <c r="B38" s="15" t="inlineStr">
        <is>
          <t>OpEx efficiency multiplier</t>
        </is>
      </c>
      <c r="C38" s="21" t="inlineStr">
        <is>
          <t>x</t>
        </is>
      </c>
      <c r="D38" s="37" t="n">
        <v>1</v>
      </c>
      <c r="E38" s="37" t="n">
        <v>1</v>
      </c>
      <c r="F38" s="37" t="n">
        <v>1</v>
      </c>
      <c r="G38" s="37" t="n">
        <v>1</v>
      </c>
      <c r="H38" s="37" t="n">
        <v>1</v>
      </c>
      <c r="I38" s="37" t="n">
        <v>1.06</v>
      </c>
      <c r="J38" s="37" t="n">
        <v>1.06</v>
      </c>
      <c r="K38" s="37" t="n">
        <v>1.06</v>
      </c>
      <c r="L38" s="37" t="n">
        <v>1.06</v>
      </c>
      <c r="M38" s="37" t="n">
        <v>1.06</v>
      </c>
      <c r="N38" s="37" t="n">
        <v>0.98</v>
      </c>
      <c r="O38" s="37" t="n">
        <v>0.98</v>
      </c>
      <c r="P38" s="37" t="n">
        <v>0.98</v>
      </c>
      <c r="Q38" s="37" t="n">
        <v>0.98</v>
      </c>
      <c r="R38" s="37" t="n">
        <v>0.98</v>
      </c>
    </row>
    <row r="39">
      <c r="B39" s="15" t="inlineStr">
        <is>
          <t>Managed Wi-Fi attach</t>
        </is>
      </c>
      <c r="C39" s="21" t="inlineStr">
        <is>
          <t>%</t>
        </is>
      </c>
      <c r="D39" s="34" t="n">
        <v>0.35</v>
      </c>
      <c r="E39" s="34" t="n">
        <v>0.35</v>
      </c>
      <c r="F39" s="34" t="n">
        <v>0.35</v>
      </c>
      <c r="G39" s="34" t="n">
        <v>0.35</v>
      </c>
      <c r="H39" s="34" t="n">
        <v>0.35</v>
      </c>
      <c r="I39" s="34" t="n">
        <v>0.28</v>
      </c>
      <c r="J39" s="34" t="n">
        <v>0.28</v>
      </c>
      <c r="K39" s="34" t="n">
        <v>0.28</v>
      </c>
      <c r="L39" s="34" t="n">
        <v>0.28</v>
      </c>
      <c r="M39" s="34" t="n">
        <v>0.28</v>
      </c>
      <c r="N39" s="34" t="n">
        <v>0.42</v>
      </c>
      <c r="O39" s="34" t="n">
        <v>0.42</v>
      </c>
      <c r="P39" s="34" t="n">
        <v>0.42</v>
      </c>
      <c r="Q39" s="34" t="n">
        <v>0.42</v>
      </c>
      <c r="R39" s="34" t="n">
        <v>0.42</v>
      </c>
    </row>
    <row r="40">
      <c r="B40" s="15" t="inlineStr">
        <is>
          <t>Managed Wi-Fi price</t>
        </is>
      </c>
      <c r="C40" s="21" t="inlineStr">
        <is>
          <t>$/mo</t>
        </is>
      </c>
      <c r="D40" s="35" t="n">
        <v>10</v>
      </c>
      <c r="E40" s="35" t="n">
        <v>10</v>
      </c>
      <c r="F40" s="35" t="n">
        <v>10</v>
      </c>
      <c r="G40" s="35" t="n">
        <v>10</v>
      </c>
      <c r="H40" s="35" t="n">
        <v>10</v>
      </c>
      <c r="I40" s="35" t="n">
        <v>10</v>
      </c>
      <c r="J40" s="35" t="n">
        <v>10</v>
      </c>
      <c r="K40" s="35" t="n">
        <v>10</v>
      </c>
      <c r="L40" s="35" t="n">
        <v>10</v>
      </c>
      <c r="M40" s="35" t="n">
        <v>10</v>
      </c>
      <c r="N40" s="35" t="n">
        <v>10</v>
      </c>
      <c r="O40" s="35" t="n">
        <v>10</v>
      </c>
      <c r="P40" s="35" t="n">
        <v>10</v>
      </c>
      <c r="Q40" s="35" t="n">
        <v>10</v>
      </c>
      <c r="R40" s="35" t="n">
        <v>10</v>
      </c>
    </row>
    <row r="41">
      <c r="B41" s="15" t="inlineStr">
        <is>
          <t>Static IP attach (biz)</t>
        </is>
      </c>
      <c r="C41" s="21" t="inlineStr">
        <is>
          <t>%</t>
        </is>
      </c>
      <c r="D41" s="34" t="n">
        <v>0.3</v>
      </c>
      <c r="E41" s="34" t="n">
        <v>0.3</v>
      </c>
      <c r="F41" s="34" t="n">
        <v>0.3</v>
      </c>
      <c r="G41" s="34" t="n">
        <v>0.3</v>
      </c>
      <c r="H41" s="34" t="n">
        <v>0.3</v>
      </c>
      <c r="I41" s="34" t="n">
        <v>0.25</v>
      </c>
      <c r="J41" s="34" t="n">
        <v>0.25</v>
      </c>
      <c r="K41" s="34" t="n">
        <v>0.25</v>
      </c>
      <c r="L41" s="34" t="n">
        <v>0.25</v>
      </c>
      <c r="M41" s="34" t="n">
        <v>0.25</v>
      </c>
      <c r="N41" s="34" t="n">
        <v>0.35</v>
      </c>
      <c r="O41" s="34" t="n">
        <v>0.35</v>
      </c>
      <c r="P41" s="34" t="n">
        <v>0.35</v>
      </c>
      <c r="Q41" s="34" t="n">
        <v>0.35</v>
      </c>
      <c r="R41" s="34" t="n">
        <v>0.35</v>
      </c>
    </row>
    <row r="42">
      <c r="B42" s="15" t="inlineStr">
        <is>
          <t>Static IP price</t>
        </is>
      </c>
      <c r="C42" s="21" t="inlineStr">
        <is>
          <t>$/mo</t>
        </is>
      </c>
      <c r="D42" s="35" t="n">
        <v>15</v>
      </c>
      <c r="E42" s="35" t="n">
        <v>15</v>
      </c>
      <c r="F42" s="35" t="n">
        <v>15</v>
      </c>
      <c r="G42" s="35" t="n">
        <v>15</v>
      </c>
      <c r="H42" s="35" t="n">
        <v>15</v>
      </c>
      <c r="I42" s="35" t="n">
        <v>15</v>
      </c>
      <c r="J42" s="35" t="n">
        <v>15</v>
      </c>
      <c r="K42" s="35" t="n">
        <v>15</v>
      </c>
      <c r="L42" s="35" t="n">
        <v>15</v>
      </c>
      <c r="M42" s="35" t="n">
        <v>15</v>
      </c>
      <c r="N42" s="35" t="n">
        <v>15</v>
      </c>
      <c r="O42" s="35" t="n">
        <v>15</v>
      </c>
      <c r="P42" s="35" t="n">
        <v>15</v>
      </c>
      <c r="Q42" s="35" t="n">
        <v>15</v>
      </c>
      <c r="R42" s="35" t="n">
        <v>15</v>
      </c>
    </row>
    <row r="43">
      <c r="B43" s="15" t="inlineStr">
        <is>
          <t>Residential install fee</t>
        </is>
      </c>
      <c r="C43" s="21" t="inlineStr">
        <is>
          <t>$</t>
        </is>
      </c>
      <c r="D43" s="36" t="n">
        <v>60</v>
      </c>
      <c r="E43" s="36" t="n">
        <v>60</v>
      </c>
      <c r="F43" s="36" t="n">
        <v>60</v>
      </c>
      <c r="G43" s="36" t="n">
        <v>60</v>
      </c>
      <c r="H43" s="36" t="n">
        <v>60</v>
      </c>
      <c r="I43" s="36" t="n">
        <v>60</v>
      </c>
      <c r="J43" s="36" t="n">
        <v>60</v>
      </c>
      <c r="K43" s="36" t="n">
        <v>60</v>
      </c>
      <c r="L43" s="36" t="n">
        <v>60</v>
      </c>
      <c r="M43" s="36" t="n">
        <v>60</v>
      </c>
      <c r="N43" s="36" t="n">
        <v>60</v>
      </c>
      <c r="O43" s="36" t="n">
        <v>60</v>
      </c>
      <c r="P43" s="36" t="n">
        <v>60</v>
      </c>
      <c r="Q43" s="36" t="n">
        <v>60</v>
      </c>
      <c r="R43" s="36" t="n">
        <v>60</v>
      </c>
    </row>
    <row r="44">
      <c r="B44" s="15" t="inlineStr">
        <is>
          <t>Business install fee</t>
        </is>
      </c>
      <c r="C44" s="21" t="inlineStr">
        <is>
          <t>$</t>
        </is>
      </c>
      <c r="D44" s="36" t="n">
        <v>250</v>
      </c>
      <c r="E44" s="36" t="n">
        <v>250</v>
      </c>
      <c r="F44" s="36" t="n">
        <v>250</v>
      </c>
      <c r="G44" s="36" t="n">
        <v>250</v>
      </c>
      <c r="H44" s="36" t="n">
        <v>250</v>
      </c>
      <c r="I44" s="36" t="n">
        <v>250</v>
      </c>
      <c r="J44" s="36" t="n">
        <v>250</v>
      </c>
      <c r="K44" s="36" t="n">
        <v>250</v>
      </c>
      <c r="L44" s="36" t="n">
        <v>250</v>
      </c>
      <c r="M44" s="36" t="n">
        <v>250</v>
      </c>
      <c r="N44" s="36" t="n">
        <v>250</v>
      </c>
      <c r="O44" s="36" t="n">
        <v>250</v>
      </c>
      <c r="P44" s="36" t="n">
        <v>250</v>
      </c>
      <c r="Q44" s="36" t="n">
        <v>250</v>
      </c>
      <c r="R44" s="36" t="n">
        <v>250</v>
      </c>
    </row>
    <row r="45">
      <c r="B45" s="15" t="inlineStr">
        <is>
          <t>Enterprise install fee</t>
        </is>
      </c>
      <c r="C45" s="21" t="inlineStr">
        <is>
          <t>$</t>
        </is>
      </c>
      <c r="D45" s="36" t="n">
        <v>1500</v>
      </c>
      <c r="E45" s="36" t="n">
        <v>1500</v>
      </c>
      <c r="F45" s="36" t="n">
        <v>1500</v>
      </c>
      <c r="G45" s="36" t="n">
        <v>1500</v>
      </c>
      <c r="H45" s="36" t="n">
        <v>1500</v>
      </c>
      <c r="I45" s="36" t="n">
        <v>1500</v>
      </c>
      <c r="J45" s="36" t="n">
        <v>1500</v>
      </c>
      <c r="K45" s="36" t="n">
        <v>1500</v>
      </c>
      <c r="L45" s="36" t="n">
        <v>1500</v>
      </c>
      <c r="M45" s="36" t="n">
        <v>1500</v>
      </c>
      <c r="N45" s="36" t="n">
        <v>1500</v>
      </c>
      <c r="O45" s="36" t="n">
        <v>1500</v>
      </c>
      <c r="P45" s="36" t="n">
        <v>1500</v>
      </c>
      <c r="Q45" s="36" t="n">
        <v>1500</v>
      </c>
      <c r="R45" s="36" t="n">
        <v>1500</v>
      </c>
    </row>
    <row r="46">
      <c r="B46" s="15" t="inlineStr">
        <is>
          <t>Total headcount (EOY)</t>
        </is>
      </c>
      <c r="C46" s="21" t="inlineStr">
        <is>
          <t>FTE</t>
        </is>
      </c>
      <c r="D46" s="33" t="n">
        <v>21</v>
      </c>
      <c r="E46" s="33" t="n">
        <v>26</v>
      </c>
      <c r="F46" s="33" t="n">
        <v>31</v>
      </c>
      <c r="G46" s="33" t="n">
        <v>35</v>
      </c>
      <c r="H46" s="33" t="n">
        <v>39</v>
      </c>
      <c r="I46" s="33" t="n">
        <v>20</v>
      </c>
      <c r="J46" s="33" t="n">
        <v>23</v>
      </c>
      <c r="K46" s="33" t="n">
        <v>27</v>
      </c>
      <c r="L46" s="33" t="n">
        <v>30</v>
      </c>
      <c r="M46" s="33" t="n">
        <v>33</v>
      </c>
      <c r="N46" s="33" t="n">
        <v>23</v>
      </c>
      <c r="O46" s="33" t="n">
        <v>29</v>
      </c>
      <c r="P46" s="33" t="n">
        <v>35</v>
      </c>
      <c r="Q46" s="33" t="n">
        <v>40</v>
      </c>
      <c r="R46" s="33" t="n">
        <v>45</v>
      </c>
    </row>
  </sheetData>
  <mergeCells count="2">
    <mergeCell ref="B1:J1"/>
    <mergeCell ref="B2:J2"/>
  </mergeCells>
  <dataValidations count="2">
    <dataValidation sqref="C4" showDropDown="0" showInputMessage="0" showErrorMessage="0" allowBlank="0" type="list">
      <formula1>"Base,Conservative,Aggressive"</formula1>
    </dataValidation>
    <dataValidation sqref="C6" showDropDown="0" showInputMessage="0" showErrorMessage="0" allowBlank="0" type="list">
      <formula1>"Inside $10M,Outside $10M"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5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B1" s="1" t="inlineStr">
        <is>
          <t>Subscriber Forecast — Roll-Forward</t>
        </is>
      </c>
    </row>
    <row r="2">
      <c r="B2" s="2" t="inlineStr">
        <is>
          <t>Beg + Gross Adds − Disconnects = End. Year-1 monthly reconciles to the annual column. Green = ending balances.</t>
        </is>
      </c>
    </row>
    <row r="4">
      <c r="B4" s="10" t="inlineStr">
        <is>
          <t>YEAR 1 — MONTHLY DETAIL (FY2027)</t>
        </is>
      </c>
    </row>
    <row r="5">
      <c r="B5" s="20" t="inlineStr">
        <is>
          <t>Metric</t>
        </is>
      </c>
      <c r="D5" s="20" t="inlineStr">
        <is>
          <t>Jan</t>
        </is>
      </c>
      <c r="E5" s="20" t="inlineStr">
        <is>
          <t>Feb</t>
        </is>
      </c>
      <c r="F5" s="20" t="inlineStr">
        <is>
          <t>Mar</t>
        </is>
      </c>
      <c r="G5" s="20" t="inlineStr">
        <is>
          <t>Apr</t>
        </is>
      </c>
      <c r="H5" s="20" t="inlineStr">
        <is>
          <t>May</t>
        </is>
      </c>
      <c r="I5" s="20" t="inlineStr">
        <is>
          <t>Jun</t>
        </is>
      </c>
      <c r="J5" s="20" t="inlineStr">
        <is>
          <t>Jul</t>
        </is>
      </c>
      <c r="K5" s="20" t="inlineStr">
        <is>
          <t>Aug</t>
        </is>
      </c>
      <c r="L5" s="20" t="inlineStr">
        <is>
          <t>Sep</t>
        </is>
      </c>
      <c r="M5" s="20" t="inlineStr">
        <is>
          <t>Oct</t>
        </is>
      </c>
      <c r="N5" s="20" t="inlineStr">
        <is>
          <t>Nov</t>
        </is>
      </c>
      <c r="O5" s="20" t="inlineStr">
        <is>
          <t>Dec</t>
        </is>
      </c>
      <c r="P5" s="20" t="inlineStr">
        <is>
          <t>FY2027</t>
        </is>
      </c>
    </row>
    <row r="6">
      <c r="B6" s="38" t="inlineStr">
        <is>
          <t>Residential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</row>
    <row r="7">
      <c r="B7" s="15" t="inlineStr">
        <is>
          <t xml:space="preserve">  Beginning subs</t>
        </is>
      </c>
      <c r="D7" s="17">
        <f>Assumptions!E5</f>
        <v/>
      </c>
      <c r="E7" s="17">
        <f>D10</f>
        <v/>
      </c>
      <c r="F7" s="17">
        <f>E10</f>
        <v/>
      </c>
      <c r="G7" s="17">
        <f>F10</f>
        <v/>
      </c>
      <c r="H7" s="17">
        <f>G10</f>
        <v/>
      </c>
      <c r="I7" s="17">
        <f>H10</f>
        <v/>
      </c>
      <c r="J7" s="17">
        <f>I10</f>
        <v/>
      </c>
      <c r="K7" s="17">
        <f>J10</f>
        <v/>
      </c>
      <c r="L7" s="17">
        <f>K10</f>
        <v/>
      </c>
      <c r="M7" s="17">
        <f>L10</f>
        <v/>
      </c>
      <c r="N7" s="17">
        <f>M10</f>
        <v/>
      </c>
      <c r="O7" s="17">
        <f>N10</f>
        <v/>
      </c>
      <c r="P7" s="23">
        <f>D7</f>
        <v/>
      </c>
    </row>
    <row r="8">
      <c r="B8" s="15" t="inlineStr">
        <is>
          <t xml:space="preserve">  Gross adds</t>
        </is>
      </c>
      <c r="D8" s="40">
        <f>ROUND(Assumptions!E9*0.07000,0)</f>
        <v/>
      </c>
      <c r="E8" s="40">
        <f>ROUND(Assumptions!E9*0.07200,0)</f>
        <v/>
      </c>
      <c r="F8" s="40">
        <f>ROUND(Assumptions!E9*0.07800,0)</f>
        <v/>
      </c>
      <c r="G8" s="40">
        <f>ROUND(Assumptions!E9*0.08500,0)</f>
        <v/>
      </c>
      <c r="H8" s="40">
        <f>ROUND(Assumptions!E9*0.09000,0)</f>
        <v/>
      </c>
      <c r="I8" s="40">
        <f>ROUND(Assumptions!E9*0.09200,0)</f>
        <v/>
      </c>
      <c r="J8" s="40">
        <f>ROUND(Assumptions!E9*0.09200,0)</f>
        <v/>
      </c>
      <c r="K8" s="40">
        <f>ROUND(Assumptions!E9*0.09000,0)</f>
        <v/>
      </c>
      <c r="L8" s="40">
        <f>ROUND(Assumptions!E9*0.08600,0)</f>
        <v/>
      </c>
      <c r="M8" s="40">
        <f>ROUND(Assumptions!E9*0.08300,0)</f>
        <v/>
      </c>
      <c r="N8" s="40">
        <f>ROUND(Assumptions!E9*0.08200,0)</f>
        <v/>
      </c>
      <c r="O8" s="40">
        <f>Assumptions!E9-(D8+E8+F8+G8+H8+I8+J8+K8+L8+M8+N8)</f>
        <v/>
      </c>
      <c r="P8" s="23">
        <f>SUM(D8:O8)</f>
        <v/>
      </c>
    </row>
    <row r="9">
      <c r="B9" s="15" t="inlineStr">
        <is>
          <t xml:space="preserve">  Disconnects (churn)</t>
        </is>
      </c>
      <c r="D9" s="17">
        <f>ROUND(D7*Assumptions!E13/12,0)</f>
        <v/>
      </c>
      <c r="E9" s="17">
        <f>ROUND(E7*Assumptions!E13/12,0)</f>
        <v/>
      </c>
      <c r="F9" s="17">
        <f>ROUND(F7*Assumptions!E13/12,0)</f>
        <v/>
      </c>
      <c r="G9" s="17">
        <f>ROUND(G7*Assumptions!E13/12,0)</f>
        <v/>
      </c>
      <c r="H9" s="17">
        <f>ROUND(H7*Assumptions!E13/12,0)</f>
        <v/>
      </c>
      <c r="I9" s="17">
        <f>ROUND(I7*Assumptions!E13/12,0)</f>
        <v/>
      </c>
      <c r="J9" s="17">
        <f>ROUND(J7*Assumptions!E13/12,0)</f>
        <v/>
      </c>
      <c r="K9" s="17">
        <f>ROUND(K7*Assumptions!E13/12,0)</f>
        <v/>
      </c>
      <c r="L9" s="17">
        <f>ROUND(L7*Assumptions!E13/12,0)</f>
        <v/>
      </c>
      <c r="M9" s="17">
        <f>ROUND(M7*Assumptions!E13/12,0)</f>
        <v/>
      </c>
      <c r="N9" s="17">
        <f>ROUND(N7*Assumptions!E13/12,0)</f>
        <v/>
      </c>
      <c r="O9" s="17">
        <f>ROUND(O7*Assumptions!E13/12,0)</f>
        <v/>
      </c>
      <c r="P9" s="23">
        <f>SUM(D9:O9)</f>
        <v/>
      </c>
    </row>
    <row r="10">
      <c r="B10" s="41" t="inlineStr">
        <is>
          <t xml:space="preserve">  Ending subs</t>
        </is>
      </c>
      <c r="D10" s="42">
        <f>D7+D8-D9</f>
        <v/>
      </c>
      <c r="E10" s="42">
        <f>E7+E8-E9</f>
        <v/>
      </c>
      <c r="F10" s="42">
        <f>F7+F8-F9</f>
        <v/>
      </c>
      <c r="G10" s="42">
        <f>G7+G8-G9</f>
        <v/>
      </c>
      <c r="H10" s="42">
        <f>H7+H8-H9</f>
        <v/>
      </c>
      <c r="I10" s="42">
        <f>I7+I8-I9</f>
        <v/>
      </c>
      <c r="J10" s="42">
        <f>J7+J8-J9</f>
        <v/>
      </c>
      <c r="K10" s="42">
        <f>K7+K8-K9</f>
        <v/>
      </c>
      <c r="L10" s="42">
        <f>L7+L8-L9</f>
        <v/>
      </c>
      <c r="M10" s="42">
        <f>M7+M8-M9</f>
        <v/>
      </c>
      <c r="N10" s="42">
        <f>N7+N8-N9</f>
        <v/>
      </c>
      <c r="O10" s="42">
        <f>O7+O8-O9</f>
        <v/>
      </c>
      <c r="P10" s="42">
        <f>O10</f>
        <v/>
      </c>
    </row>
    <row r="11">
      <c r="B11" s="38" t="inlineStr">
        <is>
          <t>Business</t>
        </is>
      </c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</row>
    <row r="12">
      <c r="B12" s="15" t="inlineStr">
        <is>
          <t xml:space="preserve">  Beginning subs</t>
        </is>
      </c>
      <c r="D12" s="17">
        <f>Assumptions!E6</f>
        <v/>
      </c>
      <c r="E12" s="17">
        <f>D15</f>
        <v/>
      </c>
      <c r="F12" s="17">
        <f>E15</f>
        <v/>
      </c>
      <c r="G12" s="17">
        <f>F15</f>
        <v/>
      </c>
      <c r="H12" s="17">
        <f>G15</f>
        <v/>
      </c>
      <c r="I12" s="17">
        <f>H15</f>
        <v/>
      </c>
      <c r="J12" s="17">
        <f>I15</f>
        <v/>
      </c>
      <c r="K12" s="17">
        <f>J15</f>
        <v/>
      </c>
      <c r="L12" s="17">
        <f>K15</f>
        <v/>
      </c>
      <c r="M12" s="17">
        <f>L15</f>
        <v/>
      </c>
      <c r="N12" s="17">
        <f>M15</f>
        <v/>
      </c>
      <c r="O12" s="17">
        <f>N15</f>
        <v/>
      </c>
      <c r="P12" s="23">
        <f>D12</f>
        <v/>
      </c>
    </row>
    <row r="13">
      <c r="B13" s="15" t="inlineStr">
        <is>
          <t xml:space="preserve">  Gross adds</t>
        </is>
      </c>
      <c r="D13" s="40">
        <f>ROUND(Assumptions!E10*0.07000,0)</f>
        <v/>
      </c>
      <c r="E13" s="40">
        <f>ROUND(Assumptions!E10*0.07200,0)</f>
        <v/>
      </c>
      <c r="F13" s="40">
        <f>ROUND(Assumptions!E10*0.07800,0)</f>
        <v/>
      </c>
      <c r="G13" s="40">
        <f>ROUND(Assumptions!E10*0.08500,0)</f>
        <v/>
      </c>
      <c r="H13" s="40">
        <f>ROUND(Assumptions!E10*0.09000,0)</f>
        <v/>
      </c>
      <c r="I13" s="40">
        <f>ROUND(Assumptions!E10*0.09200,0)</f>
        <v/>
      </c>
      <c r="J13" s="40">
        <f>ROUND(Assumptions!E10*0.09200,0)</f>
        <v/>
      </c>
      <c r="K13" s="40">
        <f>ROUND(Assumptions!E10*0.09000,0)</f>
        <v/>
      </c>
      <c r="L13" s="40">
        <f>ROUND(Assumptions!E10*0.08600,0)</f>
        <v/>
      </c>
      <c r="M13" s="40">
        <f>ROUND(Assumptions!E10*0.08300,0)</f>
        <v/>
      </c>
      <c r="N13" s="40">
        <f>ROUND(Assumptions!E10*0.08200,0)</f>
        <v/>
      </c>
      <c r="O13" s="40">
        <f>Assumptions!E10-(D13+E13+F13+G13+H13+I13+J13+K13+L13+M13+N13)</f>
        <v/>
      </c>
      <c r="P13" s="23">
        <f>SUM(D13:O13)</f>
        <v/>
      </c>
    </row>
    <row r="14">
      <c r="B14" s="15" t="inlineStr">
        <is>
          <t xml:space="preserve">  Disconnects (churn)</t>
        </is>
      </c>
      <c r="D14" s="17">
        <f>ROUND(D12*Assumptions!E14/12,0)</f>
        <v/>
      </c>
      <c r="E14" s="17">
        <f>ROUND(E12*Assumptions!E14/12,0)</f>
        <v/>
      </c>
      <c r="F14" s="17">
        <f>ROUND(F12*Assumptions!E14/12,0)</f>
        <v/>
      </c>
      <c r="G14" s="17">
        <f>ROUND(G12*Assumptions!E14/12,0)</f>
        <v/>
      </c>
      <c r="H14" s="17">
        <f>ROUND(H12*Assumptions!E14/12,0)</f>
        <v/>
      </c>
      <c r="I14" s="17">
        <f>ROUND(I12*Assumptions!E14/12,0)</f>
        <v/>
      </c>
      <c r="J14" s="17">
        <f>ROUND(J12*Assumptions!E14/12,0)</f>
        <v/>
      </c>
      <c r="K14" s="17">
        <f>ROUND(K12*Assumptions!E14/12,0)</f>
        <v/>
      </c>
      <c r="L14" s="17">
        <f>ROUND(L12*Assumptions!E14/12,0)</f>
        <v/>
      </c>
      <c r="M14" s="17">
        <f>ROUND(M12*Assumptions!E14/12,0)</f>
        <v/>
      </c>
      <c r="N14" s="17">
        <f>ROUND(N12*Assumptions!E14/12,0)</f>
        <v/>
      </c>
      <c r="O14" s="17">
        <f>ROUND(O12*Assumptions!E14/12,0)</f>
        <v/>
      </c>
      <c r="P14" s="23">
        <f>SUM(D14:O14)</f>
        <v/>
      </c>
    </row>
    <row r="15">
      <c r="B15" s="41" t="inlineStr">
        <is>
          <t xml:space="preserve">  Ending subs</t>
        </is>
      </c>
      <c r="D15" s="42">
        <f>D12+D13-D14</f>
        <v/>
      </c>
      <c r="E15" s="42">
        <f>E12+E13-E14</f>
        <v/>
      </c>
      <c r="F15" s="42">
        <f>F12+F13-F14</f>
        <v/>
      </c>
      <c r="G15" s="42">
        <f>G12+G13-G14</f>
        <v/>
      </c>
      <c r="H15" s="42">
        <f>H12+H13-H14</f>
        <v/>
      </c>
      <c r="I15" s="42">
        <f>I12+I13-I14</f>
        <v/>
      </c>
      <c r="J15" s="42">
        <f>J12+J13-J14</f>
        <v/>
      </c>
      <c r="K15" s="42">
        <f>K12+K13-K14</f>
        <v/>
      </c>
      <c r="L15" s="42">
        <f>L12+L13-L14</f>
        <v/>
      </c>
      <c r="M15" s="42">
        <f>M12+M13-M14</f>
        <v/>
      </c>
      <c r="N15" s="42">
        <f>N12+N13-N14</f>
        <v/>
      </c>
      <c r="O15" s="42">
        <f>O12+O13-O14</f>
        <v/>
      </c>
      <c r="P15" s="42">
        <f>O15</f>
        <v/>
      </c>
    </row>
    <row r="16">
      <c r="B16" s="38" t="inlineStr">
        <is>
          <t>Enterprise / DIA</t>
        </is>
      </c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</row>
    <row r="17">
      <c r="B17" s="15" t="inlineStr">
        <is>
          <t xml:space="preserve">  Beginning subs</t>
        </is>
      </c>
      <c r="D17" s="17">
        <f>Assumptions!E7</f>
        <v/>
      </c>
      <c r="E17" s="17">
        <f>D20</f>
        <v/>
      </c>
      <c r="F17" s="17">
        <f>E20</f>
        <v/>
      </c>
      <c r="G17" s="17">
        <f>F20</f>
        <v/>
      </c>
      <c r="H17" s="17">
        <f>G20</f>
        <v/>
      </c>
      <c r="I17" s="17">
        <f>H20</f>
        <v/>
      </c>
      <c r="J17" s="17">
        <f>I20</f>
        <v/>
      </c>
      <c r="K17" s="17">
        <f>J20</f>
        <v/>
      </c>
      <c r="L17" s="17">
        <f>K20</f>
        <v/>
      </c>
      <c r="M17" s="17">
        <f>L20</f>
        <v/>
      </c>
      <c r="N17" s="17">
        <f>M20</f>
        <v/>
      </c>
      <c r="O17" s="17">
        <f>N20</f>
        <v/>
      </c>
      <c r="P17" s="23">
        <f>D17</f>
        <v/>
      </c>
    </row>
    <row r="18">
      <c r="B18" s="15" t="inlineStr">
        <is>
          <t xml:space="preserve">  Gross adds</t>
        </is>
      </c>
      <c r="D18" s="40">
        <f>ROUND(Assumptions!E11*0.07000,0)</f>
        <v/>
      </c>
      <c r="E18" s="40">
        <f>ROUND(Assumptions!E11*0.07200,0)</f>
        <v/>
      </c>
      <c r="F18" s="40">
        <f>ROUND(Assumptions!E11*0.07800,0)</f>
        <v/>
      </c>
      <c r="G18" s="40">
        <f>ROUND(Assumptions!E11*0.08500,0)</f>
        <v/>
      </c>
      <c r="H18" s="40">
        <f>ROUND(Assumptions!E11*0.09000,0)</f>
        <v/>
      </c>
      <c r="I18" s="40">
        <f>ROUND(Assumptions!E11*0.09200,0)</f>
        <v/>
      </c>
      <c r="J18" s="40">
        <f>ROUND(Assumptions!E11*0.09200,0)</f>
        <v/>
      </c>
      <c r="K18" s="40">
        <f>ROUND(Assumptions!E11*0.09000,0)</f>
        <v/>
      </c>
      <c r="L18" s="40">
        <f>ROUND(Assumptions!E11*0.08600,0)</f>
        <v/>
      </c>
      <c r="M18" s="40">
        <f>ROUND(Assumptions!E11*0.08300,0)</f>
        <v/>
      </c>
      <c r="N18" s="40">
        <f>ROUND(Assumptions!E11*0.08200,0)</f>
        <v/>
      </c>
      <c r="O18" s="40">
        <f>Assumptions!E11-(D18+E18+F18+G18+H18+I18+J18+K18+L18+M18+N18)</f>
        <v/>
      </c>
      <c r="P18" s="23">
        <f>SUM(D18:O18)</f>
        <v/>
      </c>
    </row>
    <row r="19">
      <c r="B19" s="15" t="inlineStr">
        <is>
          <t xml:space="preserve">  Disconnects (churn)</t>
        </is>
      </c>
      <c r="D19" s="17">
        <f>ROUND(D17*Assumptions!E15/12,0)</f>
        <v/>
      </c>
      <c r="E19" s="17">
        <f>ROUND(E17*Assumptions!E15/12,0)</f>
        <v/>
      </c>
      <c r="F19" s="17">
        <f>ROUND(F17*Assumptions!E15/12,0)</f>
        <v/>
      </c>
      <c r="G19" s="17">
        <f>ROUND(G17*Assumptions!E15/12,0)</f>
        <v/>
      </c>
      <c r="H19" s="17">
        <f>ROUND(H17*Assumptions!E15/12,0)</f>
        <v/>
      </c>
      <c r="I19" s="17">
        <f>ROUND(I17*Assumptions!E15/12,0)</f>
        <v/>
      </c>
      <c r="J19" s="17">
        <f>ROUND(J17*Assumptions!E15/12,0)</f>
        <v/>
      </c>
      <c r="K19" s="17">
        <f>ROUND(K17*Assumptions!E15/12,0)</f>
        <v/>
      </c>
      <c r="L19" s="17">
        <f>ROUND(L17*Assumptions!E15/12,0)</f>
        <v/>
      </c>
      <c r="M19" s="17">
        <f>ROUND(M17*Assumptions!E15/12,0)</f>
        <v/>
      </c>
      <c r="N19" s="17">
        <f>ROUND(N17*Assumptions!E15/12,0)</f>
        <v/>
      </c>
      <c r="O19" s="17">
        <f>ROUND(O17*Assumptions!E15/12,0)</f>
        <v/>
      </c>
      <c r="P19" s="23">
        <f>SUM(D19:O19)</f>
        <v/>
      </c>
    </row>
    <row r="20">
      <c r="B20" s="41" t="inlineStr">
        <is>
          <t xml:space="preserve">  Ending subs</t>
        </is>
      </c>
      <c r="D20" s="42">
        <f>D17+D18-D19</f>
        <v/>
      </c>
      <c r="E20" s="42">
        <f>E17+E18-E19</f>
        <v/>
      </c>
      <c r="F20" s="42">
        <f>F17+F18-F19</f>
        <v/>
      </c>
      <c r="G20" s="42">
        <f>G17+G18-G19</f>
        <v/>
      </c>
      <c r="H20" s="42">
        <f>H17+H18-H19</f>
        <v/>
      </c>
      <c r="I20" s="42">
        <f>I17+I18-I19</f>
        <v/>
      </c>
      <c r="J20" s="42">
        <f>J17+J18-J19</f>
        <v/>
      </c>
      <c r="K20" s="42">
        <f>K17+K18-K19</f>
        <v/>
      </c>
      <c r="L20" s="42">
        <f>L17+L18-L19</f>
        <v/>
      </c>
      <c r="M20" s="42">
        <f>M17+M18-M19</f>
        <v/>
      </c>
      <c r="N20" s="42">
        <f>N17+N18-N19</f>
        <v/>
      </c>
      <c r="O20" s="42">
        <f>O17+O18-O19</f>
        <v/>
      </c>
      <c r="P20" s="42">
        <f>O20</f>
        <v/>
      </c>
    </row>
    <row r="21">
      <c r="B21" s="38" t="inlineStr">
        <is>
          <t>Voice</t>
        </is>
      </c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</row>
    <row r="22">
      <c r="B22" s="15" t="inlineStr">
        <is>
          <t xml:space="preserve">  Beginning subs</t>
        </is>
      </c>
      <c r="D22" s="17">
        <f>Assumptions!E8</f>
        <v/>
      </c>
      <c r="E22" s="17">
        <f>D25</f>
        <v/>
      </c>
      <c r="F22" s="17">
        <f>E25</f>
        <v/>
      </c>
      <c r="G22" s="17">
        <f>F25</f>
        <v/>
      </c>
      <c r="H22" s="17">
        <f>G25</f>
        <v/>
      </c>
      <c r="I22" s="17">
        <f>H25</f>
        <v/>
      </c>
      <c r="J22" s="17">
        <f>I25</f>
        <v/>
      </c>
      <c r="K22" s="17">
        <f>J25</f>
        <v/>
      </c>
      <c r="L22" s="17">
        <f>K25</f>
        <v/>
      </c>
      <c r="M22" s="17">
        <f>L25</f>
        <v/>
      </c>
      <c r="N22" s="17">
        <f>M25</f>
        <v/>
      </c>
      <c r="O22" s="17">
        <f>N25</f>
        <v/>
      </c>
      <c r="P22" s="23">
        <f>D22</f>
        <v/>
      </c>
    </row>
    <row r="23">
      <c r="B23" s="15" t="inlineStr">
        <is>
          <t xml:space="preserve">  Gross adds</t>
        </is>
      </c>
      <c r="D23" s="40">
        <f>ROUND(Assumptions!E12*0.07000,0)</f>
        <v/>
      </c>
      <c r="E23" s="40">
        <f>ROUND(Assumptions!E12*0.07200,0)</f>
        <v/>
      </c>
      <c r="F23" s="40">
        <f>ROUND(Assumptions!E12*0.07800,0)</f>
        <v/>
      </c>
      <c r="G23" s="40">
        <f>ROUND(Assumptions!E12*0.08500,0)</f>
        <v/>
      </c>
      <c r="H23" s="40">
        <f>ROUND(Assumptions!E12*0.09000,0)</f>
        <v/>
      </c>
      <c r="I23" s="40">
        <f>ROUND(Assumptions!E12*0.09200,0)</f>
        <v/>
      </c>
      <c r="J23" s="40">
        <f>ROUND(Assumptions!E12*0.09200,0)</f>
        <v/>
      </c>
      <c r="K23" s="40">
        <f>ROUND(Assumptions!E12*0.09000,0)</f>
        <v/>
      </c>
      <c r="L23" s="40">
        <f>ROUND(Assumptions!E12*0.08600,0)</f>
        <v/>
      </c>
      <c r="M23" s="40">
        <f>ROUND(Assumptions!E12*0.08300,0)</f>
        <v/>
      </c>
      <c r="N23" s="40">
        <f>ROUND(Assumptions!E12*0.08200,0)</f>
        <v/>
      </c>
      <c r="O23" s="40">
        <f>Assumptions!E12-(D23+E23+F23+G23+H23+I23+J23+K23+L23+M23+N23)</f>
        <v/>
      </c>
      <c r="P23" s="23">
        <f>SUM(D23:O23)</f>
        <v/>
      </c>
    </row>
    <row r="24">
      <c r="B24" s="15" t="inlineStr">
        <is>
          <t xml:space="preserve">  Disconnects (churn)</t>
        </is>
      </c>
      <c r="D24" s="17">
        <f>ROUND(D22*Assumptions!E16/12,0)</f>
        <v/>
      </c>
      <c r="E24" s="17">
        <f>ROUND(E22*Assumptions!E16/12,0)</f>
        <v/>
      </c>
      <c r="F24" s="17">
        <f>ROUND(F22*Assumptions!E16/12,0)</f>
        <v/>
      </c>
      <c r="G24" s="17">
        <f>ROUND(G22*Assumptions!E16/12,0)</f>
        <v/>
      </c>
      <c r="H24" s="17">
        <f>ROUND(H22*Assumptions!E16/12,0)</f>
        <v/>
      </c>
      <c r="I24" s="17">
        <f>ROUND(I22*Assumptions!E16/12,0)</f>
        <v/>
      </c>
      <c r="J24" s="17">
        <f>ROUND(J22*Assumptions!E16/12,0)</f>
        <v/>
      </c>
      <c r="K24" s="17">
        <f>ROUND(K22*Assumptions!E16/12,0)</f>
        <v/>
      </c>
      <c r="L24" s="17">
        <f>ROUND(L22*Assumptions!E16/12,0)</f>
        <v/>
      </c>
      <c r="M24" s="17">
        <f>ROUND(M22*Assumptions!E16/12,0)</f>
        <v/>
      </c>
      <c r="N24" s="17">
        <f>ROUND(N22*Assumptions!E16/12,0)</f>
        <v/>
      </c>
      <c r="O24" s="17">
        <f>ROUND(O22*Assumptions!E16/12,0)</f>
        <v/>
      </c>
      <c r="P24" s="23">
        <f>SUM(D24:O24)</f>
        <v/>
      </c>
    </row>
    <row r="25">
      <c r="B25" s="41" t="inlineStr">
        <is>
          <t xml:space="preserve">  Ending subs</t>
        </is>
      </c>
      <c r="D25" s="42">
        <f>D22+D23-D24</f>
        <v/>
      </c>
      <c r="E25" s="42">
        <f>E22+E23-E24</f>
        <v/>
      </c>
      <c r="F25" s="42">
        <f>F22+F23-F24</f>
        <v/>
      </c>
      <c r="G25" s="42">
        <f>G22+G23-G24</f>
        <v/>
      </c>
      <c r="H25" s="42">
        <f>H22+H23-H24</f>
        <v/>
      </c>
      <c r="I25" s="42">
        <f>I22+I23-I24</f>
        <v/>
      </c>
      <c r="J25" s="42">
        <f>J22+J23-J24</f>
        <v/>
      </c>
      <c r="K25" s="42">
        <f>K22+K23-K24</f>
        <v/>
      </c>
      <c r="L25" s="42">
        <f>L22+L23-L24</f>
        <v/>
      </c>
      <c r="M25" s="42">
        <f>M22+M23-M24</f>
        <v/>
      </c>
      <c r="N25" s="42">
        <f>N22+N23-N24</f>
        <v/>
      </c>
      <c r="O25" s="42">
        <f>O22+O23-O24</f>
        <v/>
      </c>
      <c r="P25" s="42">
        <f>O25</f>
        <v/>
      </c>
    </row>
    <row r="27">
      <c r="B27" s="10" t="inlineStr">
        <is>
          <t>ANNUAL SUMMARY (2027-2031)</t>
        </is>
      </c>
    </row>
    <row r="28" ht="20" customHeight="1">
      <c r="B28" s="20" t="inlineStr">
        <is>
          <t>Metric</t>
        </is>
      </c>
      <c r="C28" s="20" t="inlineStr">
        <is>
          <t>2027</t>
        </is>
      </c>
      <c r="D28" s="20" t="inlineStr">
        <is>
          <t>2028</t>
        </is>
      </c>
      <c r="E28" s="20" t="inlineStr">
        <is>
          <t>2029</t>
        </is>
      </c>
      <c r="F28" s="20" t="inlineStr">
        <is>
          <t>2030</t>
        </is>
      </c>
      <c r="G28" s="20" t="inlineStr">
        <is>
          <t>2031</t>
        </is>
      </c>
      <c r="H28" s="20" t="inlineStr">
        <is>
          <t>5-Yr / End</t>
        </is>
      </c>
    </row>
    <row r="29">
      <c r="B29" s="38" t="inlineStr">
        <is>
          <t>Residential</t>
        </is>
      </c>
      <c r="C29" s="39" t="n"/>
      <c r="D29" s="39" t="n"/>
      <c r="E29" s="39" t="n"/>
      <c r="F29" s="39" t="n"/>
      <c r="G29" s="39" t="n"/>
      <c r="H29" s="39" t="n"/>
    </row>
    <row r="30">
      <c r="B30" s="15" t="inlineStr">
        <is>
          <t xml:space="preserve">  Beginning</t>
        </is>
      </c>
      <c r="C30" s="17">
        <f>Assumptions!E5</f>
        <v/>
      </c>
      <c r="D30" s="17">
        <f>C33</f>
        <v/>
      </c>
      <c r="E30" s="17">
        <f>D33</f>
        <v/>
      </c>
      <c r="F30" s="17">
        <f>E33</f>
        <v/>
      </c>
      <c r="G30" s="17">
        <f>F33</f>
        <v/>
      </c>
    </row>
    <row r="31">
      <c r="B31" s="15" t="inlineStr">
        <is>
          <t xml:space="preserve">  Gross adds</t>
        </is>
      </c>
      <c r="C31" s="17">
        <f>Assumptions!E9</f>
        <v/>
      </c>
      <c r="D31" s="17">
        <f>Assumptions!F9</f>
        <v/>
      </c>
      <c r="E31" s="17">
        <f>Assumptions!G9</f>
        <v/>
      </c>
      <c r="F31" s="17">
        <f>Assumptions!H9</f>
        <v/>
      </c>
      <c r="G31" s="17">
        <f>Assumptions!I9</f>
        <v/>
      </c>
      <c r="H31" s="17">
        <f>SUM(C31:G31)</f>
        <v/>
      </c>
    </row>
    <row r="32">
      <c r="B32" s="15" t="inlineStr">
        <is>
          <t xml:space="preserve">  Disconnects</t>
        </is>
      </c>
      <c r="C32" s="17">
        <f>P9</f>
        <v/>
      </c>
      <c r="D32" s="17">
        <f>ROUND(D30*Assumptions!E13,0)</f>
        <v/>
      </c>
      <c r="E32" s="17">
        <f>ROUND(E30*Assumptions!E13,0)</f>
        <v/>
      </c>
      <c r="F32" s="17">
        <f>ROUND(F30*Assumptions!E13,0)</f>
        <v/>
      </c>
      <c r="G32" s="17">
        <f>ROUND(G30*Assumptions!E13,0)</f>
        <v/>
      </c>
    </row>
    <row r="33">
      <c r="B33" s="41" t="inlineStr">
        <is>
          <t xml:space="preserve">  Ending</t>
        </is>
      </c>
      <c r="C33" s="42">
        <f>C30+C31-C32</f>
        <v/>
      </c>
      <c r="D33" s="42">
        <f>D30+D31-D32</f>
        <v/>
      </c>
      <c r="E33" s="42">
        <f>E30+E31-E32</f>
        <v/>
      </c>
      <c r="F33" s="42">
        <f>F30+F31-F32</f>
        <v/>
      </c>
      <c r="G33" s="42">
        <f>G30+G31-G32</f>
        <v/>
      </c>
      <c r="H33" s="42">
        <f>G33</f>
        <v/>
      </c>
    </row>
    <row r="34">
      <c r="B34" s="38" t="inlineStr">
        <is>
          <t>Business</t>
        </is>
      </c>
      <c r="C34" s="39" t="n"/>
      <c r="D34" s="39" t="n"/>
      <c r="E34" s="39" t="n"/>
      <c r="F34" s="39" t="n"/>
      <c r="G34" s="39" t="n"/>
      <c r="H34" s="39" t="n"/>
    </row>
    <row r="35">
      <c r="B35" s="15" t="inlineStr">
        <is>
          <t xml:space="preserve">  Beginning</t>
        </is>
      </c>
      <c r="C35" s="17">
        <f>Assumptions!E6</f>
        <v/>
      </c>
      <c r="D35" s="17">
        <f>C38</f>
        <v/>
      </c>
      <c r="E35" s="17">
        <f>D38</f>
        <v/>
      </c>
      <c r="F35" s="17">
        <f>E38</f>
        <v/>
      </c>
      <c r="G35" s="17">
        <f>F38</f>
        <v/>
      </c>
    </row>
    <row r="36">
      <c r="B36" s="15" t="inlineStr">
        <is>
          <t xml:space="preserve">  Gross adds</t>
        </is>
      </c>
      <c r="C36" s="17">
        <f>Assumptions!E10</f>
        <v/>
      </c>
      <c r="D36" s="17">
        <f>Assumptions!F10</f>
        <v/>
      </c>
      <c r="E36" s="17">
        <f>Assumptions!G10</f>
        <v/>
      </c>
      <c r="F36" s="17">
        <f>Assumptions!H10</f>
        <v/>
      </c>
      <c r="G36" s="17">
        <f>Assumptions!I10</f>
        <v/>
      </c>
      <c r="H36" s="17">
        <f>SUM(C36:G36)</f>
        <v/>
      </c>
    </row>
    <row r="37">
      <c r="B37" s="15" t="inlineStr">
        <is>
          <t xml:space="preserve">  Disconnects</t>
        </is>
      </c>
      <c r="C37" s="17">
        <f>P14</f>
        <v/>
      </c>
      <c r="D37" s="17">
        <f>ROUND(D35*Assumptions!E14,0)</f>
        <v/>
      </c>
      <c r="E37" s="17">
        <f>ROUND(E35*Assumptions!E14,0)</f>
        <v/>
      </c>
      <c r="F37" s="17">
        <f>ROUND(F35*Assumptions!E14,0)</f>
        <v/>
      </c>
      <c r="G37" s="17">
        <f>ROUND(G35*Assumptions!E14,0)</f>
        <v/>
      </c>
    </row>
    <row r="38">
      <c r="B38" s="41" t="inlineStr">
        <is>
          <t xml:space="preserve">  Ending</t>
        </is>
      </c>
      <c r="C38" s="42">
        <f>C35+C36-C37</f>
        <v/>
      </c>
      <c r="D38" s="42">
        <f>D35+D36-D37</f>
        <v/>
      </c>
      <c r="E38" s="42">
        <f>E35+E36-E37</f>
        <v/>
      </c>
      <c r="F38" s="42">
        <f>F35+F36-F37</f>
        <v/>
      </c>
      <c r="G38" s="42">
        <f>G35+G36-G37</f>
        <v/>
      </c>
      <c r="H38" s="42">
        <f>G38</f>
        <v/>
      </c>
    </row>
    <row r="39">
      <c r="B39" s="38" t="inlineStr">
        <is>
          <t>Enterprise / DIA</t>
        </is>
      </c>
      <c r="C39" s="39" t="n"/>
      <c r="D39" s="39" t="n"/>
      <c r="E39" s="39" t="n"/>
      <c r="F39" s="39" t="n"/>
      <c r="G39" s="39" t="n"/>
      <c r="H39" s="39" t="n"/>
    </row>
    <row r="40">
      <c r="B40" s="15" t="inlineStr">
        <is>
          <t xml:space="preserve">  Beginning</t>
        </is>
      </c>
      <c r="C40" s="17">
        <f>Assumptions!E7</f>
        <v/>
      </c>
      <c r="D40" s="17">
        <f>C43</f>
        <v/>
      </c>
      <c r="E40" s="17">
        <f>D43</f>
        <v/>
      </c>
      <c r="F40" s="17">
        <f>E43</f>
        <v/>
      </c>
      <c r="G40" s="17">
        <f>F43</f>
        <v/>
      </c>
    </row>
    <row r="41">
      <c r="B41" s="15" t="inlineStr">
        <is>
          <t xml:space="preserve">  Gross adds</t>
        </is>
      </c>
      <c r="C41" s="17">
        <f>Assumptions!E11</f>
        <v/>
      </c>
      <c r="D41" s="17">
        <f>Assumptions!F11</f>
        <v/>
      </c>
      <c r="E41" s="17">
        <f>Assumptions!G11</f>
        <v/>
      </c>
      <c r="F41" s="17">
        <f>Assumptions!H11</f>
        <v/>
      </c>
      <c r="G41" s="17">
        <f>Assumptions!I11</f>
        <v/>
      </c>
      <c r="H41" s="17">
        <f>SUM(C41:G41)</f>
        <v/>
      </c>
    </row>
    <row r="42">
      <c r="B42" s="15" t="inlineStr">
        <is>
          <t xml:space="preserve">  Disconnects</t>
        </is>
      </c>
      <c r="C42" s="17">
        <f>P19</f>
        <v/>
      </c>
      <c r="D42" s="17">
        <f>ROUND(D40*Assumptions!E15,0)</f>
        <v/>
      </c>
      <c r="E42" s="17">
        <f>ROUND(E40*Assumptions!E15,0)</f>
        <v/>
      </c>
      <c r="F42" s="17">
        <f>ROUND(F40*Assumptions!E15,0)</f>
        <v/>
      </c>
      <c r="G42" s="17">
        <f>ROUND(G40*Assumptions!E15,0)</f>
        <v/>
      </c>
    </row>
    <row r="43">
      <c r="B43" s="41" t="inlineStr">
        <is>
          <t xml:space="preserve">  Ending</t>
        </is>
      </c>
      <c r="C43" s="42">
        <f>C40+C41-C42</f>
        <v/>
      </c>
      <c r="D43" s="42">
        <f>D40+D41-D42</f>
        <v/>
      </c>
      <c r="E43" s="42">
        <f>E40+E41-E42</f>
        <v/>
      </c>
      <c r="F43" s="42">
        <f>F40+F41-F42</f>
        <v/>
      </c>
      <c r="G43" s="42">
        <f>G40+G41-G42</f>
        <v/>
      </c>
      <c r="H43" s="42">
        <f>G43</f>
        <v/>
      </c>
    </row>
    <row r="44">
      <c r="B44" s="38" t="inlineStr">
        <is>
          <t>Voice</t>
        </is>
      </c>
      <c r="C44" s="39" t="n"/>
      <c r="D44" s="39" t="n"/>
      <c r="E44" s="39" t="n"/>
      <c r="F44" s="39" t="n"/>
      <c r="G44" s="39" t="n"/>
      <c r="H44" s="39" t="n"/>
    </row>
    <row r="45">
      <c r="B45" s="15" t="inlineStr">
        <is>
          <t xml:space="preserve">  Beginning</t>
        </is>
      </c>
      <c r="C45" s="17">
        <f>Assumptions!E8</f>
        <v/>
      </c>
      <c r="D45" s="17">
        <f>C48</f>
        <v/>
      </c>
      <c r="E45" s="17">
        <f>D48</f>
        <v/>
      </c>
      <c r="F45" s="17">
        <f>E48</f>
        <v/>
      </c>
      <c r="G45" s="17">
        <f>F48</f>
        <v/>
      </c>
    </row>
    <row r="46">
      <c r="B46" s="15" t="inlineStr">
        <is>
          <t xml:space="preserve">  Gross adds</t>
        </is>
      </c>
      <c r="C46" s="17">
        <f>Assumptions!E12</f>
        <v/>
      </c>
      <c r="D46" s="17">
        <f>Assumptions!F12</f>
        <v/>
      </c>
      <c r="E46" s="17">
        <f>Assumptions!G12</f>
        <v/>
      </c>
      <c r="F46" s="17">
        <f>Assumptions!H12</f>
        <v/>
      </c>
      <c r="G46" s="17">
        <f>Assumptions!I12</f>
        <v/>
      </c>
      <c r="H46" s="17">
        <f>SUM(C46:G46)</f>
        <v/>
      </c>
    </row>
    <row r="47">
      <c r="B47" s="15" t="inlineStr">
        <is>
          <t xml:space="preserve">  Disconnects</t>
        </is>
      </c>
      <c r="C47" s="17">
        <f>P24</f>
        <v/>
      </c>
      <c r="D47" s="17">
        <f>ROUND(D45*Assumptions!E16,0)</f>
        <v/>
      </c>
      <c r="E47" s="17">
        <f>ROUND(E45*Assumptions!E16,0)</f>
        <v/>
      </c>
      <c r="F47" s="17">
        <f>ROUND(F45*Assumptions!E16,0)</f>
        <v/>
      </c>
      <c r="G47" s="17">
        <f>ROUND(G45*Assumptions!E16,0)</f>
        <v/>
      </c>
    </row>
    <row r="48">
      <c r="B48" s="41" t="inlineStr">
        <is>
          <t xml:space="preserve">  Ending</t>
        </is>
      </c>
      <c r="C48" s="42">
        <f>C45+C46-C47</f>
        <v/>
      </c>
      <c r="D48" s="42">
        <f>D45+D46-D47</f>
        <v/>
      </c>
      <c r="E48" s="42">
        <f>E45+E46-E47</f>
        <v/>
      </c>
      <c r="F48" s="42">
        <f>F45+F46-F47</f>
        <v/>
      </c>
      <c r="G48" s="42">
        <f>G45+G46-G47</f>
        <v/>
      </c>
      <c r="H48" s="42">
        <f>G48</f>
        <v/>
      </c>
    </row>
    <row r="49">
      <c r="B49" s="43" t="inlineStr">
        <is>
          <t>TOTAL INTERNET (Res+Biz+Ent)</t>
        </is>
      </c>
      <c r="C49" s="44">
        <f>C33+C38+C43</f>
        <v/>
      </c>
      <c r="D49" s="44">
        <f>D33+D38+D43</f>
        <v/>
      </c>
      <c r="E49" s="44">
        <f>E33+E38+E43</f>
        <v/>
      </c>
      <c r="F49" s="44">
        <f>F33+F38+F43</f>
        <v/>
      </c>
      <c r="G49" s="44">
        <f>G33+G38+G43</f>
        <v/>
      </c>
    </row>
    <row r="50">
      <c r="B50" s="15" t="inlineStr">
        <is>
          <t xml:space="preserve">  Beginning (internet)</t>
        </is>
      </c>
      <c r="C50" s="17">
        <f>C30+C35+C40</f>
        <v/>
      </c>
      <c r="D50" s="17">
        <f>D30+D35+D40</f>
        <v/>
      </c>
      <c r="E50" s="17">
        <f>E30+E35+E40</f>
        <v/>
      </c>
      <c r="F50" s="17">
        <f>F30+F35+F40</f>
        <v/>
      </c>
      <c r="G50" s="17">
        <f>G30+G35+G40</f>
        <v/>
      </c>
    </row>
    <row r="51">
      <c r="B51" s="15" t="inlineStr">
        <is>
          <t xml:space="preserve">  Gross adds (internet)</t>
        </is>
      </c>
      <c r="C51" s="17">
        <f>C31+C36+C41</f>
        <v/>
      </c>
      <c r="D51" s="17">
        <f>D31+D36+D41</f>
        <v/>
      </c>
      <c r="E51" s="17">
        <f>E31+E36+E41</f>
        <v/>
      </c>
      <c r="F51" s="17">
        <f>F31+F36+F41</f>
        <v/>
      </c>
      <c r="G51" s="17">
        <f>G31+G36+G41</f>
        <v/>
      </c>
    </row>
    <row r="52">
      <c r="B52" s="15" t="inlineStr">
        <is>
          <t xml:space="preserve">  Disconnects (internet)</t>
        </is>
      </c>
      <c r="C52" s="17">
        <f>C32+C37+C42</f>
        <v/>
      </c>
      <c r="D52" s="17">
        <f>D32+D37+D42</f>
        <v/>
      </c>
      <c r="E52" s="17">
        <f>E32+E37+E42</f>
        <v/>
      </c>
      <c r="F52" s="17">
        <f>F32+F37+F42</f>
        <v/>
      </c>
      <c r="G52" s="17">
        <f>G32+G37+G42</f>
        <v/>
      </c>
    </row>
    <row r="53">
      <c r="B53" s="41" t="inlineStr">
        <is>
          <t xml:space="preserve">  Net adds (internet)</t>
        </is>
      </c>
      <c r="C53" s="42">
        <f>C49-C50</f>
        <v/>
      </c>
      <c r="D53" s="42">
        <f>D49-D50</f>
        <v/>
      </c>
      <c r="E53" s="42">
        <f>E49-E50</f>
        <v/>
      </c>
      <c r="F53" s="42">
        <f>F49-F50</f>
        <v/>
      </c>
      <c r="G53" s="42">
        <f>G49-G50</f>
        <v/>
      </c>
    </row>
    <row r="55">
      <c r="B55" s="31" t="inlineStr">
        <is>
          <t>CHECK: monthly Dec = annual Y1 (each line, 0=OK)</t>
        </is>
      </c>
      <c r="C55" s="45">
        <f>ABS(P10-C33)+ABS(P15-C38)+ABS(P20-C43)+ABS(P25-C48)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B1" s="1" t="inlineStr">
        <is>
          <t>Revenue Model (formula-driven)</t>
        </is>
      </c>
    </row>
    <row r="2">
      <c r="B2" s="2" t="inlineStr">
        <is>
          <t>Recurring = avg subs × ARPU × 12 + attach services. Nonrecurring = installation/construction. Orange = placeholder input.</t>
        </is>
      </c>
    </row>
    <row r="4" ht="20" customHeight="1">
      <c r="B4" s="20" t="inlineStr">
        <is>
          <t>Revenue line</t>
        </is>
      </c>
      <c r="C4" s="20" t="inlineStr">
        <is>
          <t>2027</t>
        </is>
      </c>
      <c r="D4" s="20" t="inlineStr">
        <is>
          <t>2028</t>
        </is>
      </c>
      <c r="E4" s="20" t="inlineStr">
        <is>
          <t>2029</t>
        </is>
      </c>
      <c r="F4" s="20" t="inlineStr">
        <is>
          <t>2030</t>
        </is>
      </c>
      <c r="G4" s="20" t="inlineStr">
        <is>
          <t>2031</t>
        </is>
      </c>
      <c r="H4" s="20" t="inlineStr">
        <is>
          <t>5-Yr Total</t>
        </is>
      </c>
    </row>
    <row r="5">
      <c r="B5" s="15" t="inlineStr">
        <is>
          <t>Residential internet</t>
        </is>
      </c>
      <c r="C5" s="16">
        <f>(('Subscriber Forecast'!C30+'Subscriber Forecast'!C33)/2)*(Assumptions!E17*(1+Assumptions!E18)^0)*12</f>
        <v/>
      </c>
      <c r="D5" s="16">
        <f>(('Subscriber Forecast'!D30+'Subscriber Forecast'!D33)/2)*(Assumptions!E17*(1+Assumptions!E18)^1)*12</f>
        <v/>
      </c>
      <c r="E5" s="16">
        <f>(('Subscriber Forecast'!E30+'Subscriber Forecast'!E33)/2)*(Assumptions!E17*(1+Assumptions!E18)^2)*12</f>
        <v/>
      </c>
      <c r="F5" s="16">
        <f>(('Subscriber Forecast'!F30+'Subscriber Forecast'!F33)/2)*(Assumptions!E17*(1+Assumptions!E18)^3)*12</f>
        <v/>
      </c>
      <c r="G5" s="16">
        <f>(('Subscriber Forecast'!G30+'Subscriber Forecast'!G33)/2)*(Assumptions!E17*(1+Assumptions!E18)^4)*12</f>
        <v/>
      </c>
      <c r="H5" s="16">
        <f>SUM(C5:G5)</f>
        <v/>
      </c>
    </row>
    <row r="6">
      <c r="B6" s="15" t="inlineStr">
        <is>
          <t>Business internet</t>
        </is>
      </c>
      <c r="C6" s="16">
        <f>(('Subscriber Forecast'!C35+'Subscriber Forecast'!C38)/2)*(Assumptions!E19*(1+Assumptions!E20)^0)*12</f>
        <v/>
      </c>
      <c r="D6" s="16">
        <f>(('Subscriber Forecast'!D35+'Subscriber Forecast'!D38)/2)*(Assumptions!E19*(1+Assumptions!E20)^1)*12</f>
        <v/>
      </c>
      <c r="E6" s="16">
        <f>(('Subscriber Forecast'!E35+'Subscriber Forecast'!E38)/2)*(Assumptions!E19*(1+Assumptions!E20)^2)*12</f>
        <v/>
      </c>
      <c r="F6" s="16">
        <f>(('Subscriber Forecast'!F35+'Subscriber Forecast'!F38)/2)*(Assumptions!E19*(1+Assumptions!E20)^3)*12</f>
        <v/>
      </c>
      <c r="G6" s="16">
        <f>(('Subscriber Forecast'!G35+'Subscriber Forecast'!G38)/2)*(Assumptions!E19*(1+Assumptions!E20)^4)*12</f>
        <v/>
      </c>
      <c r="H6" s="16">
        <f>SUM(C6:G6)</f>
        <v/>
      </c>
    </row>
    <row r="7">
      <c r="B7" s="15" t="inlineStr">
        <is>
          <t>Enterprise / DIA</t>
        </is>
      </c>
      <c r="C7" s="16">
        <f>(('Subscriber Forecast'!C40+'Subscriber Forecast'!C43)/2)*(Assumptions!E21*(1+Assumptions!E22)^0)*12</f>
        <v/>
      </c>
      <c r="D7" s="16">
        <f>(('Subscriber Forecast'!D40+'Subscriber Forecast'!D43)/2)*(Assumptions!E21*(1+Assumptions!E22)^1)*12</f>
        <v/>
      </c>
      <c r="E7" s="16">
        <f>(('Subscriber Forecast'!E40+'Subscriber Forecast'!E43)/2)*(Assumptions!E21*(1+Assumptions!E22)^2)*12</f>
        <v/>
      </c>
      <c r="F7" s="16">
        <f>(('Subscriber Forecast'!F40+'Subscriber Forecast'!F43)/2)*(Assumptions!E21*(1+Assumptions!E22)^3)*12</f>
        <v/>
      </c>
      <c r="G7" s="16">
        <f>(('Subscriber Forecast'!G40+'Subscriber Forecast'!G43)/2)*(Assumptions!E21*(1+Assumptions!E22)^4)*12</f>
        <v/>
      </c>
      <c r="H7" s="16">
        <f>SUM(C7:G7)</f>
        <v/>
      </c>
    </row>
    <row r="8">
      <c r="B8" s="15" t="inlineStr">
        <is>
          <t>Voice services</t>
        </is>
      </c>
      <c r="C8" s="16">
        <f>(('Subscriber Forecast'!C45+'Subscriber Forecast'!C48)/2)*(Assumptions!E23*(1+Assumptions!E24)^0)*12</f>
        <v/>
      </c>
      <c r="D8" s="16">
        <f>(('Subscriber Forecast'!D45+'Subscriber Forecast'!D48)/2)*(Assumptions!E23*(1+Assumptions!E24)^1)*12</f>
        <v/>
      </c>
      <c r="E8" s="16">
        <f>(('Subscriber Forecast'!E45+'Subscriber Forecast'!E48)/2)*(Assumptions!E23*(1+Assumptions!E24)^2)*12</f>
        <v/>
      </c>
      <c r="F8" s="16">
        <f>(('Subscriber Forecast'!F45+'Subscriber Forecast'!F48)/2)*(Assumptions!E23*(1+Assumptions!E24)^3)*12</f>
        <v/>
      </c>
      <c r="G8" s="16">
        <f>(('Subscriber Forecast'!G45+'Subscriber Forecast'!G48)/2)*(Assumptions!E23*(1+Assumptions!E24)^4)*12</f>
        <v/>
      </c>
      <c r="H8" s="16">
        <f>SUM(C8:G8)</f>
        <v/>
      </c>
    </row>
    <row r="9">
      <c r="B9" s="15" t="inlineStr">
        <is>
          <t>Managed Wi-Fi &amp; premium</t>
        </is>
      </c>
      <c r="C9" s="16">
        <f>(('Subscriber Forecast'!C30+'Subscriber Forecast'!C33)/2)*Assumptions!E34*Assumptions!E35*12</f>
        <v/>
      </c>
      <c r="D9" s="16">
        <f>(('Subscriber Forecast'!D30+'Subscriber Forecast'!D33)/2)*Assumptions!E34*Assumptions!E35*12</f>
        <v/>
      </c>
      <c r="E9" s="16">
        <f>(('Subscriber Forecast'!E30+'Subscriber Forecast'!E33)/2)*Assumptions!E34*Assumptions!E35*12</f>
        <v/>
      </c>
      <c r="F9" s="16">
        <f>(('Subscriber Forecast'!F30+'Subscriber Forecast'!F33)/2)*Assumptions!E34*Assumptions!E35*12</f>
        <v/>
      </c>
      <c r="G9" s="16">
        <f>(('Subscriber Forecast'!G30+'Subscriber Forecast'!G33)/2)*Assumptions!E34*Assumptions!E35*12</f>
        <v/>
      </c>
      <c r="H9" s="16">
        <f>SUM(C9:G9)</f>
        <v/>
      </c>
    </row>
    <row r="10">
      <c r="B10" s="15" t="inlineStr">
        <is>
          <t>Static IP services</t>
        </is>
      </c>
      <c r="C10" s="16">
        <f>(('Subscriber Forecast'!C35+'Subscriber Forecast'!C38)/2)*Assumptions!E36*Assumptions!E37*12</f>
        <v/>
      </c>
      <c r="D10" s="16">
        <f>(('Subscriber Forecast'!D35+'Subscriber Forecast'!D38)/2)*Assumptions!E36*Assumptions!E37*12</f>
        <v/>
      </c>
      <c r="E10" s="16">
        <f>(('Subscriber Forecast'!E35+'Subscriber Forecast'!E38)/2)*Assumptions!E36*Assumptions!E37*12</f>
        <v/>
      </c>
      <c r="F10" s="16">
        <f>(('Subscriber Forecast'!F35+'Subscriber Forecast'!F38)/2)*Assumptions!E36*Assumptions!E37*12</f>
        <v/>
      </c>
      <c r="G10" s="16">
        <f>(('Subscriber Forecast'!G35+'Subscriber Forecast'!G38)/2)*Assumptions!E36*Assumptions!E37*12</f>
        <v/>
      </c>
      <c r="H10" s="16">
        <f>SUM(C10:G10)</f>
        <v/>
      </c>
    </row>
    <row r="11">
      <c r="B11" s="15" t="inlineStr">
        <is>
          <t>Equipment fees (ONT/router)</t>
        </is>
      </c>
      <c r="C11" s="16">
        <f>((('Subscriber Forecast'!C30+'Subscriber Forecast'!C33)/2)+(('Subscriber Forecast'!C35+'Subscriber Forecast'!C38)/2))*6*12</f>
        <v/>
      </c>
      <c r="D11" s="16">
        <f>((('Subscriber Forecast'!D30+'Subscriber Forecast'!D33)/2)+(('Subscriber Forecast'!D35+'Subscriber Forecast'!D38)/2))*6*12</f>
        <v/>
      </c>
      <c r="E11" s="16">
        <f>((('Subscriber Forecast'!E30+'Subscriber Forecast'!E33)/2)+(('Subscriber Forecast'!E35+'Subscriber Forecast'!E38)/2))*6*12</f>
        <v/>
      </c>
      <c r="F11" s="16">
        <f>((('Subscriber Forecast'!F30+'Subscriber Forecast'!F33)/2)+(('Subscriber Forecast'!F35+'Subscriber Forecast'!F38)/2))*6*12</f>
        <v/>
      </c>
      <c r="G11" s="16">
        <f>((('Subscriber Forecast'!G30+'Subscriber Forecast'!G33)/2)+(('Subscriber Forecast'!G35+'Subscriber Forecast'!G38)/2))*6*12</f>
        <v/>
      </c>
      <c r="H11" s="16">
        <f>SUM(C11:G11)</f>
        <v/>
      </c>
    </row>
    <row r="12">
      <c r="B12" s="15" t="inlineStr">
        <is>
          <t>Wholesale / dark fiber / IRU / transport</t>
        </is>
      </c>
      <c r="C12" s="46" t="n">
        <v>180000</v>
      </c>
      <c r="D12" s="46" t="n">
        <v>240000</v>
      </c>
      <c r="E12" s="46" t="n">
        <v>320000</v>
      </c>
      <c r="F12" s="46" t="n">
        <v>410000</v>
      </c>
      <c r="G12" s="46" t="n">
        <v>500000</v>
      </c>
      <c r="H12" s="16">
        <f>SUM(C12:G12)</f>
        <v/>
      </c>
    </row>
    <row r="13">
      <c r="B13" s="15" t="inlineStr">
        <is>
          <t>Grant operating/admin revenue (if allowable)</t>
        </is>
      </c>
      <c r="C13" s="46" t="n">
        <v>50000</v>
      </c>
      <c r="D13" s="46" t="n">
        <v>60000</v>
      </c>
      <c r="E13" s="46" t="n">
        <v>70000</v>
      </c>
      <c r="F13" s="46" t="n">
        <v>70000</v>
      </c>
      <c r="G13" s="46" t="n">
        <v>60000</v>
      </c>
      <c r="H13" s="16">
        <f>SUM(C13:G13)</f>
        <v/>
      </c>
    </row>
    <row r="14">
      <c r="B14" s="15" t="inlineStr">
        <is>
          <t>Other telecom services</t>
        </is>
      </c>
      <c r="C14" s="46" t="n">
        <v>40000</v>
      </c>
      <c r="D14" s="46" t="n">
        <v>55000</v>
      </c>
      <c r="E14" s="46" t="n">
        <v>70000</v>
      </c>
      <c r="F14" s="46" t="n">
        <v>85000</v>
      </c>
      <c r="G14" s="46" t="n">
        <v>100000</v>
      </c>
      <c r="H14" s="16">
        <f>SUM(C14:G14)</f>
        <v/>
      </c>
    </row>
    <row r="15">
      <c r="B15" s="43" t="inlineStr">
        <is>
          <t>RECURRING REVENUE</t>
        </is>
      </c>
      <c r="C15" s="47">
        <f>C5+C6+C7+C8+C9+C10+C11+C12+C13+C14</f>
        <v/>
      </c>
      <c r="D15" s="47">
        <f>D5+D6+D7+D8+D9+D10+D11+D12+D13+D14</f>
        <v/>
      </c>
      <c r="E15" s="47">
        <f>E5+E6+E7+E8+E9+E10+E11+E12+E13+E14</f>
        <v/>
      </c>
      <c r="F15" s="47">
        <f>F5+F6+F7+F8+F9+F10+F11+F12+F13+F14</f>
        <v/>
      </c>
      <c r="G15" s="47">
        <f>G5+G6+G7+G8+G9+G10+G11+G12+G13+G14</f>
        <v/>
      </c>
      <c r="H15" s="47">
        <f>SUM(C15:G15)</f>
        <v/>
      </c>
    </row>
    <row r="16">
      <c r="B16" s="15" t="inlineStr">
        <is>
          <t>Installation &amp; construction (nonrecurring)</t>
        </is>
      </c>
      <c r="C16" s="16">
        <f>'Subscriber Forecast'!C31*Assumptions!E38+'Subscriber Forecast'!C36*Assumptions!E39+'Subscriber Forecast'!C41*Assumptions!E40</f>
        <v/>
      </c>
      <c r="D16" s="16">
        <f>'Subscriber Forecast'!D31*Assumptions!E38+'Subscriber Forecast'!D36*Assumptions!E39+'Subscriber Forecast'!D41*Assumptions!E40</f>
        <v/>
      </c>
      <c r="E16" s="16">
        <f>'Subscriber Forecast'!E31*Assumptions!E38+'Subscriber Forecast'!E36*Assumptions!E39+'Subscriber Forecast'!E41*Assumptions!E40</f>
        <v/>
      </c>
      <c r="F16" s="16">
        <f>'Subscriber Forecast'!F31*Assumptions!E38+'Subscriber Forecast'!F36*Assumptions!E39+'Subscriber Forecast'!F41*Assumptions!E40</f>
        <v/>
      </c>
      <c r="G16" s="16">
        <f>'Subscriber Forecast'!G31*Assumptions!E38+'Subscriber Forecast'!G36*Assumptions!E39+'Subscriber Forecast'!G41*Assumptions!E40</f>
        <v/>
      </c>
      <c r="H16" s="16">
        <f>SUM(C16:G16)</f>
        <v/>
      </c>
    </row>
    <row r="17">
      <c r="B17" s="43" t="inlineStr">
        <is>
          <t>TOTAL REVENUE</t>
        </is>
      </c>
      <c r="C17" s="47">
        <f>C15+C16</f>
        <v/>
      </c>
      <c r="D17" s="47">
        <f>D15+D16</f>
        <v/>
      </c>
      <c r="E17" s="47">
        <f>E15+E16</f>
        <v/>
      </c>
      <c r="F17" s="47">
        <f>F15+F16</f>
        <v/>
      </c>
      <c r="G17" s="47">
        <f>G15+G16</f>
        <v/>
      </c>
      <c r="H17" s="47">
        <f>SUM(C17:G17)</f>
        <v/>
      </c>
    </row>
    <row r="19">
      <c r="B19" s="31" t="inlineStr">
        <is>
          <t>Blended ARPU (recurring/sub/mo)</t>
        </is>
      </c>
      <c r="C19" s="48">
        <f>C15/(('Subscriber Forecast'!C50+'Subscriber Forecast'!C49)/2+('Subscriber Forecast'!C45+'Subscriber Forecast'!C48)/2)/12</f>
        <v/>
      </c>
      <c r="D19" s="48">
        <f>D15/(('Subscriber Forecast'!D50+'Subscriber Forecast'!D49)/2+('Subscriber Forecast'!D45+'Subscriber Forecast'!D48)/2)/12</f>
        <v/>
      </c>
      <c r="E19" s="48">
        <f>E15/(('Subscriber Forecast'!E50+'Subscriber Forecast'!E49)/2+('Subscriber Forecast'!E45+'Subscriber Forecast'!E48)/2)/12</f>
        <v/>
      </c>
      <c r="F19" s="48">
        <f>F15/(('Subscriber Forecast'!F50+'Subscriber Forecast'!F49)/2+('Subscriber Forecast'!F45+'Subscriber Forecast'!F48)/2)/12</f>
        <v/>
      </c>
      <c r="G19" s="48">
        <f>G15/(('Subscriber Forecast'!G50+'Subscriber Forecast'!G49)/2+('Subscriber Forecast'!G45+'Subscriber Forecast'!G48)/2)/12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2" max="2"/>
    <col width="8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B1" s="1" t="inlineStr">
        <is>
          <t>Operating-Expense Model (formula-driven)</t>
        </is>
      </c>
    </row>
    <row r="2">
      <c r="B2" s="2" t="inlineStr">
        <is>
          <t>Classified Direct / S&amp;M / Network Ops / G&amp;A and Fixed/Variable/Semi-variable. Efficiency multiplier &amp; inflation from Assumptions.</t>
        </is>
      </c>
    </row>
    <row r="4" ht="20" customHeight="1">
      <c r="B4" s="20" t="inlineStr">
        <is>
          <t>Expense category</t>
        </is>
      </c>
      <c r="C4" s="20" t="inlineStr">
        <is>
          <t>Class</t>
        </is>
      </c>
      <c r="D4" s="20" t="inlineStr">
        <is>
          <t>Behavior</t>
        </is>
      </c>
      <c r="E4" s="20" t="inlineStr">
        <is>
          <t>2027</t>
        </is>
      </c>
      <c r="F4" s="20" t="inlineStr">
        <is>
          <t>2028</t>
        </is>
      </c>
      <c r="G4" s="20" t="inlineStr">
        <is>
          <t>2029</t>
        </is>
      </c>
      <c r="H4" s="20" t="inlineStr">
        <is>
          <t>2030</t>
        </is>
      </c>
      <c r="I4" s="20" t="inlineStr">
        <is>
          <t>2031</t>
        </is>
      </c>
    </row>
    <row r="5">
      <c r="B5" s="15" t="inlineStr">
        <is>
          <t>Internet transit / bandwidth</t>
        </is>
      </c>
      <c r="C5" s="21" t="inlineStr">
        <is>
          <t>Direct</t>
        </is>
      </c>
      <c r="D5" s="21" t="inlineStr">
        <is>
          <t>Variable</t>
        </is>
      </c>
      <c r="E5" s="16">
        <f>((('Subscriber Forecast'!C50+'Subscriber Forecast'!C49)/2)*2.5*12*(1+Assumptions!E32)^0)*Assumptions!E33</f>
        <v/>
      </c>
      <c r="F5" s="16">
        <f>((('Subscriber Forecast'!D50+'Subscriber Forecast'!D49)/2)*2.5*12*(1+Assumptions!E32)^1)*Assumptions!E33</f>
        <v/>
      </c>
      <c r="G5" s="16">
        <f>((('Subscriber Forecast'!E50+'Subscriber Forecast'!E49)/2)*2.5*12*(1+Assumptions!E32)^2)*Assumptions!E33</f>
        <v/>
      </c>
      <c r="H5" s="16">
        <f>((('Subscriber Forecast'!F50+'Subscriber Forecast'!F49)/2)*2.5*12*(1+Assumptions!E32)^3)*Assumptions!E33</f>
        <v/>
      </c>
      <c r="I5" s="16">
        <f>((('Subscriber Forecast'!G50+'Subscriber Forecast'!G49)/2)*2.5*12*(1+Assumptions!E32)^4)*Assumptions!E33</f>
        <v/>
      </c>
    </row>
    <row r="6">
      <c r="B6" s="15" t="inlineStr">
        <is>
          <t>Fiber leases &amp; transport</t>
        </is>
      </c>
      <c r="C6" s="21" t="inlineStr">
        <is>
          <t>Direct</t>
        </is>
      </c>
      <c r="D6" s="21" t="inlineStr">
        <is>
          <t>Fixed</t>
        </is>
      </c>
      <c r="E6" s="16">
        <f>((180000+12000*0)*(1+Assumptions!E32)^0)*Assumptions!E33</f>
        <v/>
      </c>
      <c r="F6" s="16">
        <f>((180000+12000*1)*(1+Assumptions!E32)^1)*Assumptions!E33</f>
        <v/>
      </c>
      <c r="G6" s="16">
        <f>((180000+12000*2)*(1+Assumptions!E32)^2)*Assumptions!E33</f>
        <v/>
      </c>
      <c r="H6" s="16">
        <f>((180000+12000*3)*(1+Assumptions!E32)^3)*Assumptions!E33</f>
        <v/>
      </c>
      <c r="I6" s="16">
        <f>((180000+12000*4)*(1+Assumptions!E32)^4)*Assumptions!E33</f>
        <v/>
      </c>
    </row>
    <row r="7">
      <c r="B7" s="15" t="inlineStr">
        <is>
          <t>Pole attachment expense</t>
        </is>
      </c>
      <c r="C7" s="21" t="inlineStr">
        <is>
          <t>Direct</t>
        </is>
      </c>
      <c r="D7" s="21" t="inlineStr">
        <is>
          <t>Variable</t>
        </is>
      </c>
      <c r="E7" s="16">
        <f>(((Assumptions!E25+SUM(Assumptions!E27:E27))+(Assumptions!E26+SUM(Assumptions!E28:E28)))*0.55*(1+Assumptions!E32)^0)*Assumptions!E33</f>
        <v/>
      </c>
      <c r="F7" s="16">
        <f>(((Assumptions!E25+SUM(Assumptions!E27:F27))+(Assumptions!E26+SUM(Assumptions!E28:F28)))*0.55*(1+Assumptions!E32)^1)*Assumptions!E33</f>
        <v/>
      </c>
      <c r="G7" s="16">
        <f>(((Assumptions!E25+SUM(Assumptions!E27:G27))+(Assumptions!E26+SUM(Assumptions!E28:G28)))*0.55*(1+Assumptions!E32)^2)*Assumptions!E33</f>
        <v/>
      </c>
      <c r="H7" s="16">
        <f>(((Assumptions!E25+SUM(Assumptions!E27:H27))+(Assumptions!E26+SUM(Assumptions!E28:H28)))*0.55*(1+Assumptions!E32)^3)*Assumptions!E33</f>
        <v/>
      </c>
      <c r="I7" s="16">
        <f>(((Assumptions!E25+SUM(Assumptions!E27:I27))+(Assumptions!E26+SUM(Assumptions!E28:I28)))*0.55*(1+Assumptions!E32)^4)*Assumptions!E33</f>
        <v/>
      </c>
    </row>
    <row r="8">
      <c r="B8" s="15" t="inlineStr">
        <is>
          <t>Fiber maintenance</t>
        </is>
      </c>
      <c r="C8" s="21" t="inlineStr">
        <is>
          <t>Direct</t>
        </is>
      </c>
      <c r="D8" s="21" t="inlineStr">
        <is>
          <t>Fixed</t>
        </is>
      </c>
      <c r="E8" s="16">
        <f>((95000+15000*0)*(1+Assumptions!E32)^0)*Assumptions!E33</f>
        <v/>
      </c>
      <c r="F8" s="16">
        <f>((95000+15000*1)*(1+Assumptions!E32)^1)*Assumptions!E33</f>
        <v/>
      </c>
      <c r="G8" s="16">
        <f>((95000+15000*2)*(1+Assumptions!E32)^2)*Assumptions!E33</f>
        <v/>
      </c>
      <c r="H8" s="16">
        <f>((95000+15000*3)*(1+Assumptions!E32)^3)*Assumptions!E33</f>
        <v/>
      </c>
      <c r="I8" s="16">
        <f>((95000+15000*4)*(1+Assumptions!E32)^4)*Assumptions!E33</f>
        <v/>
      </c>
    </row>
    <row r="9">
      <c r="B9" s="15" t="inlineStr">
        <is>
          <t>Network monitoring / NOC</t>
        </is>
      </c>
      <c r="C9" s="21" t="inlineStr">
        <is>
          <t>Direct</t>
        </is>
      </c>
      <c r="D9" s="21" t="inlineStr">
        <is>
          <t>Fixed</t>
        </is>
      </c>
      <c r="E9" s="16">
        <f>((140000+10000*0)*(1+Assumptions!E32)^0)*Assumptions!E33</f>
        <v/>
      </c>
      <c r="F9" s="16">
        <f>((140000+10000*1)*(1+Assumptions!E32)^1)*Assumptions!E33</f>
        <v/>
      </c>
      <c r="G9" s="16">
        <f>((140000+10000*2)*(1+Assumptions!E32)^2)*Assumptions!E33</f>
        <v/>
      </c>
      <c r="H9" s="16">
        <f>((140000+10000*3)*(1+Assumptions!E32)^3)*Assumptions!E33</f>
        <v/>
      </c>
      <c r="I9" s="16">
        <f>((140000+10000*4)*(1+Assumptions!E32)^4)*Assumptions!E33</f>
        <v/>
      </c>
    </row>
    <row r="10">
      <c r="B10" s="15" t="inlineStr">
        <is>
          <t>Voice platform</t>
        </is>
      </c>
      <c r="C10" s="21" t="inlineStr">
        <is>
          <t>Direct</t>
        </is>
      </c>
      <c r="D10" s="21" t="inlineStr">
        <is>
          <t>Variable</t>
        </is>
      </c>
      <c r="E10" s="16">
        <f>((('Subscriber Forecast'!C45+'Subscriber Forecast'!C48)/2)*8*12*(1+Assumptions!E32)^0)*Assumptions!E33</f>
        <v/>
      </c>
      <c r="F10" s="16">
        <f>((('Subscriber Forecast'!D45+'Subscriber Forecast'!D48)/2)*8*12*(1+Assumptions!E32)^1)*Assumptions!E33</f>
        <v/>
      </c>
      <c r="G10" s="16">
        <f>((('Subscriber Forecast'!E45+'Subscriber Forecast'!E48)/2)*8*12*(1+Assumptions!E32)^2)*Assumptions!E33</f>
        <v/>
      </c>
      <c r="H10" s="16">
        <f>((('Subscriber Forecast'!F45+'Subscriber Forecast'!F48)/2)*8*12*(1+Assumptions!E32)^3)*Assumptions!E33</f>
        <v/>
      </c>
      <c r="I10" s="16">
        <f>((('Subscriber Forecast'!G45+'Subscriber Forecast'!G48)/2)*8*12*(1+Assumptions!E32)^4)*Assumptions!E33</f>
        <v/>
      </c>
    </row>
    <row r="11">
      <c r="B11" s="15" t="inlineStr">
        <is>
          <t>Emergency restoration</t>
        </is>
      </c>
      <c r="C11" s="21" t="inlineStr">
        <is>
          <t>Direct</t>
        </is>
      </c>
      <c r="D11" s="21" t="inlineStr">
        <is>
          <t>Fixed</t>
        </is>
      </c>
      <c r="E11" s="16">
        <f>(75000*(1+Assumptions!E32)^0)*Assumptions!E33</f>
        <v/>
      </c>
      <c r="F11" s="16">
        <f>(75000*(1+Assumptions!E32)^1)*Assumptions!E33</f>
        <v/>
      </c>
      <c r="G11" s="16">
        <f>(75000*(1+Assumptions!E32)^2)*Assumptions!E33</f>
        <v/>
      </c>
      <c r="H11" s="16">
        <f>(75000*(1+Assumptions!E32)^3)*Assumptions!E33</f>
        <v/>
      </c>
      <c r="I11" s="16">
        <f>(75000*(1+Assumptions!E32)^4)*Assumptions!E33</f>
        <v/>
      </c>
    </row>
    <row r="12">
      <c r="B12" s="15" t="inlineStr">
        <is>
          <t>Marketing &amp; advertising</t>
        </is>
      </c>
      <c r="C12" s="21" t="inlineStr">
        <is>
          <t>S&amp;M</t>
        </is>
      </c>
      <c r="D12" s="21" t="inlineStr">
        <is>
          <t>Semi-var</t>
        </is>
      </c>
      <c r="E12" s="16">
        <f>('Subscriber Forecast'!C51*Assumptions!E31+120000*(1+Assumptions!E32)^0)*Assumptions!E33</f>
        <v/>
      </c>
      <c r="F12" s="16">
        <f>('Subscriber Forecast'!D51*Assumptions!E31+120000*(1+Assumptions!E32)^1)*Assumptions!E33</f>
        <v/>
      </c>
      <c r="G12" s="16">
        <f>('Subscriber Forecast'!E51*Assumptions!E31+120000*(1+Assumptions!E32)^2)*Assumptions!E33</f>
        <v/>
      </c>
      <c r="H12" s="16">
        <f>('Subscriber Forecast'!F51*Assumptions!E31+120000*(1+Assumptions!E32)^3)*Assumptions!E33</f>
        <v/>
      </c>
      <c r="I12" s="16">
        <f>('Subscriber Forecast'!G51*Assumptions!E31+120000*(1+Assumptions!E32)^4)*Assumptions!E33</f>
        <v/>
      </c>
    </row>
    <row r="13">
      <c r="B13" s="15" t="inlineStr">
        <is>
          <t>Sales commissions</t>
        </is>
      </c>
      <c r="C13" s="21" t="inlineStr">
        <is>
          <t>S&amp;M</t>
        </is>
      </c>
      <c r="D13" s="21" t="inlineStr">
        <is>
          <t>Variable</t>
        </is>
      </c>
      <c r="E13" s="16">
        <f>('Revenue Model'!C15*0.015)*Assumptions!E33</f>
        <v/>
      </c>
      <c r="F13" s="16">
        <f>('Revenue Model'!D15*0.015)*Assumptions!E33</f>
        <v/>
      </c>
      <c r="G13" s="16">
        <f>('Revenue Model'!E15*0.015)*Assumptions!E33</f>
        <v/>
      </c>
      <c r="H13" s="16">
        <f>('Revenue Model'!F15*0.015)*Assumptions!E33</f>
        <v/>
      </c>
      <c r="I13" s="16">
        <f>('Revenue Model'!G15*0.015)*Assumptions!E33</f>
        <v/>
      </c>
    </row>
    <row r="14">
      <c r="B14" s="15" t="inlineStr">
        <is>
          <t>Vehicle fleet (fuel/repairs/ins/lease)</t>
        </is>
      </c>
      <c r="C14" s="21" t="inlineStr">
        <is>
          <t>NetOps</t>
        </is>
      </c>
      <c r="D14" s="21" t="inlineStr">
        <is>
          <t>Semi-var</t>
        </is>
      </c>
      <c r="E14" s="16">
        <f>(9500*MAX(8,ROUND(Assumptions!E41*0.55,0))*(1+Assumptions!E32)^0)*Assumptions!E33</f>
        <v/>
      </c>
      <c r="F14" s="16">
        <f>(9500*MAX(8,ROUND(Assumptions!F41*0.55,0))*(1+Assumptions!E32)^1)*Assumptions!E33</f>
        <v/>
      </c>
      <c r="G14" s="16">
        <f>(9500*MAX(8,ROUND(Assumptions!G41*0.55,0))*(1+Assumptions!E32)^2)*Assumptions!E33</f>
        <v/>
      </c>
      <c r="H14" s="16">
        <f>(9500*MAX(8,ROUND(Assumptions!H41*0.55,0))*(1+Assumptions!E32)^3)*Assumptions!E33</f>
        <v/>
      </c>
      <c r="I14" s="16">
        <f>(9500*MAX(8,ROUND(Assumptions!I41*0.55,0))*(1+Assumptions!E32)^4)*Assumptions!E33</f>
        <v/>
      </c>
    </row>
    <row r="15">
      <c r="B15" s="15" t="inlineStr">
        <is>
          <t>Tools, test &amp; safety equipment</t>
        </is>
      </c>
      <c r="C15" s="21" t="inlineStr">
        <is>
          <t>NetOps</t>
        </is>
      </c>
      <c r="D15" s="21" t="inlineStr">
        <is>
          <t>Fixed</t>
        </is>
      </c>
      <c r="E15" s="16">
        <f>((45000+4000*0)*(1+Assumptions!E32)^0)*Assumptions!E33</f>
        <v/>
      </c>
      <c r="F15" s="16">
        <f>((45000+4000*1)*(1+Assumptions!E32)^1)*Assumptions!E33</f>
        <v/>
      </c>
      <c r="G15" s="16">
        <f>((45000+4000*2)*(1+Assumptions!E32)^2)*Assumptions!E33</f>
        <v/>
      </c>
      <c r="H15" s="16">
        <f>((45000+4000*3)*(1+Assumptions!E32)^3)*Assumptions!E33</f>
        <v/>
      </c>
      <c r="I15" s="16">
        <f>((45000+4000*4)*(1+Assumptions!E32)^4)*Assumptions!E33</f>
        <v/>
      </c>
    </row>
    <row r="16">
      <c r="B16" s="15" t="inlineStr">
        <is>
          <t>Warehouse &amp; inventory</t>
        </is>
      </c>
      <c r="C16" s="21" t="inlineStr">
        <is>
          <t>NetOps</t>
        </is>
      </c>
      <c r="D16" s="21" t="inlineStr">
        <is>
          <t>Fixed</t>
        </is>
      </c>
      <c r="E16" s="16">
        <f>((60000+5000*0)*(1+Assumptions!E32)^0)*Assumptions!E33</f>
        <v/>
      </c>
      <c r="F16" s="16">
        <f>((60000+5000*1)*(1+Assumptions!E32)^1)*Assumptions!E33</f>
        <v/>
      </c>
      <c r="G16" s="16">
        <f>((60000+5000*2)*(1+Assumptions!E32)^2)*Assumptions!E33</f>
        <v/>
      </c>
      <c r="H16" s="16">
        <f>((60000+5000*3)*(1+Assumptions!E32)^3)*Assumptions!E33</f>
        <v/>
      </c>
      <c r="I16" s="16">
        <f>((60000+5000*4)*(1+Assumptions!E32)^4)*Assumptions!E33</f>
        <v/>
      </c>
    </row>
    <row r="17">
      <c r="B17" s="15" t="inlineStr">
        <is>
          <t>Contractor labor</t>
        </is>
      </c>
      <c r="C17" s="21" t="inlineStr">
        <is>
          <t>NetOps</t>
        </is>
      </c>
      <c r="D17" s="21" t="inlineStr">
        <is>
          <t>Semi-var</t>
        </is>
      </c>
      <c r="E17" s="16">
        <f>((650000+60000*0)*(1+Assumptions!E32)^0)*Assumptions!E33</f>
        <v/>
      </c>
      <c r="F17" s="16">
        <f>((650000+60000*1)*(1+Assumptions!E32)^1)*Assumptions!E33</f>
        <v/>
      </c>
      <c r="G17" s="16">
        <f>((650000+60000*2)*(1+Assumptions!E32)^2)*Assumptions!E33</f>
        <v/>
      </c>
      <c r="H17" s="16">
        <f>((650000+60000*3)*(1+Assumptions!E32)^3)*Assumptions!E33</f>
        <v/>
      </c>
      <c r="I17" s="16">
        <f>((650000+60000*4)*(1+Assumptions!E32)^4)*Assumptions!E33</f>
        <v/>
      </c>
    </row>
    <row r="18">
      <c r="B18" s="15" t="inlineStr">
        <is>
          <t>Salaries, OT, benefits (fully loaded)</t>
        </is>
      </c>
      <c r="C18" s="21" t="inlineStr">
        <is>
          <t>G&amp;A</t>
        </is>
      </c>
      <c r="D18" s="21" t="inlineStr">
        <is>
          <t>Fixed</t>
        </is>
      </c>
      <c r="E18" s="16">
        <f>'Fully Loaded Labor Cost'!C32</f>
        <v/>
      </c>
      <c r="F18" s="16">
        <f>'Fully Loaded Labor Cost'!D32</f>
        <v/>
      </c>
      <c r="G18" s="16">
        <f>'Fully Loaded Labor Cost'!E32</f>
        <v/>
      </c>
      <c r="H18" s="16">
        <f>'Fully Loaded Labor Cost'!F32</f>
        <v/>
      </c>
      <c r="I18" s="16">
        <f>'Fully Loaded Labor Cost'!G32</f>
        <v/>
      </c>
    </row>
    <row r="19">
      <c r="B19" s="15" t="inlineStr">
        <is>
          <t>Software / OSS / BSS / CRM / GIS / billing</t>
        </is>
      </c>
      <c r="C19" s="21" t="inlineStr">
        <is>
          <t>G&amp;A</t>
        </is>
      </c>
      <c r="D19" s="21" t="inlineStr">
        <is>
          <t>Fixed</t>
        </is>
      </c>
      <c r="E19" s="16">
        <f>((260000+20000*0)*(1+Assumptions!E32)^0)*Assumptions!E33</f>
        <v/>
      </c>
      <c r="F19" s="16">
        <f>((260000+20000*1)*(1+Assumptions!E32)^1)*Assumptions!E33</f>
        <v/>
      </c>
      <c r="G19" s="16">
        <f>((260000+20000*2)*(1+Assumptions!E32)^2)*Assumptions!E33</f>
        <v/>
      </c>
      <c r="H19" s="16">
        <f>((260000+20000*3)*(1+Assumptions!E32)^3)*Assumptions!E33</f>
        <v/>
      </c>
      <c r="I19" s="16">
        <f>((260000+20000*4)*(1+Assumptions!E32)^4)*Assumptions!E33</f>
        <v/>
      </c>
    </row>
    <row r="20">
      <c r="B20" s="15" t="inlineStr">
        <is>
          <t>Billing &amp; payment processing fees</t>
        </is>
      </c>
      <c r="C20" s="21" t="inlineStr">
        <is>
          <t>G&amp;A</t>
        </is>
      </c>
      <c r="D20" s="21" t="inlineStr">
        <is>
          <t>Variable</t>
        </is>
      </c>
      <c r="E20" s="16">
        <f>('Revenue Model'!C15*0.02)*Assumptions!E33</f>
        <v/>
      </c>
      <c r="F20" s="16">
        <f>('Revenue Model'!D15*0.02)*Assumptions!E33</f>
        <v/>
      </c>
      <c r="G20" s="16">
        <f>('Revenue Model'!E15*0.02)*Assumptions!E33</f>
        <v/>
      </c>
      <c r="H20" s="16">
        <f>('Revenue Model'!F15*0.02)*Assumptions!E33</f>
        <v/>
      </c>
      <c r="I20" s="16">
        <f>('Revenue Model'!G15*0.02)*Assumptions!E33</f>
        <v/>
      </c>
    </row>
    <row r="21">
      <c r="B21" s="15" t="inlineStr">
        <is>
          <t>Customer support</t>
        </is>
      </c>
      <c r="C21" s="21" t="inlineStr">
        <is>
          <t>G&amp;A</t>
        </is>
      </c>
      <c r="D21" s="21" t="inlineStr">
        <is>
          <t>Semi-var</t>
        </is>
      </c>
      <c r="E21" s="16">
        <f>((110000+25000*0)*(1+Assumptions!E32)^0)*Assumptions!E33</f>
        <v/>
      </c>
      <c r="F21" s="16">
        <f>((110000+25000*1)*(1+Assumptions!E32)^1)*Assumptions!E33</f>
        <v/>
      </c>
      <c r="G21" s="16">
        <f>((110000+25000*2)*(1+Assumptions!E32)^2)*Assumptions!E33</f>
        <v/>
      </c>
      <c r="H21" s="16">
        <f>((110000+25000*3)*(1+Assumptions!E32)^3)*Assumptions!E33</f>
        <v/>
      </c>
      <c r="I21" s="16">
        <f>((110000+25000*4)*(1+Assumptions!E32)^4)*Assumptions!E33</f>
        <v/>
      </c>
    </row>
    <row r="22">
      <c r="B22" s="15" t="inlineStr">
        <is>
          <t>Property &amp; casualty insurance</t>
        </is>
      </c>
      <c r="C22" s="21" t="inlineStr">
        <is>
          <t>G&amp;A</t>
        </is>
      </c>
      <c r="D22" s="21" t="inlineStr">
        <is>
          <t>Fixed</t>
        </is>
      </c>
      <c r="E22" s="16">
        <f>((185000+10000*0)*(1+Assumptions!E32)^0)*Assumptions!E33</f>
        <v/>
      </c>
      <c r="F22" s="16">
        <f>((185000+10000*1)*(1+Assumptions!E32)^1)*Assumptions!E33</f>
        <v/>
      </c>
      <c r="G22" s="16">
        <f>((185000+10000*2)*(1+Assumptions!E32)^2)*Assumptions!E33</f>
        <v/>
      </c>
      <c r="H22" s="16">
        <f>((185000+10000*3)*(1+Assumptions!E32)^3)*Assumptions!E33</f>
        <v/>
      </c>
      <c r="I22" s="16">
        <f>((185000+10000*4)*(1+Assumptions!E32)^4)*Assumptions!E33</f>
        <v/>
      </c>
    </row>
    <row r="23">
      <c r="B23" s="15" t="inlineStr">
        <is>
          <t>Professional / legal / consulting / regulatory</t>
        </is>
      </c>
      <c r="C23" s="21" t="inlineStr">
        <is>
          <t>G&amp;A</t>
        </is>
      </c>
      <c r="D23" s="21" t="inlineStr">
        <is>
          <t>Fixed</t>
        </is>
      </c>
      <c r="E23" s="16">
        <f>((210000+12000*0)*(1+Assumptions!E32)^0)*Assumptions!E33</f>
        <v/>
      </c>
      <c r="F23" s="16">
        <f>((210000+12000*1)*(1+Assumptions!E32)^1)*Assumptions!E33</f>
        <v/>
      </c>
      <c r="G23" s="16">
        <f>((210000+12000*2)*(1+Assumptions!E32)^2)*Assumptions!E33</f>
        <v/>
      </c>
      <c r="H23" s="16">
        <f>((210000+12000*3)*(1+Assumptions!E32)^3)*Assumptions!E33</f>
        <v/>
      </c>
      <c r="I23" s="16">
        <f>((210000+12000*4)*(1+Assumptions!E32)^4)*Assumptions!E33</f>
        <v/>
      </c>
    </row>
    <row r="24">
      <c r="B24" s="15" t="inlineStr">
        <is>
          <t>Training &amp; travel</t>
        </is>
      </c>
      <c r="C24" s="21" t="inlineStr">
        <is>
          <t>G&amp;A</t>
        </is>
      </c>
      <c r="D24" s="21" t="inlineStr">
        <is>
          <t>Semi-var</t>
        </is>
      </c>
      <c r="E24" s="16">
        <f>((65000+6000*0)*(1+Assumptions!E32)^0)*Assumptions!E33</f>
        <v/>
      </c>
      <c r="F24" s="16">
        <f>((65000+6000*1)*(1+Assumptions!E32)^1)*Assumptions!E33</f>
        <v/>
      </c>
      <c r="G24" s="16">
        <f>((65000+6000*2)*(1+Assumptions!E32)^2)*Assumptions!E33</f>
        <v/>
      </c>
      <c r="H24" s="16">
        <f>((65000+6000*3)*(1+Assumptions!E32)^3)*Assumptions!E33</f>
        <v/>
      </c>
      <c r="I24" s="16">
        <f>((65000+6000*4)*(1+Assumptions!E32)^4)*Assumptions!E33</f>
        <v/>
      </c>
    </row>
    <row r="25">
      <c r="B25" s="15" t="inlineStr">
        <is>
          <t>Office &amp; administrative</t>
        </is>
      </c>
      <c r="C25" s="21" t="inlineStr">
        <is>
          <t>G&amp;A</t>
        </is>
      </c>
      <c r="D25" s="21" t="inlineStr">
        <is>
          <t>Fixed</t>
        </is>
      </c>
      <c r="E25" s="16">
        <f>((140000+12000*0)*(1+Assumptions!E32)^0)*Assumptions!E33</f>
        <v/>
      </c>
      <c r="F25" s="16">
        <f>((140000+12000*1)*(1+Assumptions!E32)^1)*Assumptions!E33</f>
        <v/>
      </c>
      <c r="G25" s="16">
        <f>((140000+12000*2)*(1+Assumptions!E32)^2)*Assumptions!E33</f>
        <v/>
      </c>
      <c r="H25" s="16">
        <f>((140000+12000*3)*(1+Assumptions!E32)^3)*Assumptions!E33</f>
        <v/>
      </c>
      <c r="I25" s="16">
        <f>((140000+12000*4)*(1+Assumptions!E32)^4)*Assumptions!E33</f>
        <v/>
      </c>
    </row>
    <row r="26">
      <c r="B26" s="15" t="inlineStr">
        <is>
          <t>Utilities</t>
        </is>
      </c>
      <c r="C26" s="21" t="inlineStr">
        <is>
          <t>G&amp;A</t>
        </is>
      </c>
      <c r="D26" s="21" t="inlineStr">
        <is>
          <t>Fixed</t>
        </is>
      </c>
      <c r="E26" s="16">
        <f>((70000+6000*0)*(1+Assumptions!E32)^0)*Assumptions!E33</f>
        <v/>
      </c>
      <c r="F26" s="16">
        <f>((70000+6000*1)*(1+Assumptions!E32)^1)*Assumptions!E33</f>
        <v/>
      </c>
      <c r="G26" s="16">
        <f>((70000+6000*2)*(1+Assumptions!E32)^2)*Assumptions!E33</f>
        <v/>
      </c>
      <c r="H26" s="16">
        <f>((70000+6000*3)*(1+Assumptions!E32)^3)*Assumptions!E33</f>
        <v/>
      </c>
      <c r="I26" s="16">
        <f>((70000+6000*4)*(1+Assumptions!E32)^4)*Assumptions!E33</f>
        <v/>
      </c>
    </row>
    <row r="27">
      <c r="B27" s="15" t="inlineStr">
        <is>
          <t>Bad debt</t>
        </is>
      </c>
      <c r="C27" s="21" t="inlineStr">
        <is>
          <t>G&amp;A</t>
        </is>
      </c>
      <c r="D27" s="21" t="inlineStr">
        <is>
          <t>Variable</t>
        </is>
      </c>
      <c r="E27" s="16">
        <f>('Revenue Model'!C17*0.008)*Assumptions!E33</f>
        <v/>
      </c>
      <c r="F27" s="16">
        <f>('Revenue Model'!D17*0.008)*Assumptions!E33</f>
        <v/>
      </c>
      <c r="G27" s="16">
        <f>('Revenue Model'!E17*0.008)*Assumptions!E33</f>
        <v/>
      </c>
      <c r="H27" s="16">
        <f>('Revenue Model'!F17*0.008)*Assumptions!E33</f>
        <v/>
      </c>
      <c r="I27" s="16">
        <f>('Revenue Model'!G17*0.008)*Assumptions!E33</f>
        <v/>
      </c>
    </row>
    <row r="28">
      <c r="B28" s="15" t="inlineStr">
        <is>
          <t>Taxes &amp; regulatory fees (USF etc.)</t>
        </is>
      </c>
      <c r="C28" s="21" t="inlineStr">
        <is>
          <t>G&amp;A</t>
        </is>
      </c>
      <c r="D28" s="21" t="inlineStr">
        <is>
          <t>Variable</t>
        </is>
      </c>
      <c r="E28" s="16">
        <f>('Revenue Model'!C15*0.015)*Assumptions!E33</f>
        <v/>
      </c>
      <c r="F28" s="16">
        <f>('Revenue Model'!D15*0.015)*Assumptions!E33</f>
        <v/>
      </c>
      <c r="G28" s="16">
        <f>('Revenue Model'!E15*0.015)*Assumptions!E33</f>
        <v/>
      </c>
      <c r="H28" s="16">
        <f>('Revenue Model'!F15*0.015)*Assumptions!E33</f>
        <v/>
      </c>
      <c r="I28" s="16">
        <f>('Revenue Model'!G15*0.015)*Assumptions!E33</f>
        <v/>
      </c>
    </row>
    <row r="29">
      <c r="B29" s="38" t="inlineStr">
        <is>
          <t>Subtotal (pre-contingency)</t>
        </is>
      </c>
      <c r="E29" s="49">
        <f>SUM(E5:E28)</f>
        <v/>
      </c>
      <c r="F29" s="49">
        <f>SUM(F5:F28)</f>
        <v/>
      </c>
      <c r="G29" s="49">
        <f>SUM(G5:G28)</f>
        <v/>
      </c>
      <c r="H29" s="49">
        <f>SUM(H5:H28)</f>
        <v/>
      </c>
      <c r="I29" s="49">
        <f>SUM(I5:I28)</f>
        <v/>
      </c>
    </row>
    <row r="30">
      <c r="B30" s="15" t="inlineStr">
        <is>
          <t>Contingency</t>
        </is>
      </c>
      <c r="C30" s="21" t="inlineStr">
        <is>
          <t>G&amp;A</t>
        </is>
      </c>
      <c r="D30" s="21" t="inlineStr">
        <is>
          <t>Semi-var</t>
        </is>
      </c>
      <c r="E30" s="16">
        <f>E29*0.015</f>
        <v/>
      </c>
      <c r="F30" s="16">
        <f>F29*0.015</f>
        <v/>
      </c>
      <c r="G30" s="16">
        <f>G29*0.015</f>
        <v/>
      </c>
      <c r="H30" s="16">
        <f>H29*0.015</f>
        <v/>
      </c>
      <c r="I30" s="16">
        <f>I29*0.015</f>
        <v/>
      </c>
    </row>
    <row r="31">
      <c r="B31" s="43" t="inlineStr">
        <is>
          <t>TOTAL OPERATING EXPENSE</t>
        </is>
      </c>
      <c r="E31" s="47">
        <f>E29+E30</f>
        <v/>
      </c>
      <c r="F31" s="47">
        <f>F29+F30</f>
        <v/>
      </c>
      <c r="G31" s="47">
        <f>G29+G30</f>
        <v/>
      </c>
      <c r="H31" s="47">
        <f>H29+H30</f>
        <v/>
      </c>
      <c r="I31" s="47">
        <f>I29+I30</f>
        <v/>
      </c>
    </row>
    <row r="33">
      <c r="B33" s="10" t="inlineStr">
        <is>
          <t>By classification:</t>
        </is>
      </c>
    </row>
    <row r="34">
      <c r="B34" s="15" t="inlineStr">
        <is>
          <t xml:space="preserve">  Direct cost of service</t>
        </is>
      </c>
      <c r="E34" s="16">
        <f>E5+E6+E7+E8+E9+E10+E11</f>
        <v/>
      </c>
      <c r="F34" s="16">
        <f>F5+F6+F7+F8+F9+F10+F11</f>
        <v/>
      </c>
      <c r="G34" s="16">
        <f>G5+G6+G7+G8+G9+G10+G11</f>
        <v/>
      </c>
      <c r="H34" s="16">
        <f>H5+H6+H7+H8+H9+H10+H11</f>
        <v/>
      </c>
      <c r="I34" s="16">
        <f>I5+I6+I7+I8+I9+I10+I11</f>
        <v/>
      </c>
    </row>
    <row r="35">
      <c r="B35" s="15" t="inlineStr">
        <is>
          <t xml:space="preserve">  Sales &amp; marketing</t>
        </is>
      </c>
      <c r="E35" s="16">
        <f>E12+E13</f>
        <v/>
      </c>
      <c r="F35" s="16">
        <f>F12+F13</f>
        <v/>
      </c>
      <c r="G35" s="16">
        <f>G12+G13</f>
        <v/>
      </c>
      <c r="H35" s="16">
        <f>H12+H13</f>
        <v/>
      </c>
      <c r="I35" s="16">
        <f>I12+I13</f>
        <v/>
      </c>
    </row>
    <row r="36">
      <c r="B36" s="15" t="inlineStr">
        <is>
          <t xml:space="preserve">  Network operations</t>
        </is>
      </c>
      <c r="E36" s="16">
        <f>E14+E15+E16+E17</f>
        <v/>
      </c>
      <c r="F36" s="16">
        <f>F14+F15+F16+F17</f>
        <v/>
      </c>
      <c r="G36" s="16">
        <f>G14+G15+G16+G17</f>
        <v/>
      </c>
      <c r="H36" s="16">
        <f>H14+H15+H16+H17</f>
        <v/>
      </c>
      <c r="I36" s="16">
        <f>I14+I15+I16+I17</f>
        <v/>
      </c>
    </row>
    <row r="37">
      <c r="B37" s="15" t="inlineStr">
        <is>
          <t xml:space="preserve">  General &amp; administrative</t>
        </is>
      </c>
      <c r="E37" s="16">
        <f>E18+E19+E20+E21+E22+E23+E24+E25+E26+E27+E28+E30</f>
        <v/>
      </c>
      <c r="F37" s="16">
        <f>F18+F19+F20+F21+F22+F23+F24+F25+F26+F27+F28+F30</f>
        <v/>
      </c>
      <c r="G37" s="16">
        <f>G18+G19+G20+G21+G22+G23+G24+G25+G26+G27+G28+G30</f>
        <v/>
      </c>
      <c r="H37" s="16">
        <f>H18+H19+H20+H21+H22+H23+H24+H25+H26+H27+H28+H30</f>
        <v/>
      </c>
      <c r="I37" s="16">
        <f>I18+I19+I20+I21+I22+I23+I24+I25+I26+I27+I28+I30</f>
        <v/>
      </c>
    </row>
    <row r="39">
      <c r="B39" s="31" t="inlineStr">
        <is>
          <t>OpEx per subscriber ($/yr)</t>
        </is>
      </c>
      <c r="E39" s="18">
        <f>'Operating Expenses'!E31/(('Subscriber Forecast'!C50+'Subscriber Forecast'!C49)/2)</f>
        <v/>
      </c>
      <c r="F39" s="18">
        <f>'Operating Expenses'!F31/(('Subscriber Forecast'!D50+'Subscriber Forecast'!D49)/2)</f>
        <v/>
      </c>
      <c r="G39" s="18">
        <f>'Operating Expenses'!G31/(('Subscriber Forecast'!E50+'Subscriber Forecast'!E49)/2)</f>
        <v/>
      </c>
      <c r="H39" s="18">
        <f>'Operating Expenses'!H31/(('Subscriber Forecast'!F50+'Subscriber Forecast'!F49)/2)</f>
        <v/>
      </c>
      <c r="I39" s="18">
        <f>'Operating Expenses'!I31/(('Subscriber Forecast'!G50+'Subscriber Forecast'!G49)/2)</f>
        <v/>
      </c>
    </row>
    <row r="40">
      <c r="B40" s="31" t="inlineStr">
        <is>
          <t>OpEx per revenue dollar</t>
        </is>
      </c>
      <c r="E40" s="50">
        <f>'Operating Expenses'!E31/'Revenue Model'!C17</f>
        <v/>
      </c>
      <c r="F40" s="50">
        <f>'Operating Expenses'!F31/'Revenue Model'!D17</f>
        <v/>
      </c>
      <c r="G40" s="50">
        <f>'Operating Expenses'!G31/'Revenue Model'!E17</f>
        <v/>
      </c>
      <c r="H40" s="50">
        <f>'Operating Expenses'!H31/'Revenue Model'!F17</f>
        <v/>
      </c>
      <c r="I40" s="50">
        <f>'Operating Expenses'!I31/'Revenue Model'!G17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B1" s="1" t="inlineStr">
        <is>
          <t>Current Staffing Structure (Actual)</t>
        </is>
      </c>
    </row>
    <row r="2">
      <c r="B2" s="2" t="inlineStr">
        <is>
          <t>15 filled + 3 open = 18 authorized. Green cells are the reconciliation controls.</t>
        </is>
      </c>
    </row>
    <row r="4" ht="20" customHeight="1">
      <c r="B4" s="20" t="inlineStr">
        <is>
          <t>Position</t>
        </is>
      </c>
      <c r="C4" s="20" t="inlineStr">
        <is>
          <t>Filled</t>
        </is>
      </c>
      <c r="D4" s="20" t="inlineStr">
        <is>
          <t>Open</t>
        </is>
      </c>
      <c r="E4" s="20" t="inlineStr">
        <is>
          <t>Authorized</t>
        </is>
      </c>
      <c r="F4" s="20" t="inlineStr">
        <is>
          <t>Fully-loaded cost each $</t>
        </is>
      </c>
      <c r="G4" s="20" t="inlineStr">
        <is>
          <t>Loaded subtotal $</t>
        </is>
      </c>
    </row>
    <row r="5">
      <c r="B5" s="15" t="inlineStr">
        <is>
          <t>Chief Operations Officer</t>
        </is>
      </c>
      <c r="C5" s="51" t="n">
        <v>1</v>
      </c>
      <c r="D5" s="51" t="n">
        <v>0</v>
      </c>
      <c r="E5" s="14">
        <f>C5+D5</f>
        <v/>
      </c>
      <c r="F5" s="18">
        <f>'Fully Loaded Labor Cost'!G5</f>
        <v/>
      </c>
      <c r="G5" s="16">
        <f>E5*F5</f>
        <v/>
      </c>
    </row>
    <row r="6">
      <c r="B6" s="15" t="inlineStr">
        <is>
          <t>Director of Outside Plant</t>
        </is>
      </c>
      <c r="C6" s="51" t="n">
        <v>1</v>
      </c>
      <c r="D6" s="51" t="n">
        <v>0</v>
      </c>
      <c r="E6" s="14">
        <f>C6+D6</f>
        <v/>
      </c>
      <c r="F6" s="18">
        <f>'Fully Loaded Labor Cost'!G6</f>
        <v/>
      </c>
      <c r="G6" s="16">
        <f>E6*F6</f>
        <v/>
      </c>
    </row>
    <row r="7">
      <c r="B7" s="15" t="inlineStr">
        <is>
          <t>Supervisors</t>
        </is>
      </c>
      <c r="C7" s="51" t="n">
        <v>2</v>
      </c>
      <c r="D7" s="51" t="n">
        <v>0</v>
      </c>
      <c r="E7" s="14">
        <f>C7+D7</f>
        <v/>
      </c>
      <c r="F7" s="18">
        <f>'Fully Loaded Labor Cost'!G7</f>
        <v/>
      </c>
      <c r="G7" s="16">
        <f>E7*F7</f>
        <v/>
      </c>
    </row>
    <row r="8">
      <c r="B8" s="15" t="inlineStr">
        <is>
          <t>Project Coordinators</t>
        </is>
      </c>
      <c r="C8" s="51" t="n">
        <v>2</v>
      </c>
      <c r="D8" s="51" t="n">
        <v>0</v>
      </c>
      <c r="E8" s="14">
        <f>C8+D8</f>
        <v/>
      </c>
      <c r="F8" s="18">
        <f>'Fully Loaded Labor Cost'!G8</f>
        <v/>
      </c>
      <c r="G8" s="16">
        <f>E8*F8</f>
        <v/>
      </c>
    </row>
    <row r="9">
      <c r="B9" s="15" t="inlineStr">
        <is>
          <t>Sales Coordinator</t>
        </is>
      </c>
      <c r="C9" s="51" t="n">
        <v>1</v>
      </c>
      <c r="D9" s="51" t="n">
        <v>0</v>
      </c>
      <c r="E9" s="14">
        <f>C9+D9</f>
        <v/>
      </c>
      <c r="F9" s="18">
        <f>'Fully Loaded Labor Cost'!G9</f>
        <v/>
      </c>
      <c r="G9" s="16">
        <f>E9*F9</f>
        <v/>
      </c>
    </row>
    <row r="10">
      <c r="B10" s="15" t="inlineStr">
        <is>
          <t>Sales Representatives</t>
        </is>
      </c>
      <c r="C10" s="51" t="n">
        <v>3</v>
      </c>
      <c r="D10" s="51" t="n">
        <v>1</v>
      </c>
      <c r="E10" s="14">
        <f>C10+D10</f>
        <v/>
      </c>
      <c r="F10" s="18">
        <f>'Fully Loaded Labor Cost'!G10</f>
        <v/>
      </c>
      <c r="G10" s="16">
        <f>E10*F10</f>
        <v/>
      </c>
    </row>
    <row r="11">
      <c r="B11" s="15" t="inlineStr">
        <is>
          <t>Fiber Technicians</t>
        </is>
      </c>
      <c r="C11" s="51" t="n">
        <v>5</v>
      </c>
      <c r="D11" s="51" t="n">
        <v>2</v>
      </c>
      <c r="E11" s="14">
        <f>C11+D11</f>
        <v/>
      </c>
      <c r="F11" s="18">
        <f>'Fully Loaded Labor Cost'!G11</f>
        <v/>
      </c>
      <c r="G11" s="16">
        <f>E11*F11</f>
        <v/>
      </c>
    </row>
    <row r="12">
      <c r="B12" s="43" t="inlineStr">
        <is>
          <t>TOTAL</t>
        </is>
      </c>
      <c r="C12" s="52">
        <f>SUM(C5:C11)</f>
        <v/>
      </c>
      <c r="D12" s="52">
        <f>SUM(D5:D11)</f>
        <v/>
      </c>
      <c r="E12" s="52">
        <f>SUM(E5:E11)</f>
        <v/>
      </c>
      <c r="G12" s="47">
        <f>SUM(G5:G11)</f>
        <v/>
      </c>
    </row>
    <row r="14">
      <c r="B14" s="31" t="inlineStr">
        <is>
          <t>CHECK: Filled = 15</t>
        </is>
      </c>
      <c r="C14" s="29">
        <f>C12-15</f>
        <v/>
      </c>
    </row>
    <row r="15">
      <c r="B15" s="31" t="inlineStr">
        <is>
          <t>CHECK: Open = 3</t>
        </is>
      </c>
      <c r="C15" s="29">
        <f>D12-3</f>
        <v/>
      </c>
    </row>
    <row r="16">
      <c r="B16" s="31" t="inlineStr">
        <is>
          <t>CHECK: Authorized = 18</t>
        </is>
      </c>
      <c r="C16" s="29">
        <f>E12-18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  <col width="7" customWidth="1" min="3" max="3"/>
    <col width="5" customWidth="1" min="4" max="4"/>
    <col width="10" customWidth="1" min="5" max="5"/>
    <col width="13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 ht="24" customHeight="1">
      <c r="B1" s="1" t="inlineStr">
        <is>
          <t>Five-Year Staffing Plan — Trigger-Based Hiring</t>
        </is>
      </c>
    </row>
    <row r="2">
      <c r="B2" s="2" t="inlineStr">
        <is>
          <t>Positions added when measurable business triggers are met, not fixed dates. Blue base salary = editable; loaded cost computed.</t>
        </is>
      </c>
    </row>
    <row r="4" ht="20" customHeight="1">
      <c r="B4" s="20" t="inlineStr">
        <is>
          <t>Position</t>
        </is>
      </c>
      <c r="C4" s="20" t="inlineStr">
        <is>
          <t>Rec. Yr</t>
        </is>
      </c>
      <c r="D4" s="20" t="inlineStr">
        <is>
          <t>#</t>
        </is>
      </c>
      <c r="E4" s="20" t="inlineStr">
        <is>
          <t>Base $</t>
        </is>
      </c>
      <c r="F4" s="20" t="inlineStr">
        <is>
          <t>Fully-loaded $</t>
        </is>
      </c>
      <c r="G4" s="20" t="inlineStr">
        <is>
          <t>Primary responsibilities</t>
        </is>
      </c>
      <c r="H4" s="20" t="inlineStr">
        <is>
          <t>Reason needed</t>
        </is>
      </c>
      <c r="I4" s="20" t="inlineStr">
        <is>
          <t>Hiring trigger</t>
        </is>
      </c>
      <c r="J4" s="20" t="inlineStr">
        <is>
          <t>Expected benefit</t>
        </is>
      </c>
      <c r="K4" s="20" t="inlineStr">
        <is>
          <t>Risk if not added</t>
        </is>
      </c>
    </row>
    <row r="5">
      <c r="B5" s="15" t="inlineStr">
        <is>
          <t>Network Engineer</t>
        </is>
      </c>
      <c r="C5" s="51" t="n">
        <v>2027</v>
      </c>
      <c r="D5" s="51" t="n">
        <v>1</v>
      </c>
      <c r="E5" s="53" t="n">
        <v>95000</v>
      </c>
      <c r="F5" s="16">
        <f>E5*'Fully Loaded Labor Cost'!C22*D5</f>
        <v/>
      </c>
      <c r="G5" s="54" t="inlineStr">
        <is>
          <t>Design core/access network, capacity planning</t>
        </is>
      </c>
      <c r="H5" s="54" t="inlineStr">
        <is>
          <t>Network complexity rising with growth</t>
        </is>
      </c>
      <c r="I5" s="54" t="inlineStr">
        <is>
          <t>Subs &gt;6,000 OR 3+ active OLT sites</t>
        </is>
      </c>
      <c r="J5" s="54" t="inlineStr">
        <is>
          <t>Prevents outages; scales capacity</t>
        </is>
      </c>
    </row>
    <row r="6">
      <c r="B6" s="15" t="inlineStr">
        <is>
          <t>NOC Technician</t>
        </is>
      </c>
      <c r="C6" s="51" t="n">
        <v>2027</v>
      </c>
      <c r="D6" s="51" t="n">
        <v>1</v>
      </c>
      <c r="E6" s="53" t="n">
        <v>60000</v>
      </c>
      <c r="F6" s="16">
        <f>E6*'Fully Loaded Labor Cost'!C22*D6</f>
        <v/>
      </c>
      <c r="G6" s="54" t="inlineStr">
        <is>
          <t>24x7 monitoring, tier-2 triage</t>
        </is>
      </c>
      <c r="H6" s="54" t="inlineStr">
        <is>
          <t>Proactive fault management</t>
        </is>
      </c>
      <c r="I6" s="54" t="inlineStr">
        <is>
          <t>Trouble tickets &gt;8/tech/day</t>
        </is>
      </c>
      <c r="J6" s="54" t="inlineStr">
        <is>
          <t>Faster MTTR; higher availability</t>
        </is>
      </c>
    </row>
    <row r="7">
      <c r="B7" s="15" t="inlineStr">
        <is>
          <t>Fiber Splicers</t>
        </is>
      </c>
      <c r="C7" s="51" t="n">
        <v>2027</v>
      </c>
      <c r="D7" s="51" t="n">
        <v>2</v>
      </c>
      <c r="E7" s="53" t="n">
        <v>62000</v>
      </c>
      <c r="F7" s="16">
        <f>E7*'Fully Loaded Labor Cost'!C22*D7</f>
        <v/>
      </c>
      <c r="G7" s="54" t="inlineStr">
        <is>
          <t>Backbone/distribution splicing</t>
        </is>
      </c>
      <c r="H7" s="54" t="inlineStr">
        <is>
          <t>Construction volume growth</t>
        </is>
      </c>
      <c r="I7" s="54" t="inlineStr">
        <is>
          <t>Fiber miles &gt;new-build threshold</t>
        </is>
      </c>
      <c r="J7" s="54" t="inlineStr">
        <is>
          <t>In-house splicing lowers cost</t>
        </is>
      </c>
    </row>
    <row r="8">
      <c r="B8" s="15" t="inlineStr">
        <is>
          <t>Residential Sales Reps</t>
        </is>
      </c>
      <c r="C8" s="51" t="n">
        <v>2028</v>
      </c>
      <c r="D8" s="51" t="n">
        <v>2</v>
      </c>
      <c r="E8" s="53" t="n">
        <v>52000</v>
      </c>
      <c r="F8" s="16">
        <f>E8*'Fully Loaded Labor Cost'!C22*D8</f>
        <v/>
      </c>
      <c r="G8" s="54" t="inlineStr">
        <is>
          <t>Door-to-door &amp; inbound residential sales</t>
        </is>
      </c>
      <c r="H8" s="54" t="inlineStr">
        <is>
          <t>Take-rate acceleration</t>
        </is>
      </c>
      <c r="I8" s="54" t="inlineStr">
        <is>
          <t>New passings &gt;4,000/yr</t>
        </is>
      </c>
      <c r="J8" s="54" t="inlineStr">
        <is>
          <t>Higher take rate on new plant</t>
        </is>
      </c>
    </row>
    <row r="9">
      <c r="B9" s="15" t="inlineStr">
        <is>
          <t>Customer Support Reps</t>
        </is>
      </c>
      <c r="C9" s="51" t="n">
        <v>2028</v>
      </c>
      <c r="D9" s="51" t="n">
        <v>2</v>
      </c>
      <c r="E9" s="53" t="n">
        <v>44000</v>
      </c>
      <c r="F9" s="16">
        <f>E9*'Fully Loaded Labor Cost'!C22*D9</f>
        <v/>
      </c>
      <c r="G9" s="54" t="inlineStr">
        <is>
          <t>Tier-1 support, billing inquiries</t>
        </is>
      </c>
      <c r="H9" s="54" t="inlineStr">
        <is>
          <t>Support volume with subscriber base</t>
        </is>
      </c>
      <c r="I9" s="54" t="inlineStr">
        <is>
          <t>Subs &gt;7,500 OR calls/agent high</t>
        </is>
      </c>
      <c r="J9" s="54" t="inlineStr">
        <is>
          <t>Protects CSAT &amp; retention</t>
        </is>
      </c>
    </row>
    <row r="10">
      <c r="B10" s="15" t="inlineStr">
        <is>
          <t>Additional Project Coordinator</t>
        </is>
      </c>
      <c r="C10" s="51" t="n">
        <v>2028</v>
      </c>
      <c r="D10" s="51" t="n">
        <v>1</v>
      </c>
      <c r="E10" s="53" t="n">
        <v>68000</v>
      </c>
      <c r="F10" s="16">
        <f>E10*'Fully Loaded Labor Cost'!C22*D10</f>
        <v/>
      </c>
      <c r="G10" s="54" t="inlineStr">
        <is>
          <t>Coordinate construction projects</t>
        </is>
      </c>
      <c r="H10" s="54" t="inlineStr">
        <is>
          <t>Active project count rising</t>
        </is>
      </c>
      <c r="I10" s="54" t="inlineStr">
        <is>
          <t>Active projects &gt;6 concurrent</t>
        </is>
      </c>
      <c r="J10" s="54" t="inlineStr">
        <is>
          <t>Keeps builds on schedule</t>
        </is>
      </c>
    </row>
    <row r="11">
      <c r="B11" s="15" t="inlineStr">
        <is>
          <t>Fiber Install/Repair Techs</t>
        </is>
      </c>
      <c r="C11" s="51" t="n">
        <v>2028</v>
      </c>
      <c r="D11" s="51" t="n">
        <v>3</v>
      </c>
      <c r="E11" s="53" t="n">
        <v>58000</v>
      </c>
      <c r="F11" s="16">
        <f>E11*'Fully Loaded Labor Cost'!C22*D11</f>
        <v/>
      </c>
      <c r="G11" s="54" t="inlineStr">
        <is>
          <t>Installs &amp; trouble repair</t>
        </is>
      </c>
      <c r="H11" s="54" t="inlineStr">
        <is>
          <t>Install backlog with net adds</t>
        </is>
      </c>
      <c r="I11" s="54" t="inlineStr">
        <is>
          <t>Install interval &gt;10 days</t>
        </is>
      </c>
      <c r="J11" s="54" t="inlineStr">
        <is>
          <t>Shortens install interval</t>
        </is>
      </c>
    </row>
    <row r="12">
      <c r="B12" s="15" t="inlineStr">
        <is>
          <t>Enterprise Sales Rep</t>
        </is>
      </c>
      <c r="C12" s="51" t="n">
        <v>2029</v>
      </c>
      <c r="D12" s="51" t="n">
        <v>1</v>
      </c>
      <c r="E12" s="53" t="n">
        <v>72000</v>
      </c>
      <c r="F12" s="16">
        <f>E12*'Fully Loaded Labor Cost'!C22*D12</f>
        <v/>
      </c>
      <c r="G12" s="54" t="inlineStr">
        <is>
          <t>Enterprise/DIA &amp; wholesale sales</t>
        </is>
      </c>
      <c r="H12" s="54" t="inlineStr">
        <is>
          <t>B2B revenue expansion</t>
        </is>
      </c>
      <c r="I12" s="54" t="inlineStr">
        <is>
          <t>Enterprise pipeline qualified</t>
        </is>
      </c>
      <c r="J12" s="54" t="inlineStr">
        <is>
          <t>Higher-ARPU B2B revenue</t>
        </is>
      </c>
    </row>
    <row r="13">
      <c r="B13" s="15" t="inlineStr">
        <is>
          <t>Construction Inspector</t>
        </is>
      </c>
      <c r="C13" s="51" t="n">
        <v>2029</v>
      </c>
      <c r="D13" s="51" t="n">
        <v>1</v>
      </c>
      <c r="E13" s="53" t="n">
        <v>64000</v>
      </c>
      <c r="F13" s="16">
        <f>E13*'Fully Loaded Labor Cost'!C22*D13</f>
        <v/>
      </c>
      <c r="G13" s="54" t="inlineStr">
        <is>
          <t>QA/QC on construction, grant compliance</t>
        </is>
      </c>
      <c r="H13" s="54" t="inlineStr">
        <is>
          <t>Grant documentation &amp; quality</t>
        </is>
      </c>
      <c r="I13" s="54" t="inlineStr">
        <is>
          <t>Grant-funded miles active</t>
        </is>
      </c>
      <c r="J13" s="54" t="inlineStr">
        <is>
          <t>Grant compliance; fewer defects</t>
        </is>
      </c>
    </row>
    <row r="14">
      <c r="B14" s="15" t="inlineStr">
        <is>
          <t>GIS / Mapping Specialist</t>
        </is>
      </c>
      <c r="C14" s="51" t="n">
        <v>2029</v>
      </c>
      <c r="D14" s="51" t="n">
        <v>1</v>
      </c>
      <c r="E14" s="53" t="n">
        <v>60000</v>
      </c>
      <c r="F14" s="16">
        <f>E14*'Fully Loaded Labor Cost'!C22*D14</f>
        <v/>
      </c>
      <c r="G14" s="54" t="inlineStr">
        <is>
          <t>Network records, as-builts, GIS</t>
        </is>
      </c>
      <c r="H14" s="54" t="inlineStr">
        <is>
          <t>Data quality for ops &amp; grants</t>
        </is>
      </c>
      <c r="I14" s="54" t="inlineStr">
        <is>
          <t>Passings &gt;18,000</t>
        </is>
      </c>
      <c r="J14" s="54" t="inlineStr">
        <is>
          <t>Accurate records; faster locates</t>
        </is>
      </c>
    </row>
    <row r="15">
      <c r="B15" s="15" t="inlineStr">
        <is>
          <t>Additional OSP Supervisor</t>
        </is>
      </c>
      <c r="C15" s="51" t="n">
        <v>2030</v>
      </c>
      <c r="D15" s="51" t="n">
        <v>1</v>
      </c>
      <c r="E15" s="53" t="n">
        <v>90000</v>
      </c>
      <c r="F15" s="16">
        <f>E15*'Fully Loaded Labor Cost'!C22*D15</f>
        <v/>
      </c>
      <c r="G15" s="54" t="inlineStr">
        <is>
          <t>Supervise expanded field crews</t>
        </is>
      </c>
      <c r="H15" s="54" t="inlineStr">
        <is>
          <t>Span of control limit</t>
        </is>
      </c>
      <c r="I15" s="54" t="inlineStr">
        <is>
          <t>Field FTEs/supervisor &gt;8</t>
        </is>
      </c>
      <c r="J15" s="54" t="inlineStr">
        <is>
          <t>Maintains crew productivity</t>
        </is>
      </c>
    </row>
    <row r="16">
      <c r="B16" s="15" t="inlineStr">
        <is>
          <t>Marketing Specialist</t>
        </is>
      </c>
      <c r="C16" s="51" t="n">
        <v>2030</v>
      </c>
      <c r="D16" s="51" t="n">
        <v>1</v>
      </c>
      <c r="E16" s="53" t="n">
        <v>58000</v>
      </c>
      <c r="F16" s="16">
        <f>E16*'Fully Loaded Labor Cost'!C22*D16</f>
        <v/>
      </c>
      <c r="G16" s="54" t="inlineStr">
        <is>
          <t>Campaigns, brand, digital</t>
        </is>
      </c>
      <c r="H16" s="54" t="inlineStr">
        <is>
          <t>Structured demand generation</t>
        </is>
      </c>
      <c r="I16" s="54" t="inlineStr">
        <is>
          <t>Marketing spend &gt;$0.3M/yr</t>
        </is>
      </c>
      <c r="J16" s="54" t="inlineStr">
        <is>
          <t>Lower CAC; higher take rate</t>
        </is>
      </c>
    </row>
    <row r="17">
      <c r="B17" s="15" t="inlineStr">
        <is>
          <t>Customer Experience Manager</t>
        </is>
      </c>
      <c r="C17" s="51" t="n">
        <v>2030</v>
      </c>
      <c r="D17" s="51" t="n">
        <v>1</v>
      </c>
      <c r="E17" s="53" t="n">
        <v>78000</v>
      </c>
      <c r="F17" s="16">
        <f>E17*'Fully Loaded Labor Cost'!C22*D17</f>
        <v/>
      </c>
      <c r="G17" s="54" t="inlineStr">
        <is>
          <t>Own CSAT, retention programs</t>
        </is>
      </c>
      <c r="H17" s="54" t="inlineStr">
        <is>
          <t>Retention discipline at scale</t>
        </is>
      </c>
      <c r="I17" s="54" t="inlineStr">
        <is>
          <t>Subs &gt;10,000</t>
        </is>
      </c>
      <c r="J17" s="54" t="inlineStr">
        <is>
          <t>Lower churn; higher NRR</t>
        </is>
      </c>
    </row>
    <row r="18">
      <c r="B18" s="15" t="inlineStr">
        <is>
          <t>Data Analyst</t>
        </is>
      </c>
      <c r="C18" s="51" t="n">
        <v>2031</v>
      </c>
      <c r="D18" s="51" t="n">
        <v>1</v>
      </c>
      <c r="E18" s="53" t="n">
        <v>70000</v>
      </c>
      <c r="F18" s="16">
        <f>E18*'Fully Loaded Labor Cost'!C22*D18</f>
        <v/>
      </c>
      <c r="G18" s="54" t="inlineStr">
        <is>
          <t>KPI reporting, forecasting</t>
        </is>
      </c>
      <c r="H18" s="54" t="inlineStr">
        <is>
          <t>Data-driven decisions</t>
        </is>
      </c>
      <c r="I18" s="54" t="inlineStr">
        <is>
          <t>Monthly KPI program mature</t>
        </is>
      </c>
      <c r="J18" s="54" t="inlineStr">
        <is>
          <t>Better forecasts &amp; decisions</t>
        </is>
      </c>
    </row>
    <row r="19">
      <c r="B19" s="15" t="inlineStr">
        <is>
          <t>Warehouse &amp; Inventory Specialist</t>
        </is>
      </c>
      <c r="C19" s="51" t="n">
        <v>2031</v>
      </c>
      <c r="D19" s="51" t="n">
        <v>1</v>
      </c>
      <c r="E19" s="53" t="n">
        <v>50000</v>
      </c>
      <c r="F19" s="16">
        <f>E19*'Fully Loaded Labor Cost'!C22*D19</f>
        <v/>
      </c>
      <c r="G19" s="54" t="inlineStr">
        <is>
          <t>Inventory control, staging</t>
        </is>
      </c>
      <c r="H19" s="54" t="inlineStr">
        <is>
          <t>Inventory scale &amp; shrink control</t>
        </is>
      </c>
      <c r="I19" s="54" t="inlineStr">
        <is>
          <t>Multiple warehouses</t>
        </is>
      </c>
      <c r="J19" s="54" t="inlineStr">
        <is>
          <t>Lower shrink; faster installs</t>
        </is>
      </c>
    </row>
    <row r="20">
      <c r="B20" s="43" t="inlineStr">
        <is>
          <t>TOTAL NEW POSITIONS</t>
        </is>
      </c>
      <c r="D20" s="52">
        <f>SUM(D5:D19)</f>
        <v/>
      </c>
      <c r="F20" s="47">
        <f>SUM(F5:F19)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B1" s="1" t="inlineStr">
        <is>
          <t>Fully-Loaded Labor Cost Build-Up</t>
        </is>
      </c>
    </row>
    <row r="2">
      <c r="B2" s="2" t="inlineStr">
        <is>
          <t>Blue = editable placeholder wage/benefit inputs. Fully-loaded = base × load factor + tools + recruiting. Orange = placeholder.</t>
        </is>
      </c>
    </row>
    <row r="4" ht="20" customHeight="1">
      <c r="B4" s="20" t="inlineStr">
        <is>
          <t>Current position</t>
        </is>
      </c>
      <c r="C4" s="20" t="inlineStr">
        <is>
          <t>Base salary $</t>
        </is>
      </c>
      <c r="D4" s="20" t="inlineStr">
        <is>
          <t>Filled</t>
        </is>
      </c>
      <c r="E4" s="20" t="inlineStr">
        <is>
          <t>Open</t>
        </is>
      </c>
      <c r="F4" s="20" t="inlineStr">
        <is>
          <t>Authorized</t>
        </is>
      </c>
      <c r="G4" s="20" t="inlineStr">
        <is>
          <t>Loaded/position $</t>
        </is>
      </c>
    </row>
    <row r="5">
      <c r="B5" s="15" t="inlineStr">
        <is>
          <t>Chief Operations Officer</t>
        </is>
      </c>
      <c r="C5" s="53" t="n">
        <v>165000</v>
      </c>
      <c r="D5" s="51" t="n">
        <v>1</v>
      </c>
      <c r="E5" s="51" t="n">
        <v>0</v>
      </c>
      <c r="F5" s="14">
        <f>D5+E5</f>
        <v/>
      </c>
      <c r="G5" s="18">
        <f>C5*C22+C23+C24</f>
        <v/>
      </c>
    </row>
    <row r="6">
      <c r="B6" s="15" t="inlineStr">
        <is>
          <t>Director of Outside Plant</t>
        </is>
      </c>
      <c r="C6" s="53" t="n">
        <v>130000</v>
      </c>
      <c r="D6" s="51" t="n">
        <v>1</v>
      </c>
      <c r="E6" s="51" t="n">
        <v>0</v>
      </c>
      <c r="F6" s="14">
        <f>D6+E6</f>
        <v/>
      </c>
      <c r="G6" s="18">
        <f>C6*C22+C23+C24</f>
        <v/>
      </c>
    </row>
    <row r="7">
      <c r="B7" s="15" t="inlineStr">
        <is>
          <t>Supervisors</t>
        </is>
      </c>
      <c r="C7" s="53" t="n">
        <v>92000</v>
      </c>
      <c r="D7" s="51" t="n">
        <v>2</v>
      </c>
      <c r="E7" s="51" t="n">
        <v>0</v>
      </c>
      <c r="F7" s="14">
        <f>D7+E7</f>
        <v/>
      </c>
      <c r="G7" s="18">
        <f>C7*C22+C23+C24</f>
        <v/>
      </c>
    </row>
    <row r="8">
      <c r="B8" s="15" t="inlineStr">
        <is>
          <t>Project Coordinators</t>
        </is>
      </c>
      <c r="C8" s="53" t="n">
        <v>68000</v>
      </c>
      <c r="D8" s="51" t="n">
        <v>2</v>
      </c>
      <c r="E8" s="51" t="n">
        <v>0</v>
      </c>
      <c r="F8" s="14">
        <f>D8+E8</f>
        <v/>
      </c>
      <c r="G8" s="18">
        <f>C8*C22+C23+C24</f>
        <v/>
      </c>
    </row>
    <row r="9">
      <c r="B9" s="15" t="inlineStr">
        <is>
          <t>Sales Coordinator</t>
        </is>
      </c>
      <c r="C9" s="53" t="n">
        <v>62000</v>
      </c>
      <c r="D9" s="51" t="n">
        <v>1</v>
      </c>
      <c r="E9" s="51" t="n">
        <v>0</v>
      </c>
      <c r="F9" s="14">
        <f>D9+E9</f>
        <v/>
      </c>
      <c r="G9" s="18">
        <f>C9*C22+C23+C24</f>
        <v/>
      </c>
    </row>
    <row r="10">
      <c r="B10" s="15" t="inlineStr">
        <is>
          <t>Sales Representatives</t>
        </is>
      </c>
      <c r="C10" s="53" t="n">
        <v>55000</v>
      </c>
      <c r="D10" s="51" t="n">
        <v>3</v>
      </c>
      <c r="E10" s="51" t="n">
        <v>1</v>
      </c>
      <c r="F10" s="14">
        <f>D10+E10</f>
        <v/>
      </c>
      <c r="G10" s="18">
        <f>C10*C22+C23+C24</f>
        <v/>
      </c>
    </row>
    <row r="11">
      <c r="B11" s="15" t="inlineStr">
        <is>
          <t>Fiber Technicians</t>
        </is>
      </c>
      <c r="C11" s="53" t="n">
        <v>58000</v>
      </c>
      <c r="D11" s="51" t="n">
        <v>5</v>
      </c>
      <c r="E11" s="51" t="n">
        <v>2</v>
      </c>
      <c r="F11" s="14">
        <f>D11+E11</f>
        <v/>
      </c>
      <c r="G11" s="18">
        <f>C11*C22+C23+C24</f>
        <v/>
      </c>
    </row>
    <row r="12">
      <c r="B12" s="43" t="inlineStr">
        <is>
          <t>TOTAL / WEIGHTED</t>
        </is>
      </c>
      <c r="C12" s="55">
        <f>SUMPRODUCT(C5:C11,F5:F11)</f>
        <v/>
      </c>
      <c r="D12" s="52">
        <f>SUM(D5:D11)</f>
        <v/>
      </c>
      <c r="E12" s="52">
        <f>SUM(E5:E11)</f>
        <v/>
      </c>
      <c r="F12" s="52">
        <f>SUM(F5:F11)</f>
        <v/>
      </c>
    </row>
    <row r="14">
      <c r="B14" s="10" t="inlineStr">
        <is>
          <t>LOAD COMPONENTS (% of base)</t>
        </is>
      </c>
    </row>
    <row r="15">
      <c r="B15" s="15" t="inlineStr">
        <is>
          <t>Overtime</t>
        </is>
      </c>
      <c r="C15" s="56" t="n">
        <v>0.05</v>
      </c>
    </row>
    <row r="16">
      <c r="B16" s="15" t="inlineStr">
        <is>
          <t>Incentive compensation</t>
        </is>
      </c>
      <c r="C16" s="56" t="n">
        <v>0.06</v>
      </c>
    </row>
    <row r="17">
      <c r="B17" s="15" t="inlineStr">
        <is>
          <t>Payroll taxes</t>
        </is>
      </c>
      <c r="C17" s="56" t="n">
        <v>0.0765</v>
      </c>
    </row>
    <row r="18">
      <c r="B18" s="15" t="inlineStr">
        <is>
          <t>Health &amp; retirement benefits</t>
        </is>
      </c>
      <c r="C18" s="56" t="n">
        <v>0.18</v>
      </c>
    </row>
    <row r="19">
      <c r="B19" s="15" t="inlineStr">
        <is>
          <t>Workers' compensation</t>
        </is>
      </c>
      <c r="C19" s="56" t="n">
        <v>0.035</v>
      </c>
    </row>
    <row r="20">
      <c r="B20" s="15" t="inlineStr">
        <is>
          <t>Training &amp; certifications</t>
        </is>
      </c>
      <c r="C20" s="56" t="n">
        <v>0.015</v>
      </c>
    </row>
    <row r="21">
      <c r="B21" s="15" t="inlineStr">
        <is>
          <t>Uniforms &amp; PPE</t>
        </is>
      </c>
      <c r="C21" s="56" t="n">
        <v>0.01</v>
      </c>
    </row>
    <row r="22">
      <c r="B22" s="41" t="inlineStr">
        <is>
          <t>Load factor (1 + Σ)</t>
        </is>
      </c>
      <c r="C22" s="57">
        <f>1+SUM(C15:C21)</f>
        <v/>
      </c>
    </row>
    <row r="23">
      <c r="B23" s="15" t="inlineStr">
        <is>
          <t>Per-head tools/laptop/phone/test equip $</t>
        </is>
      </c>
      <c r="C23" s="53" t="n">
        <v>3500</v>
      </c>
    </row>
    <row r="24">
      <c r="B24" s="15" t="inlineStr">
        <is>
          <t>Per-head recruiting/onboarding $</t>
        </is>
      </c>
      <c r="C24" s="53" t="n">
        <v>1200</v>
      </c>
    </row>
    <row r="25">
      <c r="B25" s="15" t="inlineStr">
        <is>
          <t>Annual merit increase %</t>
        </is>
      </c>
      <c r="C25" s="34" t="n">
        <v>0.03</v>
      </c>
    </row>
    <row r="26">
      <c r="B26" s="15" t="inlineStr">
        <is>
          <t>Average base salary (authorized) $</t>
        </is>
      </c>
      <c r="C26" s="18">
        <f>C12/F12</f>
        <v/>
      </c>
    </row>
    <row r="27">
      <c r="B27" s="41" t="inlineStr">
        <is>
          <t>FULLY-LOADED COST PER POSITION $</t>
        </is>
      </c>
      <c r="C27" s="58">
        <f>C26*C22+C23+C24</f>
        <v/>
      </c>
    </row>
    <row r="29">
      <c r="B29" s="10" t="inlineStr">
        <is>
          <t>FIVE-YEAR FULLY-LOADED LABOR COST</t>
        </is>
      </c>
    </row>
    <row r="30" ht="20" customHeight="1">
      <c r="B30" s="20" t="inlineStr">
        <is>
          <t>Item</t>
        </is>
      </c>
      <c r="C30" s="20" t="inlineStr">
        <is>
          <t>2027</t>
        </is>
      </c>
      <c r="D30" s="20" t="inlineStr">
        <is>
          <t>2028</t>
        </is>
      </c>
      <c r="E30" s="20" t="inlineStr">
        <is>
          <t>2029</t>
        </is>
      </c>
      <c r="F30" s="20" t="inlineStr">
        <is>
          <t>2030</t>
        </is>
      </c>
      <c r="G30" s="20" t="inlineStr">
        <is>
          <t>2031</t>
        </is>
      </c>
      <c r="H30" s="20" t="inlineStr">
        <is>
          <t>5-Yr Total</t>
        </is>
      </c>
    </row>
    <row r="31">
      <c r="B31" s="15" t="inlineStr">
        <is>
          <t>Total headcount (EOY)</t>
        </is>
      </c>
      <c r="C31" s="17">
        <f>Assumptions!E41</f>
        <v/>
      </c>
      <c r="D31" s="17">
        <f>Assumptions!F41</f>
        <v/>
      </c>
      <c r="E31" s="17">
        <f>Assumptions!G41</f>
        <v/>
      </c>
      <c r="F31" s="17">
        <f>Assumptions!H41</f>
        <v/>
      </c>
      <c r="G31" s="17">
        <f>Assumptions!I41</f>
        <v/>
      </c>
    </row>
    <row r="32">
      <c r="B32" s="41" t="inlineStr">
        <is>
          <t>Fully-loaded labor cost</t>
        </is>
      </c>
      <c r="C32" s="59">
        <f>C31*C27*(1+C25)^0</f>
        <v/>
      </c>
      <c r="D32" s="59">
        <f>D31*C27*(1+C25)^1</f>
        <v/>
      </c>
      <c r="E32" s="59">
        <f>E31*C27*(1+C25)^2</f>
        <v/>
      </c>
      <c r="F32" s="59">
        <f>F31*C27*(1+C25)^3</f>
        <v/>
      </c>
      <c r="G32" s="59">
        <f>G31*C27*(1+C25)^4</f>
        <v/>
      </c>
      <c r="H32" s="59">
        <f>SUM(C32:G32)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Q2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3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7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24" customHeight="1">
      <c r="B1" s="1" t="inlineStr">
        <is>
          <t>Five-Year Capital Plan — $10M/yr · $50M/5yr</t>
        </is>
      </c>
    </row>
    <row r="2">
      <c r="B2" s="2" t="inlineStr">
        <is>
          <t>Refresh (#15) is fixed $400K/yr &amp; fully committed. Others scale by deployment fraction. Reserve/carryforward allowed — full $10M not forced.</t>
        </is>
      </c>
    </row>
    <row r="4" ht="20" customHeight="1">
      <c r="B4" s="20" t="inlineStr">
        <is>
          <t>Category</t>
        </is>
      </c>
      <c r="C4" s="20" t="inlineStr">
        <is>
          <t>Annual Alloc $</t>
        </is>
      </c>
      <c r="D4" s="20" t="inlineStr">
        <is>
          <t>% Cap</t>
        </is>
      </c>
      <c r="E4" s="20" t="inlineStr">
        <is>
          <t>2027</t>
        </is>
      </c>
      <c r="F4" s="20" t="inlineStr">
        <is>
          <t>2028</t>
        </is>
      </c>
      <c r="G4" s="20" t="inlineStr">
        <is>
          <t>2029</t>
        </is>
      </c>
      <c r="H4" s="20" t="inlineStr">
        <is>
          <t>2030</t>
        </is>
      </c>
      <c r="I4" s="20" t="inlineStr">
        <is>
          <t>2031</t>
        </is>
      </c>
      <c r="J4" s="20" t="inlineStr">
        <is>
          <t>5-Yr $</t>
        </is>
      </c>
      <c r="K4" s="20" t="inlineStr">
        <is>
          <t>Depr yrs</t>
        </is>
      </c>
      <c r="L4" s="20" t="inlineStr">
        <is>
          <t>Business purpose</t>
        </is>
      </c>
      <c r="M4" s="20" t="inlineStr">
        <is>
          <t>Operational benefit</t>
        </is>
      </c>
      <c r="N4" s="20" t="inlineStr">
        <is>
          <t>Revenue / cost impact</t>
        </is>
      </c>
      <c r="O4" s="20" t="inlineStr">
        <is>
          <t>Timing</t>
        </is>
      </c>
      <c r="P4" s="20" t="inlineStr">
        <is>
          <t>Key dependency</t>
        </is>
      </c>
      <c r="Q4" s="20" t="inlineStr">
        <is>
          <t>Responsible</t>
        </is>
      </c>
    </row>
    <row r="5">
      <c r="B5" s="15" t="inlineStr">
        <is>
          <t>1. Fiber backbone construction</t>
        </is>
      </c>
      <c r="C5" s="36" t="n">
        <v>800000</v>
      </c>
      <c r="D5" s="60">
        <f>C5/10000000</f>
        <v/>
      </c>
      <c r="E5" s="16">
        <f>ROUND($C5*Assumptions!E29,0)</f>
        <v/>
      </c>
      <c r="F5" s="16">
        <f>ROUND($C5*Assumptions!F29,0)</f>
        <v/>
      </c>
      <c r="G5" s="16">
        <f>ROUND($C5*Assumptions!G29,0)</f>
        <v/>
      </c>
      <c r="H5" s="16">
        <f>ROUND($C5*Assumptions!H29,0)</f>
        <v/>
      </c>
      <c r="I5" s="16">
        <f>ROUND($C5*Assumptions!I29,0)</f>
        <v/>
      </c>
      <c r="J5" s="16">
        <f>SUM(E5:I5)</f>
        <v/>
      </c>
      <c r="K5" s="61" t="n">
        <v>25</v>
      </c>
      <c r="L5" s="54" t="inlineStr">
        <is>
          <t>Middle-mile &amp; backbone fiber routes</t>
        </is>
      </c>
      <c r="M5" s="54" t="inlineStr">
        <is>
          <t>Adds transport capacity &amp; redundancy</t>
        </is>
      </c>
      <c r="N5" s="54" t="inlineStr">
        <is>
          <t>Enables new market revenue; lowers leased-transport cost</t>
        </is>
      </c>
      <c r="O5" s="54" t="inlineStr">
        <is>
          <t>Y1-Y3 priority</t>
        </is>
      </c>
      <c r="P5" s="54" t="inlineStr">
        <is>
          <t>Permitting, pole make-ready</t>
        </is>
      </c>
      <c r="Q5" s="54" t="inlineStr">
        <is>
          <t>VP Engineering / Dir OSP</t>
        </is>
      </c>
    </row>
    <row r="6">
      <c r="B6" s="15" t="inlineStr">
        <is>
          <t>2. Distribution fiber construction</t>
        </is>
      </c>
      <c r="C6" s="36" t="n">
        <v>1300000</v>
      </c>
      <c r="D6" s="60">
        <f>C6/10000000</f>
        <v/>
      </c>
      <c r="E6" s="16">
        <f>ROUND($C6*Assumptions!E29,0)</f>
        <v/>
      </c>
      <c r="F6" s="16">
        <f>ROUND($C6*Assumptions!F29,0)</f>
        <v/>
      </c>
      <c r="G6" s="16">
        <f>ROUND($C6*Assumptions!G29,0)</f>
        <v/>
      </c>
      <c r="H6" s="16">
        <f>ROUND($C6*Assumptions!H29,0)</f>
        <v/>
      </c>
      <c r="I6" s="16">
        <f>ROUND($C6*Assumptions!I29,0)</f>
        <v/>
      </c>
      <c r="J6" s="16">
        <f>SUM(E6:I6)</f>
        <v/>
      </c>
      <c r="K6" s="61" t="n">
        <v>25</v>
      </c>
      <c r="L6" s="54" t="inlineStr">
        <is>
          <t>Neighborhood distribution plant</t>
        </is>
      </c>
      <c r="M6" s="54" t="inlineStr">
        <is>
          <t>Extends serviceable footprint</t>
        </is>
      </c>
      <c r="N6" s="54" t="inlineStr">
        <is>
          <t>Drives new passings → subscriber revenue</t>
        </is>
      </c>
      <c r="O6" s="54" t="inlineStr">
        <is>
          <t>Continuous</t>
        </is>
      </c>
      <c r="P6" s="54" t="inlineStr">
        <is>
          <t>Backbone in place</t>
        </is>
      </c>
      <c r="Q6" s="54" t="inlineStr">
        <is>
          <t>Dir Outside Plant</t>
        </is>
      </c>
    </row>
    <row r="7">
      <c r="B7" s="15" t="inlineStr">
        <is>
          <t>3. Fiber-to-the-home expansion</t>
        </is>
      </c>
      <c r="C7" s="36" t="n">
        <v>2350000</v>
      </c>
      <c r="D7" s="60">
        <f>C7/10000000</f>
        <v/>
      </c>
      <c r="E7" s="16">
        <f>ROUND($C7*Assumptions!E29,0)</f>
        <v/>
      </c>
      <c r="F7" s="16">
        <f>ROUND($C7*Assumptions!F29,0)</f>
        <v/>
      </c>
      <c r="G7" s="16">
        <f>ROUND($C7*Assumptions!G29,0)</f>
        <v/>
      </c>
      <c r="H7" s="16">
        <f>ROUND($C7*Assumptions!H29,0)</f>
        <v/>
      </c>
      <c r="I7" s="16">
        <f>ROUND($C7*Assumptions!I29,0)</f>
        <v/>
      </c>
      <c r="J7" s="16">
        <f>SUM(E7:I7)</f>
        <v/>
      </c>
      <c r="K7" s="61" t="n">
        <v>20</v>
      </c>
      <c r="L7" s="54" t="inlineStr">
        <is>
          <t>Drops, ONTs, service laterals</t>
        </is>
      </c>
      <c r="M7" s="54" t="inlineStr">
        <is>
          <t>Converts passings to paying subs</t>
        </is>
      </c>
      <c r="N7" s="54" t="inlineStr">
        <is>
          <t>Primary residential revenue driver</t>
        </is>
      </c>
      <c r="O7" s="54" t="inlineStr">
        <is>
          <t>Continuous, demand-led</t>
        </is>
      </c>
      <c r="P7" s="54" t="inlineStr">
        <is>
          <t>Distribution built</t>
        </is>
      </c>
      <c r="Q7" s="54" t="inlineStr">
        <is>
          <t>Dir OSP / COO</t>
        </is>
      </c>
    </row>
    <row r="8">
      <c r="B8" s="15" t="inlineStr">
        <is>
          <t>4. Business &amp; enterprise expansion</t>
        </is>
      </c>
      <c r="C8" s="36" t="n">
        <v>700000</v>
      </c>
      <c r="D8" s="60">
        <f>C8/10000000</f>
        <v/>
      </c>
      <c r="E8" s="16">
        <f>ROUND($C8*Assumptions!E29,0)</f>
        <v/>
      </c>
      <c r="F8" s="16">
        <f>ROUND($C8*Assumptions!F29,0)</f>
        <v/>
      </c>
      <c r="G8" s="16">
        <f>ROUND($C8*Assumptions!G29,0)</f>
        <v/>
      </c>
      <c r="H8" s="16">
        <f>ROUND($C8*Assumptions!H29,0)</f>
        <v/>
      </c>
      <c r="I8" s="16">
        <f>ROUND($C8*Assumptions!I29,0)</f>
        <v/>
      </c>
      <c r="J8" s="16">
        <f>SUM(E8:I8)</f>
        <v/>
      </c>
      <c r="K8" s="61" t="n">
        <v>15</v>
      </c>
      <c r="L8" s="54" t="inlineStr">
        <is>
          <t>Business fiber &amp; enterprise circuits</t>
        </is>
      </c>
      <c r="M8" s="54" t="inlineStr">
        <is>
          <t>Higher-ARPU B2B connectivity</t>
        </is>
      </c>
      <c r="N8" s="54" t="inlineStr">
        <is>
          <t>Enterprise/DIA revenue &amp; margin</t>
        </is>
      </c>
      <c r="O8" s="54" t="inlineStr">
        <is>
          <t>Y1-Y5, pipeline-led</t>
        </is>
      </c>
      <c r="P8" s="54" t="inlineStr">
        <is>
          <t>Sales pipeline</t>
        </is>
      </c>
      <c r="Q8" s="54" t="inlineStr">
        <is>
          <t>VP Sales / Eng</t>
        </is>
      </c>
    </row>
    <row r="9">
      <c r="B9" s="15" t="inlineStr">
        <is>
          <t>5. Grant matching funds</t>
        </is>
      </c>
      <c r="C9" s="36" t="n">
        <v>1000000</v>
      </c>
      <c r="D9" s="60">
        <f>C9/10000000</f>
        <v/>
      </c>
      <c r="E9" s="16">
        <f>ROUND($C9*Assumptions!E29,0)</f>
        <v/>
      </c>
      <c r="F9" s="16">
        <f>ROUND($C9*Assumptions!F29,0)</f>
        <v/>
      </c>
      <c r="G9" s="16">
        <f>ROUND($C9*Assumptions!G29,0)</f>
        <v/>
      </c>
      <c r="H9" s="16">
        <f>ROUND($C9*Assumptions!H29,0)</f>
        <v/>
      </c>
      <c r="I9" s="16">
        <f>ROUND($C9*Assumptions!I29,0)</f>
        <v/>
      </c>
      <c r="J9" s="16">
        <f>SUM(E9:I9)</f>
        <v/>
      </c>
      <c r="K9" s="61" t="n">
        <v>20</v>
      </c>
      <c r="L9" s="54" t="inlineStr">
        <is>
          <t>Required match for grant builds</t>
        </is>
      </c>
      <c r="M9" s="54" t="inlineStr">
        <is>
          <t>Unlocks grant-funded construction</t>
        </is>
      </c>
      <c r="N9" s="54" t="inlineStr">
        <is>
          <t>Leverages external capital 2-5x</t>
        </is>
      </c>
      <c r="O9" s="54" t="inlineStr">
        <is>
          <t>Per award schedule</t>
        </is>
      </c>
      <c r="P9" s="54" t="inlineStr">
        <is>
          <t>Grant awards</t>
        </is>
      </c>
      <c r="Q9" s="54" t="inlineStr">
        <is>
          <t>CFO / Grants Mgr</t>
        </is>
      </c>
    </row>
    <row r="10">
      <c r="B10" s="15" t="inlineStr">
        <is>
          <t>6. Core network &amp; transport equipment</t>
        </is>
      </c>
      <c r="C10" s="36" t="n">
        <v>500000</v>
      </c>
      <c r="D10" s="60">
        <f>C10/10000000</f>
        <v/>
      </c>
      <c r="E10" s="16">
        <f>ROUND($C10*Assumptions!E29,0)</f>
        <v/>
      </c>
      <c r="F10" s="16">
        <f>ROUND($C10*Assumptions!F29,0)</f>
        <v/>
      </c>
      <c r="G10" s="16">
        <f>ROUND($C10*Assumptions!G29,0)</f>
        <v/>
      </c>
      <c r="H10" s="16">
        <f>ROUND($C10*Assumptions!H29,0)</f>
        <v/>
      </c>
      <c r="I10" s="16">
        <f>ROUND($C10*Assumptions!I29,0)</f>
        <v/>
      </c>
      <c r="J10" s="16">
        <f>SUM(E10:I10)</f>
        <v/>
      </c>
      <c r="K10" s="61" t="n">
        <v>10</v>
      </c>
      <c r="L10" s="54" t="inlineStr">
        <is>
          <t>Routers, switches, DWDM</t>
        </is>
      </c>
      <c r="M10" s="54" t="inlineStr">
        <is>
          <t>Core capacity &amp; resiliency</t>
        </is>
      </c>
      <c r="N10" s="54" t="inlineStr">
        <is>
          <t>Supports all revenue; avoids congestion</t>
        </is>
      </c>
      <c r="O10" s="54" t="inlineStr">
        <is>
          <t>Y1 refresh + growth</t>
        </is>
      </c>
      <c r="P10" s="54" t="inlineStr">
        <is>
          <t>Vendor lead times</t>
        </is>
      </c>
      <c r="Q10" s="54" t="inlineStr">
        <is>
          <t>Network Engineering</t>
        </is>
      </c>
    </row>
    <row r="11">
      <c r="B11" s="15" t="inlineStr">
        <is>
          <t>7. OLT, cabinet &amp; access-network equipment</t>
        </is>
      </c>
      <c r="C11" s="36" t="n">
        <v>650000</v>
      </c>
      <c r="D11" s="60">
        <f>C11/10000000</f>
        <v/>
      </c>
      <c r="E11" s="16">
        <f>ROUND($C11*Assumptions!E29,0)</f>
        <v/>
      </c>
      <c r="F11" s="16">
        <f>ROUND($C11*Assumptions!F29,0)</f>
        <v/>
      </c>
      <c r="G11" s="16">
        <f>ROUND($C11*Assumptions!G29,0)</f>
        <v/>
      </c>
      <c r="H11" s="16">
        <f>ROUND($C11*Assumptions!H29,0)</f>
        <v/>
      </c>
      <c r="I11" s="16">
        <f>ROUND($C11*Assumptions!I29,0)</f>
        <v/>
      </c>
      <c r="J11" s="16">
        <f>SUM(E11:I11)</f>
        <v/>
      </c>
      <c r="K11" s="61" t="n">
        <v>10</v>
      </c>
      <c r="L11" s="54" t="inlineStr">
        <is>
          <t>OLTs, cabinets, splitters</t>
        </is>
      </c>
      <c r="M11" s="54" t="inlineStr">
        <is>
          <t>Access-layer subscriber capacity</t>
        </is>
      </c>
      <c r="N11" s="54" t="inlineStr">
        <is>
          <t>Enables sub growth per node</t>
        </is>
      </c>
      <c r="O11" s="54" t="inlineStr">
        <is>
          <t>With distribution</t>
        </is>
      </c>
      <c r="P11" s="54" t="inlineStr">
        <is>
          <t>Cabinet siting/power</t>
        </is>
      </c>
      <c r="Q11" s="54" t="inlineStr">
        <is>
          <t>Network Eng / OSP</t>
        </is>
      </c>
    </row>
    <row r="12">
      <c r="B12" s="15" t="inlineStr">
        <is>
          <t>8. CPE &amp; ONTs</t>
        </is>
      </c>
      <c r="C12" s="36" t="n">
        <v>600000</v>
      </c>
      <c r="D12" s="60">
        <f>C12/10000000</f>
        <v/>
      </c>
      <c r="E12" s="16">
        <f>ROUND($C12*Assumptions!E29,0)</f>
        <v/>
      </c>
      <c r="F12" s="16">
        <f>ROUND($C12*Assumptions!F29,0)</f>
        <v/>
      </c>
      <c r="G12" s="16">
        <f>ROUND($C12*Assumptions!G29,0)</f>
        <v/>
      </c>
      <c r="H12" s="16">
        <f>ROUND($C12*Assumptions!H29,0)</f>
        <v/>
      </c>
      <c r="I12" s="16">
        <f>ROUND($C12*Assumptions!I29,0)</f>
        <v/>
      </c>
      <c r="J12" s="16">
        <f>SUM(E12:I12)</f>
        <v/>
      </c>
      <c r="K12" s="61" t="n">
        <v>7</v>
      </c>
      <c r="L12" s="54" t="inlineStr">
        <is>
          <t>Customer ONTs, routers, Wi-Fi</t>
        </is>
      </c>
      <c r="M12" s="54" t="inlineStr">
        <is>
          <t>In-home service delivery</t>
        </is>
      </c>
      <c r="N12" s="54" t="inlineStr">
        <is>
          <t>Per-sub install; equipment fees</t>
        </is>
      </c>
      <c r="O12" s="54" t="inlineStr">
        <is>
          <t>Demand-led</t>
        </is>
      </c>
      <c r="P12" s="54" t="inlineStr">
        <is>
          <t>Install labor</t>
        </is>
      </c>
      <c r="Q12" s="54" t="inlineStr">
        <is>
          <t>Field Operations</t>
        </is>
      </c>
    </row>
    <row r="13">
      <c r="B13" s="15" t="inlineStr">
        <is>
          <t>9. Vehicles &amp; fleet</t>
        </is>
      </c>
      <c r="C13" s="36" t="n">
        <v>250000</v>
      </c>
      <c r="D13" s="60">
        <f>C13/10000000</f>
        <v/>
      </c>
      <c r="E13" s="16">
        <f>ROUND($C13*Assumptions!E29,0)</f>
        <v/>
      </c>
      <c r="F13" s="16">
        <f>ROUND($C13*Assumptions!F29,0)</f>
        <v/>
      </c>
      <c r="G13" s="16">
        <f>ROUND($C13*Assumptions!G29,0)</f>
        <v/>
      </c>
      <c r="H13" s="16">
        <f>ROUND($C13*Assumptions!H29,0)</f>
        <v/>
      </c>
      <c r="I13" s="16">
        <f>ROUND($C13*Assumptions!I29,0)</f>
        <v/>
      </c>
      <c r="J13" s="16">
        <f>SUM(E13:I13)</f>
        <v/>
      </c>
      <c r="K13" s="61" t="n">
        <v>7</v>
      </c>
      <c r="L13" s="54" t="inlineStr">
        <is>
          <t>Bucket/service trucks &amp; vans</t>
        </is>
      </c>
      <c r="M13" s="54" t="inlineStr">
        <is>
          <t>Field workforce mobility</t>
        </is>
      </c>
      <c r="N13" s="54" t="inlineStr">
        <is>
          <t>Install &amp; repair throughput</t>
        </is>
      </c>
      <c r="O13" s="54" t="inlineStr">
        <is>
          <t>Y1-Y2 fleet build</t>
        </is>
      </c>
      <c r="P13" s="54" t="inlineStr">
        <is>
          <t>Vehicle supply</t>
        </is>
      </c>
      <c r="Q13" s="54" t="inlineStr">
        <is>
          <t>Fleet / Facilities</t>
        </is>
      </c>
    </row>
    <row r="14">
      <c r="B14" s="15" t="inlineStr">
        <is>
          <t>10. Construction &amp; maintenance equipment</t>
        </is>
      </c>
      <c r="C14" s="36" t="n">
        <v>280000</v>
      </c>
      <c r="D14" s="60">
        <f>C14/10000000</f>
        <v/>
      </c>
      <c r="E14" s="16">
        <f>ROUND($C14*Assumptions!E29,0)</f>
        <v/>
      </c>
      <c r="F14" s="16">
        <f>ROUND($C14*Assumptions!F29,0)</f>
        <v/>
      </c>
      <c r="G14" s="16">
        <f>ROUND($C14*Assumptions!G29,0)</f>
        <v/>
      </c>
      <c r="H14" s="16">
        <f>ROUND($C14*Assumptions!H29,0)</f>
        <v/>
      </c>
      <c r="I14" s="16">
        <f>ROUND($C14*Assumptions!I29,0)</f>
        <v/>
      </c>
      <c r="J14" s="16">
        <f>SUM(E14:I14)</f>
        <v/>
      </c>
      <c r="K14" s="61" t="n">
        <v>10</v>
      </c>
      <c r="L14" s="54" t="inlineStr">
        <is>
          <t>Splicers, locators, plows</t>
        </is>
      </c>
      <c r="M14" s="54" t="inlineStr">
        <is>
          <t>Construction &amp; restoration capability</t>
        </is>
      </c>
      <c r="N14" s="54" t="inlineStr">
        <is>
          <t>Lowers contractor spend</t>
        </is>
      </c>
      <c r="O14" s="54" t="inlineStr">
        <is>
          <t>Y1-Y2</t>
        </is>
      </c>
      <c r="P14" s="54" t="inlineStr">
        <is>
          <t>Procurement</t>
        </is>
      </c>
      <c r="Q14" s="54" t="inlineStr">
        <is>
          <t>Dir OSP</t>
        </is>
      </c>
    </row>
    <row r="15">
      <c r="B15" s="15" t="inlineStr">
        <is>
          <t>11. IT &amp; cybersecurity</t>
        </is>
      </c>
      <c r="C15" s="36" t="n">
        <v>300000</v>
      </c>
      <c r="D15" s="60">
        <f>C15/10000000</f>
        <v/>
      </c>
      <c r="E15" s="16">
        <f>ROUND($C15*Assumptions!E29,0)</f>
        <v/>
      </c>
      <c r="F15" s="16">
        <f>ROUND($C15*Assumptions!F29,0)</f>
        <v/>
      </c>
      <c r="G15" s="16">
        <f>ROUND($C15*Assumptions!G29,0)</f>
        <v/>
      </c>
      <c r="H15" s="16">
        <f>ROUND($C15*Assumptions!H29,0)</f>
        <v/>
      </c>
      <c r="I15" s="16">
        <f>ROUND($C15*Assumptions!I29,0)</f>
        <v/>
      </c>
      <c r="J15" s="16">
        <f>SUM(E15:I15)</f>
        <v/>
      </c>
      <c r="K15" s="61" t="n">
        <v>5</v>
      </c>
      <c r="L15" s="54" t="inlineStr">
        <is>
          <t>Servers, security, endpoints</t>
        </is>
      </c>
      <c r="M15" s="54" t="inlineStr">
        <is>
          <t>IT &amp; security posture</t>
        </is>
      </c>
      <c r="N15" s="54" t="inlineStr">
        <is>
          <t>Risk reduction; compliance</t>
        </is>
      </c>
      <c r="O15" s="54" t="inlineStr">
        <is>
          <t>Continuous</t>
        </is>
      </c>
      <c r="P15" s="54" t="inlineStr">
        <is>
          <t>Vendor roadmap</t>
        </is>
      </c>
      <c r="Q15" s="54" t="inlineStr">
        <is>
          <t>IT / CISO</t>
        </is>
      </c>
    </row>
    <row r="16">
      <c r="B16" s="15" t="inlineStr">
        <is>
          <t>12. OSS/BSS/CRM/billing/GIS/WFM systems</t>
        </is>
      </c>
      <c r="C16" s="36" t="n">
        <v>340000</v>
      </c>
      <c r="D16" s="60">
        <f>C16/10000000</f>
        <v/>
      </c>
      <c r="E16" s="16">
        <f>ROUND($C16*Assumptions!E29,0)</f>
        <v/>
      </c>
      <c r="F16" s="16">
        <f>ROUND($C16*Assumptions!F29,0)</f>
        <v/>
      </c>
      <c r="G16" s="16">
        <f>ROUND($C16*Assumptions!G29,0)</f>
        <v/>
      </c>
      <c r="H16" s="16">
        <f>ROUND($C16*Assumptions!H29,0)</f>
        <v/>
      </c>
      <c r="I16" s="16">
        <f>ROUND($C16*Assumptions!I29,0)</f>
        <v/>
      </c>
      <c r="J16" s="16">
        <f>SUM(E16:I16)</f>
        <v/>
      </c>
      <c r="K16" s="61" t="n">
        <v>5</v>
      </c>
      <c r="L16" s="54" t="inlineStr">
        <is>
          <t>Operating &amp; billing systems</t>
        </is>
      </c>
      <c r="M16" s="54" t="inlineStr">
        <is>
          <t>Automation &amp; data quality</t>
        </is>
      </c>
      <c r="N16" s="54" t="inlineStr">
        <is>
          <t>Lowers cost/sub; scales ops</t>
        </is>
      </c>
      <c r="O16" s="54" t="inlineStr">
        <is>
          <t>Y1-Y3 phased</t>
        </is>
      </c>
      <c r="P16" s="54" t="inlineStr">
        <is>
          <t>Integration effort</t>
        </is>
      </c>
      <c r="Q16" s="54" t="inlineStr">
        <is>
          <t>CIO / COO</t>
        </is>
      </c>
    </row>
    <row r="17">
      <c r="B17" s="15" t="inlineStr">
        <is>
          <t>13. Buildings, warehouses &amp; facilities</t>
        </is>
      </c>
      <c r="C17" s="36" t="n">
        <v>230000</v>
      </c>
      <c r="D17" s="60">
        <f>C17/10000000</f>
        <v/>
      </c>
      <c r="E17" s="16">
        <f>ROUND($C17*Assumptions!E29,0)</f>
        <v/>
      </c>
      <c r="F17" s="16">
        <f>ROUND($C17*Assumptions!F29,0)</f>
        <v/>
      </c>
      <c r="G17" s="16">
        <f>ROUND($C17*Assumptions!G29,0)</f>
        <v/>
      </c>
      <c r="H17" s="16">
        <f>ROUND($C17*Assumptions!H29,0)</f>
        <v/>
      </c>
      <c r="I17" s="16">
        <f>ROUND($C17*Assumptions!I29,0)</f>
        <v/>
      </c>
      <c r="J17" s="16">
        <f>SUM(E17:I17)</f>
        <v/>
      </c>
      <c r="K17" s="61" t="n">
        <v>30</v>
      </c>
      <c r="L17" s="54" t="inlineStr">
        <is>
          <t>Warehouse &amp; operational facilities</t>
        </is>
      </c>
      <c r="M17" s="54" t="inlineStr">
        <is>
          <t>Inventory &amp; crew staging</t>
        </is>
      </c>
      <c r="N17" s="54" t="inlineStr">
        <is>
          <t>Operational efficiency</t>
        </is>
      </c>
      <c r="O17" s="54" t="inlineStr">
        <is>
          <t>As needed</t>
        </is>
      </c>
      <c r="P17" s="54" t="inlineStr">
        <is>
          <t>Site availability</t>
        </is>
      </c>
      <c r="Q17" s="54" t="inlineStr">
        <is>
          <t>Facilities</t>
        </is>
      </c>
    </row>
    <row r="18">
      <c r="B18" s="15" t="inlineStr">
        <is>
          <t>14. Emergency restoration &amp; resiliency</t>
        </is>
      </c>
      <c r="C18" s="36" t="n">
        <v>200000</v>
      </c>
      <c r="D18" s="60">
        <f>C18/10000000</f>
        <v/>
      </c>
      <c r="E18" s="16">
        <f>ROUND($C18*Assumptions!E29,0)</f>
        <v/>
      </c>
      <c r="F18" s="16">
        <f>ROUND($C18*Assumptions!F29,0)</f>
        <v/>
      </c>
      <c r="G18" s="16">
        <f>ROUND($C18*Assumptions!G29,0)</f>
        <v/>
      </c>
      <c r="H18" s="16">
        <f>ROUND($C18*Assumptions!H29,0)</f>
        <v/>
      </c>
      <c r="I18" s="16">
        <f>ROUND($C18*Assumptions!I29,0)</f>
        <v/>
      </c>
      <c r="J18" s="16">
        <f>SUM(E18:I18)</f>
        <v/>
      </c>
      <c r="K18" s="61" t="n">
        <v>15</v>
      </c>
      <c r="L18" s="54" t="inlineStr">
        <is>
          <t>Spares, generators, redundancy</t>
        </is>
      </c>
      <c r="M18" s="54" t="inlineStr">
        <is>
          <t>Storm &amp; outage resilience</t>
        </is>
      </c>
      <c r="N18" s="54" t="inlineStr">
        <is>
          <t>Protects revenue &amp; SLA</t>
        </is>
      </c>
      <c r="O18" s="54" t="inlineStr">
        <is>
          <t>Ongoing reserve</t>
        </is>
      </c>
      <c r="P18" s="54" t="inlineStr">
        <is>
          <t>Risk assessment</t>
        </is>
      </c>
      <c r="Q18" s="54" t="inlineStr">
        <is>
          <t>Dir OSP / NOC</t>
        </is>
      </c>
    </row>
    <row r="19">
      <c r="B19" s="15" t="inlineStr">
        <is>
          <t>15. Annual equipment refresh program</t>
        </is>
      </c>
      <c r="C19" s="36" t="n">
        <v>400000</v>
      </c>
      <c r="D19" s="60">
        <f>C19/10000000</f>
        <v/>
      </c>
      <c r="E19" s="62" t="n">
        <v>400000</v>
      </c>
      <c r="F19" s="62" t="n">
        <v>400000</v>
      </c>
      <c r="G19" s="62" t="n">
        <v>400000</v>
      </c>
      <c r="H19" s="62" t="n">
        <v>400000</v>
      </c>
      <c r="I19" s="62" t="n">
        <v>400000</v>
      </c>
      <c r="J19" s="16">
        <f>SUM(E19:I19)</f>
        <v/>
      </c>
      <c r="K19" s="61" t="n">
        <v>7</v>
      </c>
      <c r="L19" s="54" t="inlineStr">
        <is>
          <t>Lifecycle equipment refresh</t>
        </is>
      </c>
      <c r="M19" s="54" t="inlineStr">
        <is>
          <t>Prevents aging-plant failures</t>
        </is>
      </c>
      <c r="N19" s="54" t="inlineStr">
        <is>
          <t>Avoids emergency capex &amp; churn</t>
        </is>
      </c>
      <c r="O19" s="54" t="inlineStr">
        <is>
          <t>$400K every year</t>
        </is>
      </c>
      <c r="P19" s="54" t="inlineStr">
        <is>
          <t>Lifecycle standards</t>
        </is>
      </c>
      <c r="Q19" s="54" t="inlineStr">
        <is>
          <t>COO / Network Eng</t>
        </is>
      </c>
    </row>
    <row r="20">
      <c r="B20" s="15" t="inlineStr">
        <is>
          <t>16. Capital contingency reserve</t>
        </is>
      </c>
      <c r="C20" s="36" t="n">
        <v>100000</v>
      </c>
      <c r="D20" s="60">
        <f>C20/10000000</f>
        <v/>
      </c>
      <c r="E20" s="16">
        <f>ROUND($C20*Assumptions!E29,0)</f>
        <v/>
      </c>
      <c r="F20" s="16">
        <f>ROUND($C20*Assumptions!F29,0)</f>
        <v/>
      </c>
      <c r="G20" s="16">
        <f>ROUND($C20*Assumptions!G29,0)</f>
        <v/>
      </c>
      <c r="H20" s="16">
        <f>ROUND($C20*Assumptions!H29,0)</f>
        <v/>
      </c>
      <c r="I20" s="16">
        <f>ROUND($C20*Assumptions!I29,0)</f>
        <v/>
      </c>
      <c r="J20" s="16">
        <f>SUM(E20:I20)</f>
        <v/>
      </c>
      <c r="K20" s="61" t="inlineStr">
        <is>
          <t>—</t>
        </is>
      </c>
      <c r="L20" s="54" t="inlineStr">
        <is>
          <t>Unallocated capital reserve</t>
        </is>
      </c>
      <c r="M20" s="54" t="inlineStr">
        <is>
          <t>Absorbs cost overruns</t>
        </is>
      </c>
      <c r="N20" s="54" t="inlineStr">
        <is>
          <t>Protects plan integrity</t>
        </is>
      </c>
      <c r="O20" s="54" t="inlineStr">
        <is>
          <t>Held/deployed as needed</t>
        </is>
      </c>
      <c r="P20" s="54" t="inlineStr">
        <is>
          <t>Governance approval</t>
        </is>
      </c>
      <c r="Q20" s="54" t="inlineStr">
        <is>
          <t>CFO</t>
        </is>
      </c>
    </row>
    <row r="21">
      <c r="B21" s="43" t="inlineStr">
        <is>
          <t>TOTAL ALLOCATION</t>
        </is>
      </c>
      <c r="C21" s="55">
        <f>SUM(C5:C20)</f>
        <v/>
      </c>
      <c r="D21" s="63">
        <f>C21/10000000</f>
        <v/>
      </c>
      <c r="E21" s="47">
        <f>SUM(E5:E20)</f>
        <v/>
      </c>
      <c r="F21" s="47">
        <f>SUM(F5:F20)</f>
        <v/>
      </c>
      <c r="G21" s="47">
        <f>SUM(G5:G20)</f>
        <v/>
      </c>
      <c r="H21" s="47">
        <f>SUM(H5:H20)</f>
        <v/>
      </c>
      <c r="I21" s="47">
        <f>SUM(I5:I20)</f>
        <v/>
      </c>
      <c r="J21" s="47">
        <f>SUM(J5:J20)</f>
        <v/>
      </c>
    </row>
    <row r="23">
      <c r="B23" s="8" t="inlineStr">
        <is>
          <t>Capital available / year</t>
        </is>
      </c>
      <c r="E23" s="16">
        <f>IF(REFRESH_OUT="Outside $10M",10400000,10000000)</f>
        <v/>
      </c>
      <c r="F23" s="16">
        <f>IF(REFRESH_OUT="Outside $10M",10400000,10000000)</f>
        <v/>
      </c>
      <c r="G23" s="16">
        <f>IF(REFRESH_OUT="Outside $10M",10400000,10000000)</f>
        <v/>
      </c>
      <c r="H23" s="16">
        <f>IF(REFRESH_OUT="Outside $10M",10400000,10000000)</f>
        <v/>
      </c>
      <c r="I23" s="16">
        <f>IF(REFRESH_OUT="Outside $10M",10400000,10000000)</f>
        <v/>
      </c>
    </row>
    <row r="24">
      <c r="B24" s="8" t="inlineStr">
        <is>
          <t>Capital deployed</t>
        </is>
      </c>
      <c r="E24" s="16">
        <f>E21</f>
        <v/>
      </c>
      <c r="F24" s="16">
        <f>F21</f>
        <v/>
      </c>
      <c r="G24" s="16">
        <f>G21</f>
        <v/>
      </c>
      <c r="H24" s="16">
        <f>H21</f>
        <v/>
      </c>
      <c r="I24" s="16">
        <f>I21</f>
        <v/>
      </c>
    </row>
    <row r="25">
      <c r="B25" s="8" t="inlineStr">
        <is>
          <t>Uncommitted (reserve/carryforward)</t>
        </is>
      </c>
      <c r="E25" s="64">
        <f>E23-E24</f>
        <v/>
      </c>
      <c r="F25" s="64">
        <f>F23-F24</f>
        <v/>
      </c>
      <c r="G25" s="64">
        <f>G23-G24</f>
        <v/>
      </c>
      <c r="H25" s="64">
        <f>H23-H24</f>
        <v/>
      </c>
      <c r="I25" s="64">
        <f>I23-I24</f>
        <v/>
      </c>
    </row>
    <row r="26">
      <c r="B26" s="41" t="inlineStr">
        <is>
          <t>Cumulative capital deployed</t>
        </is>
      </c>
      <c r="E26" s="59">
        <f>E24</f>
        <v/>
      </c>
      <c r="F26" s="59">
        <f>E26+F24</f>
        <v/>
      </c>
      <c r="G26" s="59">
        <f>F26+G24</f>
        <v/>
      </c>
      <c r="H26" s="59">
        <f>G26+H24</f>
        <v/>
      </c>
      <c r="I26" s="59">
        <f>H26+I24</f>
        <v/>
      </c>
    </row>
    <row r="28">
      <c r="B28" s="31" t="inlineStr">
        <is>
          <t>CHECK: allocation = $10.0M (0=OK)</t>
        </is>
      </c>
      <c r="E28" s="65">
        <f>C21-10000000</f>
        <v/>
      </c>
    </row>
    <row r="29">
      <c r="B29" s="31" t="inlineStr">
        <is>
          <t>CHECK: refresh 5-yr = $2.0M (0=OK)</t>
        </is>
      </c>
      <c r="E29" s="65">
        <f>J19-2000000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B1" s="1" t="inlineStr">
        <is>
          <t>Annual Equipment-Refresh Program — $400K/yr · $2M/5yr</t>
        </is>
      </c>
    </row>
    <row r="2">
      <c r="B2" s="2" t="inlineStr">
        <is>
          <t>Committed lifecycle program. Base model: inside the $10M. Adjustable model: outside (+$400K). Never scaled by deployment pace.</t>
        </is>
      </c>
    </row>
    <row r="4" ht="20" customHeight="1">
      <c r="B4" s="20" t="inlineStr">
        <is>
          <t>Refresh category</t>
        </is>
      </c>
      <c r="C4" s="20" t="inlineStr">
        <is>
          <t>Depr yrs</t>
        </is>
      </c>
      <c r="D4" s="20" t="inlineStr">
        <is>
          <t>2027</t>
        </is>
      </c>
      <c r="E4" s="20" t="inlineStr">
        <is>
          <t>2028</t>
        </is>
      </c>
      <c r="F4" s="20" t="inlineStr">
        <is>
          <t>2029</t>
        </is>
      </c>
      <c r="G4" s="20" t="inlineStr">
        <is>
          <t>2030</t>
        </is>
      </c>
      <c r="H4" s="20" t="inlineStr">
        <is>
          <t>2031</t>
        </is>
      </c>
      <c r="I4" s="20" t="inlineStr">
        <is>
          <t>5-Yr $</t>
        </is>
      </c>
    </row>
    <row r="5">
      <c r="B5" s="15" t="inlineStr">
        <is>
          <t>Core/aggregation switch &amp; router refresh</t>
        </is>
      </c>
      <c r="C5" s="61" t="n">
        <v>6</v>
      </c>
      <c r="D5" s="16">
        <f>ROUND(400000*0.2,0)</f>
        <v/>
      </c>
      <c r="E5" s="16">
        <f>ROUND(400000*0.2,0)</f>
        <v/>
      </c>
      <c r="F5" s="16">
        <f>ROUND(400000*0.2,0)</f>
        <v/>
      </c>
      <c r="G5" s="16">
        <f>ROUND(400000*0.2,0)</f>
        <v/>
      </c>
      <c r="H5" s="16">
        <f>ROUND(400000*0.2,0)</f>
        <v/>
      </c>
      <c r="I5" s="16">
        <f>SUM(D5:H5)</f>
        <v/>
      </c>
    </row>
    <row r="6">
      <c r="B6" s="15" t="inlineStr">
        <is>
          <t>OLT line-card &amp; optics refresh</t>
        </is>
      </c>
      <c r="C6" s="61" t="n">
        <v>7</v>
      </c>
      <c r="D6" s="16">
        <f>ROUND(400000*0.16,0)</f>
        <v/>
      </c>
      <c r="E6" s="16">
        <f>ROUND(400000*0.16,0)</f>
        <v/>
      </c>
      <c r="F6" s="16">
        <f>ROUND(400000*0.16,0)</f>
        <v/>
      </c>
      <c r="G6" s="16">
        <f>ROUND(400000*0.16,0)</f>
        <v/>
      </c>
      <c r="H6" s="16">
        <f>ROUND(400000*0.16,0)</f>
        <v/>
      </c>
      <c r="I6" s="16">
        <f>SUM(D6:H6)</f>
        <v/>
      </c>
    </row>
    <row r="7">
      <c r="B7" s="15" t="inlineStr">
        <is>
          <t>Field test equipment &amp; OTDR refresh</t>
        </is>
      </c>
      <c r="C7" s="61" t="n">
        <v>5</v>
      </c>
      <c r="D7" s="16">
        <f>ROUND(400000*0.1,0)</f>
        <v/>
      </c>
      <c r="E7" s="16">
        <f>ROUND(400000*0.1,0)</f>
        <v/>
      </c>
      <c r="F7" s="16">
        <f>ROUND(400000*0.1,0)</f>
        <v/>
      </c>
      <c r="G7" s="16">
        <f>ROUND(400000*0.1,0)</f>
        <v/>
      </c>
      <c r="H7" s="16">
        <f>ROUND(400000*0.1,0)</f>
        <v/>
      </c>
      <c r="I7" s="16">
        <f>SUM(D7:H7)</f>
        <v/>
      </c>
    </row>
    <row r="8">
      <c r="B8" s="15" t="inlineStr">
        <is>
          <t>Splicing &amp; fusion equipment refresh</t>
        </is>
      </c>
      <c r="C8" s="61" t="n">
        <v>6</v>
      </c>
      <c r="D8" s="16">
        <f>ROUND(400000*0.1,0)</f>
        <v/>
      </c>
      <c r="E8" s="16">
        <f>ROUND(400000*0.1,0)</f>
        <v/>
      </c>
      <c r="F8" s="16">
        <f>ROUND(400000*0.1,0)</f>
        <v/>
      </c>
      <c r="G8" s="16">
        <f>ROUND(400000*0.1,0)</f>
        <v/>
      </c>
      <c r="H8" s="16">
        <f>ROUND(400000*0.1,0)</f>
        <v/>
      </c>
      <c r="I8" s="16">
        <f>SUM(D8:H8)</f>
        <v/>
      </c>
    </row>
    <row r="9">
      <c r="B9" s="15" t="inlineStr">
        <is>
          <t>Fleet telematics &amp; tool refresh</t>
        </is>
      </c>
      <c r="C9" s="61" t="n">
        <v>5</v>
      </c>
      <c r="D9" s="16">
        <f>ROUND(400000*0.08,0)</f>
        <v/>
      </c>
      <c r="E9" s="16">
        <f>ROUND(400000*0.08,0)</f>
        <v/>
      </c>
      <c r="F9" s="16">
        <f>ROUND(400000*0.08,0)</f>
        <v/>
      </c>
      <c r="G9" s="16">
        <f>ROUND(400000*0.08,0)</f>
        <v/>
      </c>
      <c r="H9" s="16">
        <f>ROUND(400000*0.08,0)</f>
        <v/>
      </c>
      <c r="I9" s="16">
        <f>SUM(D9:H9)</f>
        <v/>
      </c>
    </row>
    <row r="10">
      <c r="B10" s="15" t="inlineStr">
        <is>
          <t>Server / storage / IT refresh</t>
        </is>
      </c>
      <c r="C10" s="61" t="n">
        <v>5</v>
      </c>
      <c r="D10" s="16">
        <f>ROUND(400000*0.12,0)</f>
        <v/>
      </c>
      <c r="E10" s="16">
        <f>ROUND(400000*0.12,0)</f>
        <v/>
      </c>
      <c r="F10" s="16">
        <f>ROUND(400000*0.12,0)</f>
        <v/>
      </c>
      <c r="G10" s="16">
        <f>ROUND(400000*0.12,0)</f>
        <v/>
      </c>
      <c r="H10" s="16">
        <f>ROUND(400000*0.12,0)</f>
        <v/>
      </c>
      <c r="I10" s="16">
        <f>SUM(D10:H10)</f>
        <v/>
      </c>
    </row>
    <row r="11">
      <c r="B11" s="15" t="inlineStr">
        <is>
          <t>Network security appliance refresh</t>
        </is>
      </c>
      <c r="C11" s="61" t="n">
        <v>5</v>
      </c>
      <c r="D11" s="16">
        <f>ROUND(400000*0.1,0)</f>
        <v/>
      </c>
      <c r="E11" s="16">
        <f>ROUND(400000*0.1,0)</f>
        <v/>
      </c>
      <c r="F11" s="16">
        <f>ROUND(400000*0.1,0)</f>
        <v/>
      </c>
      <c r="G11" s="16">
        <f>ROUND(400000*0.1,0)</f>
        <v/>
      </c>
      <c r="H11" s="16">
        <f>ROUND(400000*0.1,0)</f>
        <v/>
      </c>
      <c r="I11" s="16">
        <f>SUM(D11:H11)</f>
        <v/>
      </c>
    </row>
    <row r="12">
      <c r="B12" s="15" t="inlineStr">
        <is>
          <t>CPE swap pool (aged ONT/router)</t>
        </is>
      </c>
      <c r="C12" s="61" t="n">
        <v>7</v>
      </c>
      <c r="D12" s="16">
        <f>400000-(D5+D6+D7+D8+D9+D10+D11)</f>
        <v/>
      </c>
      <c r="E12" s="16">
        <f>400000-(E5+E6+E7+E8+E9+E10+E11)</f>
        <v/>
      </c>
      <c r="F12" s="16">
        <f>400000-(F5+F6+F7+F8+F9+F10+F11)</f>
        <v/>
      </c>
      <c r="G12" s="16">
        <f>400000-(G5+G6+G7+G8+G9+G10+G11)</f>
        <v/>
      </c>
      <c r="H12" s="16">
        <f>400000-(H5+H6+H7+H8+H9+H10+H11)</f>
        <v/>
      </c>
      <c r="I12" s="16">
        <f>SUM(D12:H12)</f>
        <v/>
      </c>
    </row>
    <row r="13">
      <c r="B13" s="43" t="inlineStr">
        <is>
          <t>TOTAL REFRESH</t>
        </is>
      </c>
      <c r="D13" s="47">
        <f>SUM(D5:D12)</f>
        <v/>
      </c>
      <c r="E13" s="47">
        <f>SUM(E5:E12)</f>
        <v/>
      </c>
      <c r="F13" s="47">
        <f>SUM(F5:F12)</f>
        <v/>
      </c>
      <c r="G13" s="47">
        <f>SUM(G5:G12)</f>
        <v/>
      </c>
      <c r="H13" s="47">
        <f>SUM(H5:H12)</f>
        <v/>
      </c>
      <c r="I13" s="47">
        <f>SUM(I5:I12)</f>
        <v/>
      </c>
    </row>
    <row r="15">
      <c r="B15" s="31" t="inlineStr">
        <is>
          <t>CHECK: each year = $400K (0=OK)</t>
        </is>
      </c>
      <c r="D15" s="65">
        <f>SUM(D13:H13)-2000000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L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B1" s="1" t="inlineStr">
        <is>
          <t>Project-Level ROI &amp; Payback (Expansion Templates)</t>
        </is>
      </c>
    </row>
    <row r="2">
      <c r="B2" s="2" t="inlineStr">
        <is>
          <t>Editable expansion-project calculator. Blue = inputs. Simple payback = capex ÷ annual gross margin. Add rows as needed.</t>
        </is>
      </c>
    </row>
    <row r="4" ht="20" customHeight="1">
      <c r="B4" s="20" t="inlineStr">
        <is>
          <t>Project</t>
        </is>
      </c>
      <c r="C4" s="20" t="inlineStr">
        <is>
          <t>Passings</t>
        </is>
      </c>
      <c r="D4" s="20" t="inlineStr">
        <is>
          <t>Cost/passing $</t>
        </is>
      </c>
      <c r="E4" s="20" t="inlineStr">
        <is>
          <t>Capex $</t>
        </is>
      </c>
      <c r="F4" s="20" t="inlineStr">
        <is>
          <t>Take rate</t>
        </is>
      </c>
      <c r="G4" s="20" t="inlineStr">
        <is>
          <t>Subs @ maturity</t>
        </is>
      </c>
      <c r="H4" s="20" t="inlineStr">
        <is>
          <t>ARPU $/mo</t>
        </is>
      </c>
      <c r="I4" s="20" t="inlineStr">
        <is>
          <t>Annual revenue $</t>
        </is>
      </c>
      <c r="J4" s="20" t="inlineStr">
        <is>
          <t>Gross margin %</t>
        </is>
      </c>
      <c r="K4" s="20" t="inlineStr">
        <is>
          <t>Annual margin $</t>
        </is>
      </c>
      <c r="L4" s="20" t="inlineStr">
        <is>
          <t>Simple payback yrs</t>
        </is>
      </c>
    </row>
    <row r="5">
      <c r="B5" s="15" t="inlineStr">
        <is>
          <t>Robeson Co. FTTH Phase 1</t>
        </is>
      </c>
      <c r="C5" s="33" t="n">
        <v>2200</v>
      </c>
      <c r="D5" s="36" t="n">
        <v>1150</v>
      </c>
      <c r="E5" s="16">
        <f>C5*D5</f>
        <v/>
      </c>
      <c r="F5" s="34" t="n">
        <v>0.45</v>
      </c>
      <c r="G5" s="17">
        <f>C5*F5</f>
        <v/>
      </c>
      <c r="H5" s="35" t="n">
        <v>74</v>
      </c>
      <c r="I5" s="16">
        <f>G5*H5*12</f>
        <v/>
      </c>
      <c r="J5" s="34" t="n">
        <v>0.62</v>
      </c>
      <c r="K5" s="16">
        <f>I5*J5</f>
        <v/>
      </c>
      <c r="L5" s="66">
        <f>IF(K5&gt;0,E5/K5,"n/a")</f>
        <v/>
      </c>
    </row>
    <row r="6">
      <c r="B6" s="15" t="inlineStr">
        <is>
          <t>Hoke Co. distribution build</t>
        </is>
      </c>
      <c r="C6" s="33" t="n">
        <v>1500</v>
      </c>
      <c r="D6" s="36" t="n">
        <v>1300</v>
      </c>
      <c r="E6" s="16">
        <f>C6*D6</f>
        <v/>
      </c>
      <c r="F6" s="34" t="n">
        <v>0.4</v>
      </c>
      <c r="G6" s="17">
        <f>C6*F6</f>
        <v/>
      </c>
      <c r="H6" s="35" t="n">
        <v>74</v>
      </c>
      <c r="I6" s="16">
        <f>G6*H6*12</f>
        <v/>
      </c>
      <c r="J6" s="34" t="n">
        <v>0.6</v>
      </c>
      <c r="K6" s="16">
        <f>I6*J6</f>
        <v/>
      </c>
      <c r="L6" s="66">
        <f>IF(K6&gt;0,E6/K6,"n/a")</f>
        <v/>
      </c>
    </row>
    <row r="7">
      <c r="B7" s="15" t="inlineStr">
        <is>
          <t>Scotland Co. business corridor</t>
        </is>
      </c>
      <c r="C7" s="33" t="n">
        <v>180</v>
      </c>
      <c r="D7" s="36" t="n">
        <v>3200</v>
      </c>
      <c r="E7" s="16">
        <f>C7*D7</f>
        <v/>
      </c>
      <c r="F7" s="34" t="n">
        <v>0.55</v>
      </c>
      <c r="G7" s="17">
        <f>C7*F7</f>
        <v/>
      </c>
      <c r="H7" s="35" t="n">
        <v>149</v>
      </c>
      <c r="I7" s="16">
        <f>G7*H7*12</f>
        <v/>
      </c>
      <c r="J7" s="34" t="n">
        <v>0.68</v>
      </c>
      <c r="K7" s="16">
        <f>I7*J7</f>
        <v/>
      </c>
      <c r="L7" s="66">
        <f>IF(K7&gt;0,E7/K7,"n/a")</f>
        <v/>
      </c>
    </row>
    <row r="8">
      <c r="B8" s="15" t="inlineStr">
        <is>
          <t>Cumberland edge FTTH</t>
        </is>
      </c>
      <c r="C8" s="33" t="n">
        <v>2600</v>
      </c>
      <c r="D8" s="36" t="n">
        <v>1250</v>
      </c>
      <c r="E8" s="16">
        <f>C8*D8</f>
        <v/>
      </c>
      <c r="F8" s="34" t="n">
        <v>0.42</v>
      </c>
      <c r="G8" s="17">
        <f>C8*F8</f>
        <v/>
      </c>
      <c r="H8" s="35" t="n">
        <v>74</v>
      </c>
      <c r="I8" s="16">
        <f>G8*H8*12</f>
        <v/>
      </c>
      <c r="J8" s="34" t="n">
        <v>0.61</v>
      </c>
      <c r="K8" s="16">
        <f>I8*J8</f>
        <v/>
      </c>
      <c r="L8" s="66">
        <f>IF(K8&gt;0,E8/K8,"n/a")</f>
        <v/>
      </c>
    </row>
    <row r="9">
      <c r="B9" s="15" t="inlineStr">
        <is>
          <t>Enterprise dark-fiber IRU</t>
        </is>
      </c>
      <c r="C9" s="33" t="n">
        <v>6</v>
      </c>
      <c r="D9" s="36" t="n">
        <v>45000</v>
      </c>
      <c r="E9" s="16">
        <f>C9*D9</f>
        <v/>
      </c>
      <c r="F9" s="34" t="n">
        <v>1</v>
      </c>
      <c r="G9" s="17">
        <f>C9*F9</f>
        <v/>
      </c>
      <c r="H9" s="35" t="n">
        <v>2500</v>
      </c>
      <c r="I9" s="16">
        <f>G9*H9*12</f>
        <v/>
      </c>
      <c r="J9" s="34" t="n">
        <v>0.75</v>
      </c>
      <c r="K9" s="16">
        <f>I9*J9</f>
        <v/>
      </c>
      <c r="L9" s="66">
        <f>IF(K9&gt;0,E9/K9,"n/a")</f>
        <v/>
      </c>
    </row>
  </sheetData>
  <mergeCells count="2">
    <mergeCell ref="B1:J1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B1" s="1" t="inlineStr">
        <is>
          <t>Income Statement (2027-2031)</t>
        </is>
      </c>
    </row>
    <row r="2">
      <c r="B2" s="2" t="inlineStr">
        <is>
          <t>EBITDA = Revenue − Operating Expense. Depreciation is a labeled placeholder pending fixed-asset detail.</t>
        </is>
      </c>
    </row>
    <row r="4" ht="20" customHeight="1">
      <c r="B4" s="20" t="inlineStr">
        <is>
          <t>$</t>
        </is>
      </c>
      <c r="C4" s="20" t="inlineStr">
        <is>
          <t>2027</t>
        </is>
      </c>
      <c r="D4" s="20" t="inlineStr">
        <is>
          <t>2028</t>
        </is>
      </c>
      <c r="E4" s="20" t="inlineStr">
        <is>
          <t>2029</t>
        </is>
      </c>
      <c r="F4" s="20" t="inlineStr">
        <is>
          <t>2030</t>
        </is>
      </c>
      <c r="G4" s="20" t="inlineStr">
        <is>
          <t>2031</t>
        </is>
      </c>
      <c r="H4" s="20" t="inlineStr">
        <is>
          <t>5-Yr Total</t>
        </is>
      </c>
    </row>
    <row r="5">
      <c r="B5" s="43" t="inlineStr">
        <is>
          <t>Total revenue</t>
        </is>
      </c>
      <c r="C5" s="47">
        <f>'Revenue Model'!C17</f>
        <v/>
      </c>
      <c r="D5" s="47">
        <f>'Revenue Model'!D17</f>
        <v/>
      </c>
      <c r="E5" s="47">
        <f>'Revenue Model'!E17</f>
        <v/>
      </c>
      <c r="F5" s="47">
        <f>'Revenue Model'!F17</f>
        <v/>
      </c>
      <c r="G5" s="47">
        <f>'Revenue Model'!G17</f>
        <v/>
      </c>
      <c r="H5" s="47">
        <f>SUM(C5:G5)</f>
        <v/>
      </c>
    </row>
    <row r="6">
      <c r="B6" s="15" t="inlineStr">
        <is>
          <t>Total operating expense</t>
        </is>
      </c>
      <c r="C6" s="16">
        <f>'Operating Expenses'!E31</f>
        <v/>
      </c>
      <c r="D6" s="16">
        <f>'Operating Expenses'!F31</f>
        <v/>
      </c>
      <c r="E6" s="16">
        <f>'Operating Expenses'!G31</f>
        <v/>
      </c>
      <c r="F6" s="16">
        <f>'Operating Expenses'!H31</f>
        <v/>
      </c>
      <c r="G6" s="16">
        <f>'Operating Expenses'!I31</f>
        <v/>
      </c>
      <c r="H6" s="16">
        <f>SUM(C6:G6)</f>
        <v/>
      </c>
    </row>
    <row r="7">
      <c r="B7" s="43" t="inlineStr">
        <is>
          <t>EBITDA</t>
        </is>
      </c>
      <c r="C7" s="47">
        <f>C5-C6</f>
        <v/>
      </c>
      <c r="D7" s="47">
        <f>D5-D6</f>
        <v/>
      </c>
      <c r="E7" s="47">
        <f>E5-E6</f>
        <v/>
      </c>
      <c r="F7" s="47">
        <f>F5-F6</f>
        <v/>
      </c>
      <c r="G7" s="47">
        <f>G5-G6</f>
        <v/>
      </c>
      <c r="H7" s="47">
        <f>SUM(C7:G7)</f>
        <v/>
      </c>
    </row>
    <row r="8">
      <c r="B8" s="41" t="inlineStr">
        <is>
          <t>EBITDA margin</t>
        </is>
      </c>
      <c r="C8" s="67">
        <f>C7/C5</f>
        <v/>
      </c>
      <c r="D8" s="67">
        <f>D7/D5</f>
        <v/>
      </c>
      <c r="E8" s="67">
        <f>E7/E5</f>
        <v/>
      </c>
      <c r="F8" s="67">
        <f>F7/F5</f>
        <v/>
      </c>
      <c r="G8" s="67">
        <f>G7/G5</f>
        <v/>
      </c>
    </row>
    <row r="9">
      <c r="B9" s="15" t="inlineStr">
        <is>
          <t>Depreciation — existing plant (placeholder)</t>
        </is>
      </c>
      <c r="C9" s="46" t="n">
        <v>2400000</v>
      </c>
      <c r="D9" s="46" t="n">
        <v>2400000</v>
      </c>
      <c r="E9" s="46" t="n">
        <v>2400000</v>
      </c>
      <c r="F9" s="46" t="n">
        <v>2400000</v>
      </c>
      <c r="G9" s="46" t="n">
        <v>2400000</v>
      </c>
      <c r="H9" s="16">
        <f>SUM(C9:G9)</f>
        <v/>
      </c>
    </row>
    <row r="10">
      <c r="B10" s="31" t="inlineStr">
        <is>
          <t>Depreciation — new capex (12-yr composite, ½-yr)</t>
        </is>
      </c>
      <c r="C10" s="16">
        <f>'Capital Plan'!E24/12*0.5</f>
        <v/>
      </c>
      <c r="D10" s="16">
        <f>'Capital Plan'!E26/12+'Capital Plan'!F24/12*0.5</f>
        <v/>
      </c>
      <c r="E10" s="16">
        <f>'Capital Plan'!F26/12+'Capital Plan'!G24/12*0.5</f>
        <v/>
      </c>
      <c r="F10" s="16">
        <f>'Capital Plan'!G26/12+'Capital Plan'!H24/12*0.5</f>
        <v/>
      </c>
      <c r="G10" s="16">
        <f>'Capital Plan'!H26/12+'Capital Plan'!I24/12*0.5</f>
        <v/>
      </c>
      <c r="H10" s="16">
        <f>SUM(C10:G10)</f>
        <v/>
      </c>
    </row>
    <row r="11">
      <c r="B11" s="38" t="inlineStr">
        <is>
          <t>Total depreciation &amp; amortization</t>
        </is>
      </c>
      <c r="C11" s="49">
        <f>C9+C10</f>
        <v/>
      </c>
      <c r="D11" s="49">
        <f>D9+D10</f>
        <v/>
      </c>
      <c r="E11" s="49">
        <f>E9+E10</f>
        <v/>
      </c>
      <c r="F11" s="49">
        <f>F9+F10</f>
        <v/>
      </c>
      <c r="G11" s="49">
        <f>G9+G10</f>
        <v/>
      </c>
      <c r="H11" s="49">
        <f>SUM(C11:G11)</f>
        <v/>
      </c>
    </row>
    <row r="12">
      <c r="B12" s="43" t="inlineStr">
        <is>
          <t>Operating income (EBIT)</t>
        </is>
      </c>
      <c r="C12" s="47">
        <f>C7-C11</f>
        <v/>
      </c>
      <c r="D12" s="47">
        <f>D7-D11</f>
        <v/>
      </c>
      <c r="E12" s="47">
        <f>E7-E11</f>
        <v/>
      </c>
      <c r="F12" s="47">
        <f>F7-F11</f>
        <v/>
      </c>
      <c r="G12" s="47">
        <f>G7-G11</f>
        <v/>
      </c>
      <c r="H12" s="47">
        <f>SUM(C12:G12)</f>
        <v/>
      </c>
    </row>
    <row r="14">
      <c r="B14" s="31" t="inlineStr">
        <is>
          <t>Note: LLC pass-through; no entity income tax modeled (placeholder).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J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B1" s="1" t="inlineStr">
        <is>
          <t>Cash-Flow &amp; Capital-Funding Schedule (2027-2031)</t>
        </is>
      </c>
    </row>
    <row r="2">
      <c r="B2" s="2" t="inlineStr">
        <is>
          <t>FCF before financing = EBITDA − Capex. The $50M capital program funds the build; cumulative cash requirement stays within available funding.</t>
        </is>
      </c>
    </row>
    <row r="4" ht="20" customHeight="1">
      <c r="B4" s="20" t="inlineStr">
        <is>
          <t>$</t>
        </is>
      </c>
      <c r="C4" s="20" t="inlineStr">
        <is>
          <t>2027</t>
        </is>
      </c>
      <c r="D4" s="20" t="inlineStr">
        <is>
          <t>2028</t>
        </is>
      </c>
      <c r="E4" s="20" t="inlineStr">
        <is>
          <t>2029</t>
        </is>
      </c>
      <c r="F4" s="20" t="inlineStr">
        <is>
          <t>2030</t>
        </is>
      </c>
      <c r="G4" s="20" t="inlineStr">
        <is>
          <t>2031</t>
        </is>
      </c>
      <c r="H4" s="20" t="inlineStr">
        <is>
          <t>5-Yr Total</t>
        </is>
      </c>
    </row>
    <row r="5">
      <c r="B5" s="41" t="inlineStr">
        <is>
          <t>EBITDA</t>
        </is>
      </c>
      <c r="C5" s="59">
        <f>'Income Statement'!C7</f>
        <v/>
      </c>
      <c r="D5" s="59">
        <f>'Income Statement'!D7</f>
        <v/>
      </c>
      <c r="E5" s="59">
        <f>'Income Statement'!E7</f>
        <v/>
      </c>
      <c r="F5" s="59">
        <f>'Income Statement'!F7</f>
        <v/>
      </c>
      <c r="G5" s="59">
        <f>'Income Statement'!G7</f>
        <v/>
      </c>
      <c r="H5" s="59">
        <f>SUM(C5:G5)</f>
        <v/>
      </c>
    </row>
    <row r="6">
      <c r="B6" s="15" t="inlineStr">
        <is>
          <t>Less: Capital expenditures</t>
        </is>
      </c>
      <c r="C6" s="16">
        <f>-'Capital Plan'!E24</f>
        <v/>
      </c>
      <c r="D6" s="16">
        <f>-'Capital Plan'!F24</f>
        <v/>
      </c>
      <c r="E6" s="16">
        <f>-'Capital Plan'!G24</f>
        <v/>
      </c>
      <c r="F6" s="16">
        <f>-'Capital Plan'!H24</f>
        <v/>
      </c>
      <c r="G6" s="16">
        <f>-'Capital Plan'!I24</f>
        <v/>
      </c>
      <c r="H6" s="16">
        <f>SUM(C6:G6)</f>
        <v/>
      </c>
    </row>
    <row r="7">
      <c r="B7" s="43" t="inlineStr">
        <is>
          <t>Free cash flow before financing</t>
        </is>
      </c>
      <c r="C7" s="47">
        <f>C5+C6</f>
        <v/>
      </c>
      <c r="D7" s="47">
        <f>D5+D6</f>
        <v/>
      </c>
      <c r="E7" s="47">
        <f>E5+E6</f>
        <v/>
      </c>
      <c r="F7" s="47">
        <f>F5+F6</f>
        <v/>
      </c>
      <c r="G7" s="47">
        <f>G5+G6</f>
        <v/>
      </c>
      <c r="H7" s="47">
        <f>SUM(C7:G7)</f>
        <v/>
      </c>
    </row>
    <row r="8">
      <c r="B8" s="41" t="inlineStr">
        <is>
          <t>Cumulative cash requirement</t>
        </is>
      </c>
      <c r="C8" s="59">
        <f>C7</f>
        <v/>
      </c>
      <c r="D8" s="59">
        <f>C8+D7</f>
        <v/>
      </c>
      <c r="E8" s="59">
        <f>D8+E7</f>
        <v/>
      </c>
      <c r="F8" s="59">
        <f>E8+F7</f>
        <v/>
      </c>
      <c r="G8" s="59">
        <f>F8+G7</f>
        <v/>
      </c>
    </row>
    <row r="10">
      <c r="B10" s="8" t="inlineStr">
        <is>
          <t>Capital funding available</t>
        </is>
      </c>
      <c r="C10" s="16">
        <f>'Capital Plan'!E23</f>
        <v/>
      </c>
      <c r="D10" s="16">
        <f>'Capital Plan'!F23</f>
        <v/>
      </c>
      <c r="E10" s="16">
        <f>'Capital Plan'!G23</f>
        <v/>
      </c>
      <c r="F10" s="16">
        <f>'Capital Plan'!H23</f>
        <v/>
      </c>
      <c r="G10" s="16">
        <f>'Capital Plan'!I23</f>
        <v/>
      </c>
      <c r="H10" s="16">
        <f>SUM(C10:G10)</f>
        <v/>
      </c>
    </row>
    <row r="11">
      <c r="B11" s="8" t="inlineStr">
        <is>
          <t>Capital funding used</t>
        </is>
      </c>
      <c r="C11" s="16">
        <f>'Capital Plan'!E24</f>
        <v/>
      </c>
      <c r="D11" s="16">
        <f>'Capital Plan'!F24</f>
        <v/>
      </c>
      <c r="E11" s="16">
        <f>'Capital Plan'!G24</f>
        <v/>
      </c>
      <c r="F11" s="16">
        <f>'Capital Plan'!H24</f>
        <v/>
      </c>
      <c r="G11" s="16">
        <f>'Capital Plan'!I24</f>
        <v/>
      </c>
      <c r="H11" s="16">
        <f>SUM(C11:G11)</f>
        <v/>
      </c>
    </row>
    <row r="12">
      <c r="B12" s="41" t="inlineStr">
        <is>
          <t>Capital funding remaining</t>
        </is>
      </c>
      <c r="C12" s="59">
        <f>'Capital Plan'!E25</f>
        <v/>
      </c>
      <c r="D12" s="59">
        <f>'Capital Plan'!F25</f>
        <v/>
      </c>
      <c r="E12" s="59">
        <f>'Capital Plan'!G25</f>
        <v/>
      </c>
      <c r="F12" s="59">
        <f>'Capital Plan'!H25</f>
        <v/>
      </c>
      <c r="G12" s="59">
        <f>'Capital Plan'!I25</f>
        <v/>
      </c>
      <c r="H12" s="59">
        <f>SUM(C12:G12)</f>
        <v/>
      </c>
    </row>
    <row r="14">
      <c r="B14" s="10" t="inlineStr">
        <is>
          <t>BREAK-EVEN ANALYSIS</t>
        </is>
      </c>
    </row>
    <row r="15">
      <c r="B15" s="31" t="inlineStr">
        <is>
          <t>EBITDA-positive from</t>
        </is>
      </c>
      <c r="C15" s="29" t="inlineStr">
        <is>
          <t>2027 (Year 1)</t>
        </is>
      </c>
    </row>
    <row r="16">
      <c r="B16" s="31" t="inlineStr">
        <is>
          <t>FCF-positive year (before financing)</t>
        </is>
      </c>
      <c r="C16" s="68" t="inlineStr">
        <is>
          <t>Beyond plan horizon — sustained build capex</t>
        </is>
      </c>
    </row>
    <row r="17">
      <c r="B17" s="31" t="inlineStr">
        <is>
          <t>Approx. EBITDA break-even subs (Yr-1 cost base)</t>
        </is>
      </c>
      <c r="C17" s="68" t="inlineStr">
        <is>
          <t>See KPI tab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B1" s="1" t="inlineStr">
        <is>
          <t>Operational &amp; Financial KPI Dashboard</t>
        </is>
      </c>
    </row>
    <row r="2">
      <c r="B2" s="2" t="inlineStr">
        <is>
          <t>All values computed live from model tabs. Orange = placeholder targets pending actual operating data.</t>
        </is>
      </c>
    </row>
    <row r="4" ht="20" customHeight="1">
      <c r="B4" s="20" t="inlineStr">
        <is>
          <t>KPI</t>
        </is>
      </c>
      <c r="C4" s="20" t="inlineStr">
        <is>
          <t>Unit</t>
        </is>
      </c>
      <c r="D4" s="20" t="inlineStr">
        <is>
          <t>2027</t>
        </is>
      </c>
      <c r="E4" s="20" t="inlineStr">
        <is>
          <t>2028</t>
        </is>
      </c>
      <c r="F4" s="20" t="inlineStr">
        <is>
          <t>2029</t>
        </is>
      </c>
      <c r="G4" s="20" t="inlineStr">
        <is>
          <t>2030</t>
        </is>
      </c>
      <c r="H4" s="20" t="inlineStr">
        <is>
          <t>2031</t>
        </is>
      </c>
    </row>
    <row r="5">
      <c r="B5" s="15" t="inlineStr">
        <is>
          <t>Beginning subscribers (internet)</t>
        </is>
      </c>
      <c r="C5" s="21" t="inlineStr">
        <is>
          <t>subs</t>
        </is>
      </c>
      <c r="D5" s="17">
        <f>'Subscriber Forecast'!C50</f>
        <v/>
      </c>
      <c r="E5" s="17">
        <f>'Subscriber Forecast'!D50</f>
        <v/>
      </c>
      <c r="F5" s="17">
        <f>'Subscriber Forecast'!E50</f>
        <v/>
      </c>
      <c r="G5" s="17">
        <f>'Subscriber Forecast'!F50</f>
        <v/>
      </c>
      <c r="H5" s="17">
        <f>'Subscriber Forecast'!G50</f>
        <v/>
      </c>
    </row>
    <row r="6">
      <c r="B6" s="15" t="inlineStr">
        <is>
          <t>Ending subscribers (internet)</t>
        </is>
      </c>
      <c r="C6" s="21" t="inlineStr">
        <is>
          <t>subs</t>
        </is>
      </c>
      <c r="D6" s="17">
        <f>'Subscriber Forecast'!C49</f>
        <v/>
      </c>
      <c r="E6" s="17">
        <f>'Subscriber Forecast'!D49</f>
        <v/>
      </c>
      <c r="F6" s="17">
        <f>'Subscriber Forecast'!E49</f>
        <v/>
      </c>
      <c r="G6" s="17">
        <f>'Subscriber Forecast'!F49</f>
        <v/>
      </c>
      <c r="H6" s="17">
        <f>'Subscriber Forecast'!G49</f>
        <v/>
      </c>
    </row>
    <row r="7">
      <c r="B7" s="15" t="inlineStr">
        <is>
          <t>Gross additions</t>
        </is>
      </c>
      <c r="C7" s="21" t="inlineStr">
        <is>
          <t>subs</t>
        </is>
      </c>
      <c r="D7" s="17">
        <f>'Subscriber Forecast'!C51</f>
        <v/>
      </c>
      <c r="E7" s="17">
        <f>'Subscriber Forecast'!D51</f>
        <v/>
      </c>
      <c r="F7" s="17">
        <f>'Subscriber Forecast'!E51</f>
        <v/>
      </c>
      <c r="G7" s="17">
        <f>'Subscriber Forecast'!F51</f>
        <v/>
      </c>
      <c r="H7" s="17">
        <f>'Subscriber Forecast'!G51</f>
        <v/>
      </c>
    </row>
    <row r="8">
      <c r="B8" s="15" t="inlineStr">
        <is>
          <t>Net additions</t>
        </is>
      </c>
      <c r="C8" s="21" t="inlineStr">
        <is>
          <t>subs</t>
        </is>
      </c>
      <c r="D8" s="17">
        <f>'Subscriber Forecast'!C53</f>
        <v/>
      </c>
      <c r="E8" s="17">
        <f>'Subscriber Forecast'!D53</f>
        <v/>
      </c>
      <c r="F8" s="17">
        <f>'Subscriber Forecast'!E53</f>
        <v/>
      </c>
      <c r="G8" s="17">
        <f>'Subscriber Forecast'!F53</f>
        <v/>
      </c>
      <c r="H8" s="17">
        <f>'Subscriber Forecast'!G53</f>
        <v/>
      </c>
    </row>
    <row r="9">
      <c r="B9" s="15" t="inlineStr">
        <is>
          <t>Churn (monthly, blended)</t>
        </is>
      </c>
      <c r="C9" s="21" t="inlineStr">
        <is>
          <t>%</t>
        </is>
      </c>
      <c r="D9" s="69">
        <f>'Subscriber Forecast'!C52/(('Subscriber Forecast'!C50+'Subscriber Forecast'!C49)/2)/12</f>
        <v/>
      </c>
      <c r="E9" s="69">
        <f>'Subscriber Forecast'!D52/(('Subscriber Forecast'!D50+'Subscriber Forecast'!D49)/2)/12</f>
        <v/>
      </c>
      <c r="F9" s="69">
        <f>'Subscriber Forecast'!E52/(('Subscriber Forecast'!E50+'Subscriber Forecast'!E49)/2)/12</f>
        <v/>
      </c>
      <c r="G9" s="69">
        <f>'Subscriber Forecast'!F52/(('Subscriber Forecast'!F50+'Subscriber Forecast'!F49)/2)/12</f>
        <v/>
      </c>
      <c r="H9" s="69">
        <f>'Subscriber Forecast'!G52/(('Subscriber Forecast'!G50+'Subscriber Forecast'!G49)/2)/12</f>
        <v/>
      </c>
    </row>
    <row r="10">
      <c r="B10" s="15" t="inlineStr">
        <is>
          <t>Blended ARPU (recurring)</t>
        </is>
      </c>
      <c r="C10" s="21" t="inlineStr">
        <is>
          <t>$/mo</t>
        </is>
      </c>
      <c r="D10" s="48">
        <f>'Revenue Model'!C15/(('Subscriber Forecast'!C50+'Subscriber Forecast'!C49)/2+('Subscriber Forecast'!C45+'Subscriber Forecast'!C48)/2)/12</f>
        <v/>
      </c>
      <c r="E10" s="48">
        <f>'Revenue Model'!D15/(('Subscriber Forecast'!D50+'Subscriber Forecast'!D49)/2+('Subscriber Forecast'!D45+'Subscriber Forecast'!D48)/2)/12</f>
        <v/>
      </c>
      <c r="F10" s="48">
        <f>'Revenue Model'!E15/(('Subscriber Forecast'!E50+'Subscriber Forecast'!E49)/2+('Subscriber Forecast'!E45+'Subscriber Forecast'!E48)/2)/12</f>
        <v/>
      </c>
      <c r="G10" s="48">
        <f>'Revenue Model'!F15/(('Subscriber Forecast'!F50+'Subscriber Forecast'!F49)/2+('Subscriber Forecast'!F45+'Subscriber Forecast'!F48)/2)/12</f>
        <v/>
      </c>
      <c r="H10" s="48">
        <f>'Revenue Model'!G15/(('Subscriber Forecast'!G50+'Subscriber Forecast'!G49)/2+('Subscriber Forecast'!G45+'Subscriber Forecast'!G48)/2)/12</f>
        <v/>
      </c>
    </row>
    <row r="11">
      <c r="B11" s="15" t="inlineStr">
        <is>
          <t>Homes &amp; businesses passed</t>
        </is>
      </c>
      <c r="C11" s="21" t="inlineStr">
        <is>
          <t>HP+BP</t>
        </is>
      </c>
      <c r="D11" s="17">
        <f>((Assumptions!E25+SUM(Assumptions!E27:E27))+(Assumptions!E26+SUM(Assumptions!E28:E28)))</f>
        <v/>
      </c>
      <c r="E11" s="17">
        <f>((Assumptions!E25+SUM(Assumptions!E27:F27))+(Assumptions!E26+SUM(Assumptions!E28:F28)))</f>
        <v/>
      </c>
      <c r="F11" s="17">
        <f>((Assumptions!E25+SUM(Assumptions!E27:G27))+(Assumptions!E26+SUM(Assumptions!E28:G28)))</f>
        <v/>
      </c>
      <c r="G11" s="17">
        <f>((Assumptions!E25+SUM(Assumptions!E27:H27))+(Assumptions!E26+SUM(Assumptions!E28:H28)))</f>
        <v/>
      </c>
      <c r="H11" s="17">
        <f>((Assumptions!E25+SUM(Assumptions!E27:I27))+(Assumptions!E26+SUM(Assumptions!E28:I28)))</f>
        <v/>
      </c>
    </row>
    <row r="12">
      <c r="B12" s="15" t="inlineStr">
        <is>
          <t>Take rate</t>
        </is>
      </c>
      <c r="C12" s="21" t="inlineStr">
        <is>
          <t>%</t>
        </is>
      </c>
      <c r="D12" s="19">
        <f>'Subscriber Forecast'!C49/((Assumptions!E25+SUM(Assumptions!E27:E27))+(Assumptions!E26+SUM(Assumptions!E28:E28)))</f>
        <v/>
      </c>
      <c r="E12" s="19">
        <f>'Subscriber Forecast'!D49/((Assumptions!E25+SUM(Assumptions!E27:F27))+(Assumptions!E26+SUM(Assumptions!E28:F28)))</f>
        <v/>
      </c>
      <c r="F12" s="19">
        <f>'Subscriber Forecast'!E49/((Assumptions!E25+SUM(Assumptions!E27:G27))+(Assumptions!E26+SUM(Assumptions!E28:G28)))</f>
        <v/>
      </c>
      <c r="G12" s="19">
        <f>'Subscriber Forecast'!F49/((Assumptions!E25+SUM(Assumptions!E27:H27))+(Assumptions!E26+SUM(Assumptions!E28:H28)))</f>
        <v/>
      </c>
      <c r="H12" s="19">
        <f>'Subscriber Forecast'!G49/((Assumptions!E25+SUM(Assumptions!E27:I27))+(Assumptions!E26+SUM(Assumptions!E28:I28)))</f>
        <v/>
      </c>
    </row>
    <row r="13">
      <c r="B13" s="15" t="inlineStr">
        <is>
          <t>Revenue per passing</t>
        </is>
      </c>
      <c r="C13" s="21" t="inlineStr">
        <is>
          <t>$</t>
        </is>
      </c>
      <c r="D13" s="18">
        <f>'Revenue Model'!C17/((Assumptions!E25+SUM(Assumptions!E27:E27))+(Assumptions!E26+SUM(Assumptions!E28:E28)))</f>
        <v/>
      </c>
      <c r="E13" s="18">
        <f>'Revenue Model'!D17/((Assumptions!E25+SUM(Assumptions!E27:F27))+(Assumptions!E26+SUM(Assumptions!E28:F28)))</f>
        <v/>
      </c>
      <c r="F13" s="18">
        <f>'Revenue Model'!E17/((Assumptions!E25+SUM(Assumptions!E27:G27))+(Assumptions!E26+SUM(Assumptions!E28:G28)))</f>
        <v/>
      </c>
      <c r="G13" s="18">
        <f>'Revenue Model'!F17/((Assumptions!E25+SUM(Assumptions!E27:H27))+(Assumptions!E26+SUM(Assumptions!E28:H28)))</f>
        <v/>
      </c>
      <c r="H13" s="18">
        <f>'Revenue Model'!G17/((Assumptions!E25+SUM(Assumptions!E27:I27))+(Assumptions!E26+SUM(Assumptions!E28:I28)))</f>
        <v/>
      </c>
    </row>
    <row r="14">
      <c r="B14" s="15" t="inlineStr">
        <is>
          <t>Capital cost per passing</t>
        </is>
      </c>
      <c r="C14" s="21" t="inlineStr">
        <is>
          <t>$</t>
        </is>
      </c>
      <c r="D14" s="18">
        <f>'Capital Plan'!E24/(Assumptions!E27+Assumptions!E28)</f>
        <v/>
      </c>
      <c r="E14" s="18">
        <f>'Capital Plan'!F24/(Assumptions!F27+Assumptions!F28)</f>
        <v/>
      </c>
      <c r="F14" s="18">
        <f>'Capital Plan'!G24/(Assumptions!G27+Assumptions!G28)</f>
        <v/>
      </c>
      <c r="G14" s="18">
        <f>'Capital Plan'!H24/(Assumptions!H27+Assumptions!H28)</f>
        <v/>
      </c>
      <c r="H14" s="18">
        <f>'Capital Plan'!I24/(Assumptions!I27+Assumptions!I28)</f>
        <v/>
      </c>
    </row>
    <row r="15">
      <c r="B15" s="15" t="inlineStr">
        <is>
          <t>Capital cost per net new customer</t>
        </is>
      </c>
      <c r="C15" s="21" t="inlineStr">
        <is>
          <t>$</t>
        </is>
      </c>
      <c r="D15" s="18">
        <f>'Capital Plan'!E24/'Subscriber Forecast'!C53</f>
        <v/>
      </c>
      <c r="E15" s="18">
        <f>'Capital Plan'!F24/'Subscriber Forecast'!D53</f>
        <v/>
      </c>
      <c r="F15" s="18">
        <f>'Capital Plan'!G24/'Subscriber Forecast'!E53</f>
        <v/>
      </c>
      <c r="G15" s="18">
        <f>'Capital Plan'!H24/'Subscriber Forecast'!F53</f>
        <v/>
      </c>
      <c r="H15" s="18">
        <f>'Capital Plan'!I24/'Subscriber Forecast'!G53</f>
        <v/>
      </c>
    </row>
    <row r="16">
      <c r="B16" s="15" t="inlineStr">
        <is>
          <t>Customer acquisition cost (CAC)</t>
        </is>
      </c>
      <c r="C16" s="21" t="inlineStr">
        <is>
          <t>$</t>
        </is>
      </c>
      <c r="D16" s="18">
        <f>('Operating Expenses'!E12+'Operating Expenses'!E13)/'Subscriber Forecast'!C51</f>
        <v/>
      </c>
      <c r="E16" s="18">
        <f>('Operating Expenses'!F12+'Operating Expenses'!F13)/'Subscriber Forecast'!D51</f>
        <v/>
      </c>
      <c r="F16" s="18">
        <f>('Operating Expenses'!G12+'Operating Expenses'!G13)/'Subscriber Forecast'!E51</f>
        <v/>
      </c>
      <c r="G16" s="18">
        <f>('Operating Expenses'!H12+'Operating Expenses'!H13)/'Subscriber Forecast'!F51</f>
        <v/>
      </c>
      <c r="H16" s="18">
        <f>('Operating Expenses'!I12+'Operating Expenses'!I13)/'Subscriber Forecast'!G51</f>
        <v/>
      </c>
    </row>
    <row r="17">
      <c r="B17" s="15" t="inlineStr">
        <is>
          <t>Average installation cost</t>
        </is>
      </c>
      <c r="C17" s="21" t="inlineStr">
        <is>
          <t>$</t>
        </is>
      </c>
      <c r="D17" s="53" t="n">
        <v>625</v>
      </c>
      <c r="E17" s="53" t="n">
        <v>610</v>
      </c>
      <c r="F17" s="53" t="n">
        <v>595</v>
      </c>
      <c r="G17" s="53" t="n">
        <v>585</v>
      </c>
      <c r="H17" s="53" t="n">
        <v>575</v>
      </c>
    </row>
    <row r="18">
      <c r="B18" s="15" t="inlineStr">
        <is>
          <t>Average trouble-ticket cost</t>
        </is>
      </c>
      <c r="C18" s="21" t="inlineStr">
        <is>
          <t>$</t>
        </is>
      </c>
      <c r="D18" s="53" t="n">
        <v>78</v>
      </c>
      <c r="E18" s="53" t="n">
        <v>76</v>
      </c>
      <c r="F18" s="53" t="n">
        <v>74</v>
      </c>
      <c r="G18" s="53" t="n">
        <v>72</v>
      </c>
      <c r="H18" s="53" t="n">
        <v>70</v>
      </c>
    </row>
    <row r="19">
      <c r="B19" s="15" t="inlineStr">
        <is>
          <t>Revenue per employee</t>
        </is>
      </c>
      <c r="C19" s="21" t="inlineStr">
        <is>
          <t>$</t>
        </is>
      </c>
      <c r="D19" s="18">
        <f>'Revenue Model'!C17/Assumptions!E41</f>
        <v/>
      </c>
      <c r="E19" s="18">
        <f>'Revenue Model'!D17/Assumptions!F41</f>
        <v/>
      </c>
      <c r="F19" s="18">
        <f>'Revenue Model'!E17/Assumptions!G41</f>
        <v/>
      </c>
      <c r="G19" s="18">
        <f>'Revenue Model'!F17/Assumptions!H41</f>
        <v/>
      </c>
      <c r="H19" s="18">
        <f>'Revenue Model'!G17/Assumptions!I41</f>
        <v/>
      </c>
    </row>
    <row r="20">
      <c r="B20" s="15" t="inlineStr">
        <is>
          <t>Subscribers per employee</t>
        </is>
      </c>
      <c r="C20" s="21" t="inlineStr">
        <is>
          <t>subs</t>
        </is>
      </c>
      <c r="D20" s="17">
        <f>'Subscriber Forecast'!C49/Assumptions!E41</f>
        <v/>
      </c>
      <c r="E20" s="17">
        <f>'Subscriber Forecast'!D49/Assumptions!F41</f>
        <v/>
      </c>
      <c r="F20" s="17">
        <f>'Subscriber Forecast'!E49/Assumptions!G41</f>
        <v/>
      </c>
      <c r="G20" s="17">
        <f>'Subscriber Forecast'!F49/Assumptions!H41</f>
        <v/>
      </c>
      <c r="H20" s="17">
        <f>'Subscriber Forecast'!G49/Assumptions!I41</f>
        <v/>
      </c>
    </row>
    <row r="21">
      <c r="B21" s="15" t="inlineStr">
        <is>
          <t>Subscribers per technician</t>
        </is>
      </c>
      <c r="C21" s="21" t="inlineStr">
        <is>
          <t>subs</t>
        </is>
      </c>
      <c r="D21" s="17">
        <f>'Subscriber Forecast'!C49/MAX(7,ROUND(Assumptions!E41*0.42,0))</f>
        <v/>
      </c>
      <c r="E21" s="17">
        <f>'Subscriber Forecast'!D49/MAX(7,ROUND(Assumptions!F41*0.42,0))</f>
        <v/>
      </c>
      <c r="F21" s="17">
        <f>'Subscriber Forecast'!E49/MAX(7,ROUND(Assumptions!G41*0.42,0))</f>
        <v/>
      </c>
      <c r="G21" s="17">
        <f>'Subscriber Forecast'!F49/MAX(7,ROUND(Assumptions!H41*0.42,0))</f>
        <v/>
      </c>
      <c r="H21" s="17">
        <f>'Subscriber Forecast'!G49/MAX(7,ROUND(Assumptions!I41*0.42,0))</f>
        <v/>
      </c>
    </row>
    <row r="22">
      <c r="B22" s="15" t="inlineStr">
        <is>
          <t>Overtime %</t>
        </is>
      </c>
      <c r="C22" s="21" t="inlineStr">
        <is>
          <t>%</t>
        </is>
      </c>
      <c r="D22" s="70" t="n">
        <v>0.1</v>
      </c>
      <c r="E22" s="70" t="n">
        <v>0.09</v>
      </c>
      <c r="F22" s="70" t="n">
        <v>0.08</v>
      </c>
      <c r="G22" s="70" t="n">
        <v>0.08</v>
      </c>
      <c r="H22" s="70" t="n">
        <v>0.07000000000000001</v>
      </c>
    </row>
    <row r="23">
      <c r="B23" s="15" t="inlineStr">
        <is>
          <t>Network availability</t>
        </is>
      </c>
      <c r="C23" s="21" t="inlineStr">
        <is>
          <t>%</t>
        </is>
      </c>
      <c r="D23" s="71" t="n">
        <v>0.9985000000000001</v>
      </c>
      <c r="E23" s="71" t="n">
        <v>0.9985000000000001</v>
      </c>
      <c r="F23" s="71" t="n">
        <v>0.9985000000000001</v>
      </c>
      <c r="G23" s="71" t="n">
        <v>0.9985000000000001</v>
      </c>
      <c r="H23" s="71" t="n">
        <v>0.9985000000000001</v>
      </c>
    </row>
    <row r="24">
      <c r="B24" s="15" t="inlineStr">
        <is>
          <t>Average installation interval</t>
        </is>
      </c>
      <c r="C24" s="21" t="inlineStr">
        <is>
          <t>days</t>
        </is>
      </c>
      <c r="D24" s="72" t="n">
        <v>9</v>
      </c>
      <c r="E24" s="72" t="n">
        <v>8</v>
      </c>
      <c r="F24" s="72" t="n">
        <v>7</v>
      </c>
      <c r="G24" s="72" t="n">
        <v>7</v>
      </c>
      <c r="H24" s="72" t="n">
        <v>6</v>
      </c>
    </row>
    <row r="25">
      <c r="B25" s="15" t="inlineStr">
        <is>
          <t>Trouble-ticket repeat rate</t>
        </is>
      </c>
      <c r="C25" s="21" t="inlineStr">
        <is>
          <t>%</t>
        </is>
      </c>
      <c r="D25" s="70" t="n">
        <v>0.09</v>
      </c>
      <c r="E25" s="70" t="n">
        <v>0.08</v>
      </c>
      <c r="F25" s="70" t="n">
        <v>0.07000000000000001</v>
      </c>
      <c r="G25" s="70" t="n">
        <v>0.065</v>
      </c>
      <c r="H25" s="70" t="n">
        <v>0.06</v>
      </c>
    </row>
    <row r="26">
      <c r="B26" s="15" t="inlineStr">
        <is>
          <t>EBITDA per subscriber</t>
        </is>
      </c>
      <c r="C26" s="21" t="inlineStr">
        <is>
          <t>$/yr</t>
        </is>
      </c>
      <c r="D26" s="18">
        <f>'Income Statement'!C7/(('Subscriber Forecast'!C50+'Subscriber Forecast'!C49)/2)</f>
        <v/>
      </c>
      <c r="E26" s="18">
        <f>'Income Statement'!D7/(('Subscriber Forecast'!D50+'Subscriber Forecast'!D49)/2)</f>
        <v/>
      </c>
      <c r="F26" s="18">
        <f>'Income Statement'!E7/(('Subscriber Forecast'!E50+'Subscriber Forecast'!E49)/2)</f>
        <v/>
      </c>
      <c r="G26" s="18">
        <f>'Income Statement'!F7/(('Subscriber Forecast'!F50+'Subscriber Forecast'!F49)/2)</f>
        <v/>
      </c>
      <c r="H26" s="18">
        <f>'Income Statement'!G7/(('Subscriber Forecast'!G50+'Subscriber Forecast'!G49)/2)</f>
        <v/>
      </c>
    </row>
    <row r="27">
      <c r="B27" s="15" t="inlineStr">
        <is>
          <t>Operating cost per subscriber</t>
        </is>
      </c>
      <c r="C27" s="21" t="inlineStr">
        <is>
          <t>$/yr</t>
        </is>
      </c>
      <c r="D27" s="18">
        <f>'Operating Expenses'!E31/(('Subscriber Forecast'!C50+'Subscriber Forecast'!C49)/2)</f>
        <v/>
      </c>
      <c r="E27" s="18">
        <f>'Operating Expenses'!F31/(('Subscriber Forecast'!D50+'Subscriber Forecast'!D49)/2)</f>
        <v/>
      </c>
      <c r="F27" s="18">
        <f>'Operating Expenses'!G31/(('Subscriber Forecast'!E50+'Subscriber Forecast'!E49)/2)</f>
        <v/>
      </c>
      <c r="G27" s="18">
        <f>'Operating Expenses'!H31/(('Subscriber Forecast'!F50+'Subscriber Forecast'!F49)/2)</f>
        <v/>
      </c>
      <c r="H27" s="18">
        <f>'Operating Expenses'!I31/(('Subscriber Forecast'!G50+'Subscriber Forecast'!G49)/2)</f>
        <v/>
      </c>
    </row>
    <row r="28">
      <c r="B28" s="15" t="inlineStr">
        <is>
          <t>EBITDA margin</t>
        </is>
      </c>
      <c r="C28" s="21" t="inlineStr">
        <is>
          <t>%</t>
        </is>
      </c>
      <c r="D28" s="19">
        <f>'Income Statement'!C7/'Revenue Model'!C17</f>
        <v/>
      </c>
      <c r="E28" s="19">
        <f>'Income Statement'!D7/'Revenue Model'!D17</f>
        <v/>
      </c>
      <c r="F28" s="19">
        <f>'Income Statement'!E7/'Revenue Model'!E17</f>
        <v/>
      </c>
      <c r="G28" s="19">
        <f>'Income Statement'!F7/'Revenue Model'!F17</f>
        <v/>
      </c>
      <c r="H28" s="19">
        <f>'Income Statement'!G7/'Revenue Model'!G17</f>
        <v/>
      </c>
    </row>
    <row r="29">
      <c r="B29" s="15" t="inlineStr">
        <is>
          <t>Payback period by expansion project</t>
        </is>
      </c>
      <c r="C29" s="21" t="inlineStr">
        <is>
          <t>yrs</t>
        </is>
      </c>
      <c r="D29" s="68" t="inlineStr">
        <is>
          <t>See Project ROI tab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J38"/>
  <sheetViews>
    <sheetView showGridLines="0" workbookViewId="0">
      <selection activeCell="A1" sqref="A1"/>
    </sheetView>
  </sheetViews>
  <sheetFormatPr baseColWidth="8" defaultRowHeight="15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B1" s="1" t="inlineStr">
        <is>
          <t>Sensitivity Analysis (Year-5 impact, live)</t>
        </is>
      </c>
    </row>
    <row r="2">
      <c r="B2" s="2" t="inlineStr">
        <is>
          <t>Each table flexes ONE driver, holding others at the active scenario. Exact where linear; contribution-margin approximations are labeled.</t>
        </is>
      </c>
    </row>
    <row r="5">
      <c r="B5" s="31" t="inlineStr">
        <is>
          <t>Contribution margin on incremental subs (input)</t>
        </is>
      </c>
      <c r="C5" s="73" t="n">
        <v>0.75</v>
      </c>
    </row>
    <row r="7">
      <c r="B7" s="10" t="inlineStr">
        <is>
          <t>1) ARPU sensitivity → Year-5 EBITDA (exact)</t>
        </is>
      </c>
    </row>
    <row r="8">
      <c r="B8" s="31" t="inlineStr">
        <is>
          <t>ARPU factor</t>
        </is>
      </c>
      <c r="C8" s="74" t="n">
        <v>0.9</v>
      </c>
      <c r="D8" s="74" t="n">
        <v>0.95</v>
      </c>
      <c r="E8" s="74" t="n">
        <v>1</v>
      </c>
      <c r="F8" s="74" t="n">
        <v>1.05</v>
      </c>
      <c r="G8" s="74" t="n">
        <v>1.1</v>
      </c>
    </row>
    <row r="9">
      <c r="B9" s="41" t="inlineStr">
        <is>
          <t>Year-5 result</t>
        </is>
      </c>
      <c r="C9" s="59">
        <f>'Income Statement'!G7+(0.9-1)*('Revenue Model'!G5+'Revenue Model'!G6+'Revenue Model'!G7+'Revenue Model'!G8)</f>
        <v/>
      </c>
      <c r="D9" s="59">
        <f>'Income Statement'!G7+(0.95-1)*('Revenue Model'!G5+'Revenue Model'!G6+'Revenue Model'!G7+'Revenue Model'!G8)</f>
        <v/>
      </c>
      <c r="E9" s="59">
        <f>'Income Statement'!G7+(1.0-1)*('Revenue Model'!G5+'Revenue Model'!G6+'Revenue Model'!G7+'Revenue Model'!G8)</f>
        <v/>
      </c>
      <c r="F9" s="59">
        <f>'Income Statement'!G7+(1.05-1)*('Revenue Model'!G5+'Revenue Model'!G6+'Revenue Model'!G7+'Revenue Model'!G8)</f>
        <v/>
      </c>
      <c r="G9" s="59">
        <f>'Income Statement'!G7+(1.1-1)*('Revenue Model'!G5+'Revenue Model'!G6+'Revenue Model'!G7+'Revenue Model'!G8)</f>
        <v/>
      </c>
    </row>
    <row r="11">
      <c r="B11" s="10" t="inlineStr">
        <is>
          <t>2) Labor cost sensitivity → Year-5 EBITDA (exact)</t>
        </is>
      </c>
    </row>
    <row r="12">
      <c r="B12" s="31" t="inlineStr">
        <is>
          <t>Labor factor</t>
        </is>
      </c>
      <c r="C12" s="74" t="n">
        <v>0.9</v>
      </c>
      <c r="D12" s="74" t="n">
        <v>0.95</v>
      </c>
      <c r="E12" s="74" t="n">
        <v>1</v>
      </c>
      <c r="F12" s="74" t="n">
        <v>1.05</v>
      </c>
      <c r="G12" s="74" t="n">
        <v>1.1</v>
      </c>
    </row>
    <row r="13">
      <c r="B13" s="41" t="inlineStr">
        <is>
          <t>Year-5 result</t>
        </is>
      </c>
      <c r="C13" s="59">
        <f>'Income Statement'!G7-(0.9-1)*'Fully Loaded Labor Cost'!G32</f>
        <v/>
      </c>
      <c r="D13" s="59">
        <f>'Income Statement'!G7-(0.95-1)*'Fully Loaded Labor Cost'!G32</f>
        <v/>
      </c>
      <c r="E13" s="59">
        <f>'Income Statement'!G7-(1.0-1)*'Fully Loaded Labor Cost'!G32</f>
        <v/>
      </c>
      <c r="F13" s="59">
        <f>'Income Statement'!G7-(1.05-1)*'Fully Loaded Labor Cost'!G32</f>
        <v/>
      </c>
      <c r="G13" s="59">
        <f>'Income Statement'!G7-(1.1-1)*'Fully Loaded Labor Cost'!G32</f>
        <v/>
      </c>
    </row>
    <row r="15">
      <c r="B15" s="10" t="inlineStr">
        <is>
          <t>3) Churn sensitivity → Year-5 EBITDA (approx.)</t>
        </is>
      </c>
    </row>
    <row r="16">
      <c r="B16" s="31" t="inlineStr">
        <is>
          <t>Churn Δ (pts)</t>
        </is>
      </c>
      <c r="C16" s="74" t="n">
        <v>-0.02</v>
      </c>
      <c r="D16" s="74" t="n">
        <v>-0.01</v>
      </c>
      <c r="E16" s="74" t="n">
        <v>0</v>
      </c>
      <c r="F16" s="74" t="n">
        <v>0.01</v>
      </c>
      <c r="G16" s="74" t="n">
        <v>0.02</v>
      </c>
    </row>
    <row r="17">
      <c r="B17" s="41" t="inlineStr">
        <is>
          <t>Year-5 result</t>
        </is>
      </c>
      <c r="C17" s="59">
        <f>'Income Statement'!G7-(-0.02)*'Subscriber Forecast'!G49*(('Revenue Model'!G5+'Revenue Model'!G6+'Revenue Model'!G7+'Revenue Model'!G8)/'Subscriber Forecast'!G49)*$C$5</f>
        <v/>
      </c>
      <c r="D17" s="59">
        <f>'Income Statement'!G7-(-0.01)*'Subscriber Forecast'!G49*(('Revenue Model'!G5+'Revenue Model'!G6+'Revenue Model'!G7+'Revenue Model'!G8)/'Subscriber Forecast'!G49)*$C$5</f>
        <v/>
      </c>
      <c r="E17" s="59">
        <f>'Income Statement'!G7-(0.0)*'Subscriber Forecast'!G49*(('Revenue Model'!G5+'Revenue Model'!G6+'Revenue Model'!G7+'Revenue Model'!G8)/'Subscriber Forecast'!G49)*$C$5</f>
        <v/>
      </c>
      <c r="F17" s="59">
        <f>'Income Statement'!G7-(0.01)*'Subscriber Forecast'!G49*(('Revenue Model'!G5+'Revenue Model'!G6+'Revenue Model'!G7+'Revenue Model'!G8)/'Subscriber Forecast'!G49)*$C$5</f>
        <v/>
      </c>
      <c r="G17" s="59">
        <f>'Income Statement'!G7-(0.02)*'Subscriber Forecast'!G49*(('Revenue Model'!G5+'Revenue Model'!G6+'Revenue Model'!G7+'Revenue Model'!G8)/'Subscriber Forecast'!G49)*$C$5</f>
        <v/>
      </c>
    </row>
    <row r="18">
      <c r="B18" s="31" t="inlineStr">
        <is>
          <t>Approx: Δchurn × ending subs × blended annual rev × contribution margin.</t>
        </is>
      </c>
    </row>
    <row r="20">
      <c r="B20" s="10" t="inlineStr">
        <is>
          <t>4) Take-rate sensitivity → Year-5 EBITDA (approx.)</t>
        </is>
      </c>
    </row>
    <row r="21">
      <c r="B21" s="31" t="inlineStr">
        <is>
          <t>Take Δ (pts)</t>
        </is>
      </c>
      <c r="C21" s="74" t="n">
        <v>-0.05</v>
      </c>
      <c r="D21" s="74" t="n">
        <v>-0.025</v>
      </c>
      <c r="E21" s="74" t="n">
        <v>0</v>
      </c>
      <c r="F21" s="74" t="n">
        <v>0.025</v>
      </c>
      <c r="G21" s="74" t="n">
        <v>0.05</v>
      </c>
    </row>
    <row r="22">
      <c r="B22" s="41" t="inlineStr">
        <is>
          <t>Year-5 result</t>
        </is>
      </c>
      <c r="C22" s="59">
        <f>'Income Statement'!G7+(-0.05)*((Assumptions!E25+SUM(Assumptions!E27:I27))+(Assumptions!E26+SUM(Assumptions!E28:I28)))*(('Revenue Model'!G5+'Revenue Model'!G6+'Revenue Model'!G7+'Revenue Model'!G8)/'Subscriber Forecast'!G49)*$C$5</f>
        <v/>
      </c>
      <c r="D22" s="59">
        <f>'Income Statement'!G7+(-0.025)*((Assumptions!E25+SUM(Assumptions!E27:I27))+(Assumptions!E26+SUM(Assumptions!E28:I28)))*(('Revenue Model'!G5+'Revenue Model'!G6+'Revenue Model'!G7+'Revenue Model'!G8)/'Subscriber Forecast'!G49)*$C$5</f>
        <v/>
      </c>
      <c r="E22" s="59">
        <f>'Income Statement'!G7+(0.0)*((Assumptions!E25+SUM(Assumptions!E27:I27))+(Assumptions!E26+SUM(Assumptions!E28:I28)))*(('Revenue Model'!G5+'Revenue Model'!G6+'Revenue Model'!G7+'Revenue Model'!G8)/'Subscriber Forecast'!G49)*$C$5</f>
        <v/>
      </c>
      <c r="F22" s="59">
        <f>'Income Statement'!G7+(0.025)*((Assumptions!E25+SUM(Assumptions!E27:I27))+(Assumptions!E26+SUM(Assumptions!E28:I28)))*(('Revenue Model'!G5+'Revenue Model'!G6+'Revenue Model'!G7+'Revenue Model'!G8)/'Subscriber Forecast'!G49)*$C$5</f>
        <v/>
      </c>
      <c r="G22" s="59">
        <f>'Income Statement'!G7+(0.05)*((Assumptions!E25+SUM(Assumptions!E27:I27))+(Assumptions!E26+SUM(Assumptions!E28:I28)))*(('Revenue Model'!G5+'Revenue Model'!G6+'Revenue Model'!G7+'Revenue Model'!G8)/'Subscriber Forecast'!G49)*$C$5</f>
        <v/>
      </c>
    </row>
    <row r="23">
      <c r="B23" s="31" t="inlineStr">
        <is>
          <t>Approx: Δtake × passings × blended annual rev × contribution margin.</t>
        </is>
      </c>
    </row>
    <row r="25">
      <c r="B25" s="10" t="inlineStr">
        <is>
          <t>5) New subs/month sensitivity → Year-5 EBITDA (approx.)</t>
        </is>
      </c>
    </row>
    <row r="26">
      <c r="B26" s="31" t="inlineStr">
        <is>
          <t>Δ subs/month</t>
        </is>
      </c>
      <c r="C26" s="75" t="n">
        <v>-50</v>
      </c>
      <c r="D26" s="75" t="n">
        <v>-25</v>
      </c>
      <c r="E26" s="75" t="n">
        <v>0</v>
      </c>
      <c r="F26" s="75" t="n">
        <v>25</v>
      </c>
      <c r="G26" s="75" t="n">
        <v>50</v>
      </c>
    </row>
    <row r="27">
      <c r="B27" s="41" t="inlineStr">
        <is>
          <t>Year-5 result</t>
        </is>
      </c>
      <c r="C27" s="59">
        <f>'Income Statement'!G7+(-50)*12*(('Revenue Model'!G5+'Revenue Model'!G6+'Revenue Model'!G7+'Revenue Model'!G8)/'Subscriber Forecast'!G49)*$C$5</f>
        <v/>
      </c>
      <c r="D27" s="59">
        <f>'Income Statement'!G7+(-25)*12*(('Revenue Model'!G5+'Revenue Model'!G6+'Revenue Model'!G7+'Revenue Model'!G8)/'Subscriber Forecast'!G49)*$C$5</f>
        <v/>
      </c>
      <c r="E27" s="59">
        <f>'Income Statement'!G7+(0)*12*(('Revenue Model'!G5+'Revenue Model'!G6+'Revenue Model'!G7+'Revenue Model'!G8)/'Subscriber Forecast'!G49)*$C$5</f>
        <v/>
      </c>
      <c r="F27" s="59">
        <f>'Income Statement'!G7+(25)*12*(('Revenue Model'!G5+'Revenue Model'!G6+'Revenue Model'!G7+'Revenue Model'!G8)/'Subscriber Forecast'!G49)*$C$5</f>
        <v/>
      </c>
      <c r="G27" s="59">
        <f>'Income Statement'!G7+(50)*12*(('Revenue Model'!G5+'Revenue Model'!G6+'Revenue Model'!G7+'Revenue Model'!G8)/'Subscriber Forecast'!G49)*$C$5</f>
        <v/>
      </c>
    </row>
    <row r="28">
      <c r="B28" s="31" t="inlineStr">
        <is>
          <t>Approx: Δ monthly adds × 12 × blended annual rev × contribution margin.</t>
        </is>
      </c>
    </row>
    <row r="30">
      <c r="B30" s="10" t="inlineStr">
        <is>
          <t>6) Construction cost/passing → passings buildable w/ 5-yr capex</t>
        </is>
      </c>
    </row>
    <row r="31">
      <c r="B31" s="31" t="inlineStr">
        <is>
          <t>Cost/passing $</t>
        </is>
      </c>
      <c r="C31" s="75" t="n">
        <v>1000</v>
      </c>
      <c r="D31" s="75" t="n">
        <v>1100</v>
      </c>
      <c r="E31" s="75" t="n">
        <v>1200</v>
      </c>
      <c r="F31" s="75" t="n">
        <v>1300</v>
      </c>
      <c r="G31" s="75" t="n">
        <v>1400</v>
      </c>
    </row>
    <row r="32">
      <c r="B32" s="41" t="inlineStr">
        <is>
          <t>Year-5 result</t>
        </is>
      </c>
      <c r="C32" s="42">
        <f>'Capital Plan'!J21/1000</f>
        <v/>
      </c>
      <c r="D32" s="42">
        <f>'Capital Plan'!J21/1100</f>
        <v/>
      </c>
      <c r="E32" s="42">
        <f>'Capital Plan'!J21/1200</f>
        <v/>
      </c>
      <c r="F32" s="42">
        <f>'Capital Plan'!J21/1300</f>
        <v/>
      </c>
      <c r="G32" s="42">
        <f>'Capital Plan'!J21/1400</f>
        <v/>
      </c>
    </row>
    <row r="33">
      <c r="B33" s="31" t="inlineStr">
        <is>
          <t>5-Yr deployed capital ÷ cost per passing = passings the program can build.</t>
        </is>
      </c>
    </row>
    <row r="35">
      <c r="B35" s="10" t="inlineStr">
        <is>
          <t>7) Capital deployment rate → 5-yr capital deployed</t>
        </is>
      </c>
    </row>
    <row r="36">
      <c r="B36" s="31" t="inlineStr">
        <is>
          <t>Deploy %</t>
        </is>
      </c>
      <c r="C36" s="74" t="n">
        <v>0.85</v>
      </c>
      <c r="D36" s="74" t="n">
        <v>0.9</v>
      </c>
      <c r="E36" s="74" t="n">
        <v>0.95</v>
      </c>
      <c r="F36" s="74" t="n">
        <v>1</v>
      </c>
      <c r="G36" s="74" t="n">
        <v>1</v>
      </c>
    </row>
    <row r="37">
      <c r="B37" s="41" t="inlineStr">
        <is>
          <t>Year-5 result</t>
        </is>
      </c>
      <c r="C37" s="59">
        <f>MIN(0.85,1)*10000000*5</f>
        <v/>
      </c>
      <c r="D37" s="59">
        <f>MIN(0.9,1)*10000000*5</f>
        <v/>
      </c>
      <c r="E37" s="59">
        <f>MIN(0.95,1)*10000000*5</f>
        <v/>
      </c>
      <c r="F37" s="59">
        <f>MIN(1.0,1)*10000000*5</f>
        <v/>
      </c>
      <c r="G37" s="59">
        <f>MIN(1.0,1)*10000000*5</f>
        <v/>
      </c>
    </row>
    <row r="38">
      <c r="B38" s="31" t="inlineStr">
        <is>
          <t>Illustrative: uniform deployment fraction × $10M × 5 years.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J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2" max="2"/>
    <col width="30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22" customWidth="1" min="9" max="9"/>
    <col width="48" customWidth="1" min="10" max="10"/>
  </cols>
  <sheetData>
    <row r="1" ht="24" customHeight="1">
      <c r="B1" s="1" t="inlineStr">
        <is>
          <t>Five-Year Risk Register</t>
        </is>
      </c>
    </row>
    <row r="2">
      <c r="B2" s="2" t="inlineStr">
        <is>
          <t>Probability × Impact = Score (1-5 scale each; score 1-25). Owner and mitigation named for every risk.</t>
        </is>
      </c>
    </row>
    <row r="4" ht="20" customHeight="1">
      <c r="B4" s="20" t="inlineStr">
        <is>
          <t>#</t>
        </is>
      </c>
      <c r="C4" s="20" t="inlineStr">
        <is>
          <t>Risk</t>
        </is>
      </c>
      <c r="D4" s="20" t="inlineStr">
        <is>
          <t>Category</t>
        </is>
      </c>
      <c r="E4" s="20" t="inlineStr">
        <is>
          <t>Prob (1-5)</t>
        </is>
      </c>
      <c r="F4" s="20" t="inlineStr">
        <is>
          <t>Impact (1-5)</t>
        </is>
      </c>
      <c r="G4" s="20" t="inlineStr">
        <is>
          <t>Score</t>
        </is>
      </c>
      <c r="H4" s="20" t="inlineStr">
        <is>
          <t>Tier</t>
        </is>
      </c>
      <c r="I4" s="20" t="inlineStr">
        <is>
          <t>Owner</t>
        </is>
      </c>
      <c r="J4" s="20" t="inlineStr">
        <is>
          <t>Mitigation strategy</t>
        </is>
      </c>
    </row>
    <row r="5">
      <c r="B5" s="14" t="n">
        <v>1</v>
      </c>
      <c r="C5" s="15" t="inlineStr">
        <is>
          <t>Construction-cost inflation</t>
        </is>
      </c>
      <c r="D5" s="21" t="inlineStr">
        <is>
          <t>Financial</t>
        </is>
      </c>
      <c r="E5" s="51" t="n">
        <v>4</v>
      </c>
      <c r="F5" s="51" t="n">
        <v>4</v>
      </c>
      <c r="G5" s="9">
        <f>E5*F5</f>
        <v/>
      </c>
      <c r="H5" s="14">
        <f>IF(G5&gt;=16,"High",IF(G5&gt;=9,"Medium","Low"))</f>
        <v/>
      </c>
      <c r="I5" s="54" t="inlineStr">
        <is>
          <t>CFO / Dir OSP</t>
        </is>
      </c>
      <c r="J5" s="54" t="inlineStr">
        <is>
          <t>Fixed-price contracts; escalators; value-engineer routes; contingency reserve</t>
        </is>
      </c>
    </row>
    <row r="6">
      <c r="B6" s="14" t="n">
        <v>2</v>
      </c>
      <c r="C6" s="15" t="inlineStr">
        <is>
          <t>Material availability (fiber/ONT)</t>
        </is>
      </c>
      <c r="D6" s="21" t="inlineStr">
        <is>
          <t>Supply</t>
        </is>
      </c>
      <c r="E6" s="51" t="n">
        <v>3</v>
      </c>
      <c r="F6" s="51" t="n">
        <v>4</v>
      </c>
      <c r="G6" s="9">
        <f>E6*F6</f>
        <v/>
      </c>
      <c r="H6" s="14">
        <f>IF(G6&gt;=16,"High",IF(G6&gt;=9,"Medium","Low"))</f>
        <v/>
      </c>
      <c r="I6" s="54" t="inlineStr">
        <is>
          <t>Procurement</t>
        </is>
      </c>
      <c r="J6" s="54" t="inlineStr">
        <is>
          <t>Multi-vendor sourcing; safety stock; forward POs; refresh pool</t>
        </is>
      </c>
    </row>
    <row r="7">
      <c r="B7" s="14" t="n">
        <v>3</v>
      </c>
      <c r="C7" s="15" t="inlineStr">
        <is>
          <t>Contractor performance</t>
        </is>
      </c>
      <c r="D7" s="21" t="inlineStr">
        <is>
          <t>Operations</t>
        </is>
      </c>
      <c r="E7" s="51" t="n">
        <v>3</v>
      </c>
      <c r="F7" s="51" t="n">
        <v>4</v>
      </c>
      <c r="G7" s="9">
        <f>E7*F7</f>
        <v/>
      </c>
      <c r="H7" s="14">
        <f>IF(G7&gt;=16,"High",IF(G7&gt;=9,"Medium","Low"))</f>
        <v/>
      </c>
      <c r="I7" s="54" t="inlineStr">
        <is>
          <t>Dir OSP</t>
        </is>
      </c>
      <c r="J7" s="54" t="inlineStr">
        <is>
          <t>Qualified vendor list; SLAs; QA inspection; in-house splicing capacity</t>
        </is>
      </c>
    </row>
    <row r="8">
      <c r="B8" s="14" t="n">
        <v>4</v>
      </c>
      <c r="C8" s="15" t="inlineStr">
        <is>
          <t>Grant compliance / clawback</t>
        </is>
      </c>
      <c r="D8" s="21" t="inlineStr">
        <is>
          <t>Regulatory</t>
        </is>
      </c>
      <c r="E8" s="51" t="n">
        <v>3</v>
      </c>
      <c r="F8" s="51" t="n">
        <v>5</v>
      </c>
      <c r="G8" s="9">
        <f>E8*F8</f>
        <v/>
      </c>
      <c r="H8" s="14">
        <f>IF(G8&gt;=16,"High",IF(G8&gt;=9,"Medium","Low"))</f>
        <v/>
      </c>
      <c r="I8" s="54" t="inlineStr">
        <is>
          <t>CFO / Grants Mgr</t>
        </is>
      </c>
      <c r="J8" s="54" t="inlineStr">
        <is>
          <t>Compliance calendar; documentation; inspector role; audit readiness</t>
        </is>
      </c>
    </row>
    <row r="9">
      <c r="B9" s="14" t="n">
        <v>5</v>
      </c>
      <c r="C9" s="15" t="inlineStr">
        <is>
          <t>Workforce shortages</t>
        </is>
      </c>
      <c r="D9" s="21" t="inlineStr">
        <is>
          <t>People</t>
        </is>
      </c>
      <c r="E9" s="51" t="n">
        <v>4</v>
      </c>
      <c r="F9" s="51" t="n">
        <v>4</v>
      </c>
      <c r="G9" s="9">
        <f>E9*F9</f>
        <v/>
      </c>
      <c r="H9" s="14">
        <f>IF(G9&gt;=16,"High",IF(G9&gt;=9,"Medium","Low"))</f>
        <v/>
      </c>
      <c r="I9" s="54" t="inlineStr">
        <is>
          <t>COO / HR</t>
        </is>
      </c>
      <c r="J9" s="54" t="inlineStr">
        <is>
          <t>Trigger-based hiring; apprenticeships; retention comp; cross-training</t>
        </is>
      </c>
    </row>
    <row r="10">
      <c r="B10" s="14" t="n">
        <v>6</v>
      </c>
      <c r="C10" s="15" t="inlineStr">
        <is>
          <t>Subscriber growth below forecast</t>
        </is>
      </c>
      <c r="D10" s="21" t="inlineStr">
        <is>
          <t>Market</t>
        </is>
      </c>
      <c r="E10" s="51" t="n">
        <v>3</v>
      </c>
      <c r="F10" s="51" t="n">
        <v>5</v>
      </c>
      <c r="G10" s="9">
        <f>E10*F10</f>
        <v/>
      </c>
      <c r="H10" s="14">
        <f>IF(G10&gt;=16,"High",IF(G10&gt;=9,"Medium","Low"))</f>
        <v/>
      </c>
      <c r="I10" s="54" t="inlineStr">
        <is>
          <t>VP Sales</t>
        </is>
      </c>
      <c r="J10" s="54" t="inlineStr">
        <is>
          <t>Take-rate campaigns; scenario planning; pace capex to demand</t>
        </is>
      </c>
    </row>
    <row r="11">
      <c r="B11" s="14" t="n">
        <v>7</v>
      </c>
      <c r="C11" s="15" t="inlineStr">
        <is>
          <t>Elevated churn</t>
        </is>
      </c>
      <c r="D11" s="21" t="inlineStr">
        <is>
          <t>Market</t>
        </is>
      </c>
      <c r="E11" s="51" t="n">
        <v>3</v>
      </c>
      <c r="F11" s="51" t="n">
        <v>4</v>
      </c>
      <c r="G11" s="9">
        <f>E11*F11</f>
        <v/>
      </c>
      <c r="H11" s="14">
        <f>IF(G11&gt;=16,"High",IF(G11&gt;=9,"Medium","Low"))</f>
        <v/>
      </c>
      <c r="I11" s="54" t="inlineStr">
        <is>
          <t>CX Manager</t>
        </is>
      </c>
      <c r="J11" s="54" t="inlineStr">
        <is>
          <t>Retention programs; service quality; contract terms; win-back</t>
        </is>
      </c>
    </row>
    <row r="12">
      <c r="B12" s="14" t="n">
        <v>8</v>
      </c>
      <c r="C12" s="15" t="inlineStr">
        <is>
          <t>Competitive pricing / overbuild</t>
        </is>
      </c>
      <c r="D12" s="21" t="inlineStr">
        <is>
          <t>Market</t>
        </is>
      </c>
      <c r="E12" s="51" t="n">
        <v>3</v>
      </c>
      <c r="F12" s="51" t="n">
        <v>4</v>
      </c>
      <c r="G12" s="9">
        <f>E12*F12</f>
        <v/>
      </c>
      <c r="H12" s="14">
        <f>IF(G12&gt;=16,"High",IF(G12&gt;=9,"Medium","Low"))</f>
        <v/>
      </c>
      <c r="I12" s="54" t="inlineStr">
        <is>
          <t>CEO / VP Sales</t>
        </is>
      </c>
      <c r="J12" s="54" t="inlineStr">
        <is>
          <t>Differentiate on reliability &amp; local service; targeted retention</t>
        </is>
      </c>
    </row>
    <row r="13">
      <c r="B13" s="14" t="n">
        <v>9</v>
      </c>
      <c r="C13" s="15" t="inlineStr">
        <is>
          <t>Technology obsolescence</t>
        </is>
      </c>
      <c r="D13" s="21" t="inlineStr">
        <is>
          <t>Technical</t>
        </is>
      </c>
      <c r="E13" s="51" t="n">
        <v>2</v>
      </c>
      <c r="F13" s="51" t="n">
        <v>3</v>
      </c>
      <c r="G13" s="9">
        <f>E13*F13</f>
        <v/>
      </c>
      <c r="H13" s="14">
        <f>IF(G13&gt;=16,"High",IF(G13&gt;=9,"Medium","Low"))</f>
        <v/>
      </c>
      <c r="I13" s="54" t="inlineStr">
        <is>
          <t>Network Eng</t>
        </is>
      </c>
      <c r="J13" s="54" t="inlineStr">
        <is>
          <t>Lifecycle refresh program; standards-based platforms; roadmaps</t>
        </is>
      </c>
    </row>
    <row r="14">
      <c r="B14" s="14" t="n">
        <v>10</v>
      </c>
      <c r="C14" s="15" t="inlineStr">
        <is>
          <t>Equipment failure</t>
        </is>
      </c>
      <c r="D14" s="21" t="inlineStr">
        <is>
          <t>Technical</t>
        </is>
      </c>
      <c r="E14" s="51" t="n">
        <v>3</v>
      </c>
      <c r="F14" s="51" t="n">
        <v>4</v>
      </c>
      <c r="G14" s="9">
        <f>E14*F14</f>
        <v/>
      </c>
      <c r="H14" s="14">
        <f>IF(G14&gt;=16,"High",IF(G14&gt;=9,"Medium","Low"))</f>
        <v/>
      </c>
      <c r="I14" s="54" t="inlineStr">
        <is>
          <t>Network Eng</t>
        </is>
      </c>
      <c r="J14" s="54" t="inlineStr">
        <is>
          <t>Redundancy; spares; refresh program; monitoring</t>
        </is>
      </c>
    </row>
    <row r="15">
      <c r="B15" s="14" t="n">
        <v>11</v>
      </c>
      <c r="C15" s="15" t="inlineStr">
        <is>
          <t>Cybersecurity breach</t>
        </is>
      </c>
      <c r="D15" s="21" t="inlineStr">
        <is>
          <t>Security</t>
        </is>
      </c>
      <c r="E15" s="51" t="n">
        <v>3</v>
      </c>
      <c r="F15" s="51" t="n">
        <v>5</v>
      </c>
      <c r="G15" s="9">
        <f>E15*F15</f>
        <v/>
      </c>
      <c r="H15" s="14">
        <f>IF(G15&gt;=16,"High",IF(G15&gt;=9,"Medium","Low"))</f>
        <v/>
      </c>
      <c r="I15" s="54" t="inlineStr">
        <is>
          <t>IT / CISO</t>
        </is>
      </c>
      <c r="J15" s="54" t="inlineStr">
        <is>
          <t>Defense-in-depth; MFA; backups; IR plan; security capex</t>
        </is>
      </c>
    </row>
    <row r="16">
      <c r="B16" s="14" t="n">
        <v>12</v>
      </c>
      <c r="C16" s="15" t="inlineStr">
        <is>
          <t>Network outages</t>
        </is>
      </c>
      <c r="D16" s="21" t="inlineStr">
        <is>
          <t>Operations</t>
        </is>
      </c>
      <c r="E16" s="51" t="n">
        <v>3</v>
      </c>
      <c r="F16" s="51" t="n">
        <v>5</v>
      </c>
      <c r="G16" s="9">
        <f>E16*F16</f>
        <v/>
      </c>
      <c r="H16" s="14">
        <f>IF(G16&gt;=16,"High",IF(G16&gt;=9,"Medium","Low"))</f>
        <v/>
      </c>
      <c r="I16" s="54" t="inlineStr">
        <is>
          <t>NOC / Dir OSP</t>
        </is>
      </c>
      <c r="J16" s="54" t="inlineStr">
        <is>
          <t>Redundant paths; generators; NOC monitoring; restoration reserve</t>
        </is>
      </c>
    </row>
    <row r="17">
      <c r="B17" s="14" t="n">
        <v>13</v>
      </c>
      <c r="C17" s="15" t="inlineStr">
        <is>
          <t>Regulatory changes</t>
        </is>
      </c>
      <c r="D17" s="21" t="inlineStr">
        <is>
          <t>Regulatory</t>
        </is>
      </c>
      <c r="E17" s="51" t="n">
        <v>3</v>
      </c>
      <c r="F17" s="51" t="n">
        <v>3</v>
      </c>
      <c r="G17" s="9">
        <f>E17*F17</f>
        <v/>
      </c>
      <c r="H17" s="14">
        <f>IF(G17&gt;=16,"High",IF(G17&gt;=9,"Medium","Low"))</f>
        <v/>
      </c>
      <c r="I17" s="54" t="inlineStr">
        <is>
          <t>General Counsel</t>
        </is>
      </c>
      <c r="J17" s="54" t="inlineStr">
        <is>
          <t>Monitor FCC/state; compliance program; industry associations</t>
        </is>
      </c>
    </row>
    <row r="18">
      <c r="B18" s="14" t="n">
        <v>14</v>
      </c>
      <c r="C18" s="15" t="inlineStr">
        <is>
          <t>Pole-attachment delays</t>
        </is>
      </c>
      <c r="D18" s="21" t="inlineStr">
        <is>
          <t>Operations</t>
        </is>
      </c>
      <c r="E18" s="51" t="n">
        <v>4</v>
      </c>
      <c r="F18" s="51" t="n">
        <v>3</v>
      </c>
      <c r="G18" s="9">
        <f>E18*F18</f>
        <v/>
      </c>
      <c r="H18" s="14">
        <f>IF(G18&gt;=16,"High",IF(G18&gt;=9,"Medium","Low"))</f>
        <v/>
      </c>
      <c r="I18" s="54" t="inlineStr">
        <is>
          <t>Dir OSP</t>
        </is>
      </c>
      <c r="J18" s="54" t="inlineStr">
        <is>
          <t>Early applications; make-ready tracking; joint-use agreements</t>
        </is>
      </c>
    </row>
    <row r="19">
      <c r="B19" s="14" t="n">
        <v>15</v>
      </c>
      <c r="C19" s="15" t="inlineStr">
        <is>
          <t>Permitting delays</t>
        </is>
      </c>
      <c r="D19" s="21" t="inlineStr">
        <is>
          <t>Operations</t>
        </is>
      </c>
      <c r="E19" s="51" t="n">
        <v>3</v>
      </c>
      <c r="F19" s="51" t="n">
        <v>3</v>
      </c>
      <c r="G19" s="9">
        <f>E19*F19</f>
        <v/>
      </c>
      <c r="H19" s="14">
        <f>IF(G19&gt;=16,"High",IF(G19&gt;=9,"Medium","Low"))</f>
        <v/>
      </c>
      <c r="I19" s="54" t="inlineStr">
        <is>
          <t>Project Coord</t>
        </is>
      </c>
      <c r="J19" s="54" t="inlineStr">
        <is>
          <t>Permit pipeline; local relationships; buffer schedules</t>
        </is>
      </c>
    </row>
    <row r="20">
      <c r="B20" s="14" t="n">
        <v>16</v>
      </c>
      <c r="C20" s="15" t="inlineStr">
        <is>
          <t>Cash-flow timing</t>
        </is>
      </c>
      <c r="D20" s="21" t="inlineStr">
        <is>
          <t>Financial</t>
        </is>
      </c>
      <c r="E20" s="51" t="n">
        <v>3</v>
      </c>
      <c r="F20" s="51" t="n">
        <v>4</v>
      </c>
      <c r="G20" s="9">
        <f>E20*F20</f>
        <v/>
      </c>
      <c r="H20" s="14">
        <f>IF(G20&gt;=16,"High",IF(G20&gt;=9,"Medium","Low"))</f>
        <v/>
      </c>
      <c r="I20" s="54" t="inlineStr">
        <is>
          <t>CFO</t>
        </is>
      </c>
      <c r="J20" s="54" t="inlineStr">
        <is>
          <t>Capital governance; funding tranches; reserve; milestone billing</t>
        </is>
      </c>
    </row>
    <row r="21">
      <c r="B21" s="14" t="n">
        <v>17</v>
      </c>
      <c r="C21" s="15" t="inlineStr">
        <is>
          <t>Overbuilding low-take areas</t>
        </is>
      </c>
      <c r="D21" s="21" t="inlineStr">
        <is>
          <t>Strategy</t>
        </is>
      </c>
      <c r="E21" s="51" t="n">
        <v>3</v>
      </c>
      <c r="F21" s="51" t="n">
        <v>4</v>
      </c>
      <c r="G21" s="9">
        <f>E21*F21</f>
        <v/>
      </c>
      <c r="H21" s="14">
        <f>IF(G21&gt;=16,"High",IF(G21&gt;=9,"Medium","Low"))</f>
        <v/>
      </c>
      <c r="I21" s="54" t="inlineStr">
        <is>
          <t>CEO / CFO</t>
        </is>
      </c>
      <c r="J21" s="54" t="inlineStr">
        <is>
          <t>Demand-led builds; ROI gate per project; take-rate thresholds</t>
        </is>
      </c>
    </row>
    <row r="22">
      <c r="B22" s="14" t="n">
        <v>18</v>
      </c>
      <c r="C22" s="15" t="inlineStr">
        <is>
          <t>Customer concentration (enterprise)</t>
        </is>
      </c>
      <c r="D22" s="21" t="inlineStr">
        <is>
          <t>Financial</t>
        </is>
      </c>
      <c r="E22" s="51" t="n">
        <v>2</v>
      </c>
      <c r="F22" s="51" t="n">
        <v>3</v>
      </c>
      <c r="G22" s="9">
        <f>E22*F22</f>
        <v/>
      </c>
      <c r="H22" s="14">
        <f>IF(G22&gt;=16,"High",IF(G22&gt;=9,"Medium","Low"))</f>
        <v/>
      </c>
      <c r="I22" s="54" t="inlineStr">
        <is>
          <t>VP Sales</t>
        </is>
      </c>
      <c r="J22" s="54" t="inlineStr">
        <is>
          <t>Diversify enterprise base; contract terms; credit checks</t>
        </is>
      </c>
    </row>
    <row r="23">
      <c r="B23" s="14" t="n">
        <v>19</v>
      </c>
      <c r="C23" s="15" t="inlineStr">
        <is>
          <t>Vendor concentration</t>
        </is>
      </c>
      <c r="D23" s="21" t="inlineStr">
        <is>
          <t>Supply</t>
        </is>
      </c>
      <c r="E23" s="51" t="n">
        <v>3</v>
      </c>
      <c r="F23" s="51" t="n">
        <v>3</v>
      </c>
      <c r="G23" s="9">
        <f>E23*F23</f>
        <v/>
      </c>
      <c r="H23" s="14">
        <f>IF(G23&gt;=16,"High",IF(G23&gt;=9,"Medium","Low"))</f>
        <v/>
      </c>
      <c r="I23" s="54" t="inlineStr">
        <is>
          <t>Procurement</t>
        </is>
      </c>
      <c r="J23" s="54" t="inlineStr">
        <is>
          <t>Dual-source critical vendors; contractual protections</t>
        </is>
      </c>
    </row>
    <row r="24">
      <c r="B24" s="43" t="inlineStr">
        <is>
          <t>Risks: 19  |  Avg score</t>
        </is>
      </c>
      <c r="G24" s="52">
        <f>ROUND(AVERAGE(G5:G23),1)</f>
        <v/>
      </c>
    </row>
  </sheetData>
  <mergeCells count="2">
    <mergeCell ref="B1:J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2026-07-21T01:08:08Z</dcterms:created>
  <dcterms:modified xmlns:dcterms="http://purl.org/dc/terms/" xmlns:xsi="http://www.w3.org/2001/XMLSchema-instance" xsi:type="dcterms:W3CDTF">2026-07-21T01:08:08Z</dcterms:modified>
</cp:coreProperties>
</file>